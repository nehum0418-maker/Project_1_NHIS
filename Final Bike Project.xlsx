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queryTables/queryTable1.xml" ContentType="application/vnd.openxmlformats-officedocument.spreadsheetml.queryTable+xml"/>
  <Override PartName="/xl/tables/table4.xml" ContentType="application/vnd.openxmlformats-officedocument.spreadsheetml.table+xml"/>
  <Override PartName="/xl/drawings/drawing1.xml" ContentType="application/vnd.openxmlformats-officedocument.drawing+xml"/>
  <Override PartName="/xl/tables/table5.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6.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7.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8.xml" ContentType="application/vnd.openxmlformats-officedocument.spreadsheetml.table+xml"/>
  <Override PartName="/xl/queryTables/queryTable2.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1bef5c350010bc78/Desktop/"/>
    </mc:Choice>
  </mc:AlternateContent>
  <xr:revisionPtr revIDLastSave="21" documentId="13_ncr:1_{28C8EB78-31E5-4F14-92D6-9EC7C2EF0535}" xr6:coauthVersionLast="47" xr6:coauthVersionMax="47" xr10:uidLastSave="{FA54F770-13AC-48AB-AD3A-76C41E05114A}"/>
  <bookViews>
    <workbookView xWindow="-110" yWindow="-110" windowWidth="19420" windowHeight="10300" tabRatio="799" firstSheet="1" activeTab="11" xr2:uid="{00000000-000D-0000-FFFF-FFFF00000000}"/>
  </bookViews>
  <sheets>
    <sheet name="dataset_1" sheetId="1" r:id="rId1"/>
    <sheet name="dataset_2" sheetId="2" r:id="rId2"/>
    <sheet name="Merge1" sheetId="4" state="hidden" r:id="rId3"/>
    <sheet name="dataset_3 " sheetId="3" r:id="rId4"/>
    <sheet name="Sheet10" sheetId="19" state="hidden" r:id="rId5"/>
    <sheet name="Sheet11" sheetId="20" state="hidden" r:id="rId6"/>
    <sheet name="Sheet13" sheetId="22" state="hidden" r:id="rId7"/>
    <sheet name="Clean  data" sheetId="5" r:id="rId8"/>
    <sheet name="Forecast summary" sheetId="23" r:id="rId9"/>
    <sheet name="Correl" sheetId="6" r:id="rId10"/>
    <sheet name="Pivot &amp; Insights" sheetId="7" r:id="rId11"/>
    <sheet name="Dashboard" sheetId="11" r:id="rId12"/>
  </sheets>
  <definedNames>
    <definedName name="ExternalData_1" localSheetId="2" hidden="1">Merge1!$A$1:$P$611</definedName>
    <definedName name="ExternalData_2" localSheetId="7" hidden="1">'Clean  data'!$A$1:$T$1001</definedName>
    <definedName name="Slicer_Anomaly_flag_for_casual">#N/A</definedName>
    <definedName name="Slicer_Anomaly_flag_for_reg.">#N/A</definedName>
    <definedName name="Slicer_day_part">#N/A</definedName>
    <definedName name="Slicer_Holiday_band">#N/A</definedName>
    <definedName name="Slicer_hr">#N/A</definedName>
    <definedName name="Slicer_Month_name">#N/A</definedName>
    <definedName name="Slicer_Weather_sit_band">#N/A</definedName>
    <definedName name="Slicer_Weekdays">#N/A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23" l="1"/>
  <c r="M8" i="23"/>
  <c r="E21" i="23"/>
  <c r="F21" i="23" s="1"/>
  <c r="E22" i="23"/>
  <c r="F22" i="23" s="1"/>
  <c r="E23" i="23"/>
  <c r="F23" i="23" s="1"/>
  <c r="E24" i="23"/>
  <c r="F24" i="23" s="1"/>
  <c r="E25" i="23"/>
  <c r="F25" i="23" s="1"/>
  <c r="E26" i="23"/>
  <c r="F26" i="23" s="1"/>
  <c r="E27" i="23"/>
  <c r="F27" i="23" s="1"/>
  <c r="E28" i="23"/>
  <c r="F28" i="23" s="1"/>
  <c r="E29" i="23"/>
  <c r="F29" i="23" s="1"/>
  <c r="E30" i="23"/>
  <c r="F30" i="23" s="1"/>
  <c r="E31" i="23"/>
  <c r="F31" i="23" s="1"/>
  <c r="E32" i="23"/>
  <c r="F32" i="23" s="1"/>
  <c r="E33" i="23"/>
  <c r="F33" i="23" s="1"/>
  <c r="E34" i="23"/>
  <c r="F34" i="23" s="1"/>
  <c r="L4" i="23"/>
  <c r="M4" i="23" s="1"/>
  <c r="L5" i="23"/>
  <c r="M5" i="23" s="1"/>
  <c r="L6" i="23"/>
  <c r="M6" i="23" s="1"/>
  <c r="L7" i="23"/>
  <c r="M7" i="23" s="1"/>
  <c r="L8" i="23"/>
  <c r="L9" i="23"/>
  <c r="M9" i="23" s="1"/>
  <c r="L10" i="23"/>
  <c r="M10" i="23" s="1"/>
  <c r="L11" i="23"/>
  <c r="M11" i="23" s="1"/>
  <c r="L12" i="23"/>
  <c r="M12" i="23" s="1"/>
  <c r="L13" i="23"/>
  <c r="M13" i="23" s="1"/>
  <c r="L14" i="23"/>
  <c r="M14" i="23" s="1"/>
  <c r="L15" i="23"/>
  <c r="M15" i="23" s="1"/>
  <c r="L16" i="23"/>
  <c r="M16" i="23" s="1"/>
  <c r="L17" i="23"/>
  <c r="M17" i="23" s="1"/>
  <c r="E4" i="23"/>
  <c r="E5" i="23"/>
  <c r="F5" i="23" s="1"/>
  <c r="E6" i="23"/>
  <c r="F6" i="23" s="1"/>
  <c r="E7" i="23"/>
  <c r="F7" i="23" s="1"/>
  <c r="E8" i="23"/>
  <c r="F8" i="23" s="1"/>
  <c r="E9" i="23"/>
  <c r="F9" i="23" s="1"/>
  <c r="E10" i="23"/>
  <c r="F10" i="23" s="1"/>
  <c r="E11" i="23"/>
  <c r="F11" i="23" s="1"/>
  <c r="E12" i="23"/>
  <c r="F12" i="23" s="1"/>
  <c r="E13" i="23"/>
  <c r="F13" i="23" s="1"/>
  <c r="E14" i="23"/>
  <c r="F14" i="23" s="1"/>
  <c r="E15" i="23"/>
  <c r="F15" i="23" s="1"/>
  <c r="E16" i="23"/>
  <c r="F16" i="23" s="1"/>
  <c r="E17" i="23"/>
  <c r="F17" i="23" s="1"/>
  <c r="H55" i="5" l="1"/>
  <c r="C51" i="22"/>
  <c r="C59" i="22"/>
  <c r="C55" i="22"/>
  <c r="C50" i="22"/>
  <c r="C52" i="22"/>
  <c r="C60" i="22"/>
  <c r="C47" i="22"/>
  <c r="C56" i="22"/>
  <c r="C49" i="22"/>
  <c r="C53" i="22"/>
  <c r="C54" i="22"/>
  <c r="C48" i="22"/>
  <c r="C57" i="22"/>
  <c r="C58" i="22"/>
  <c r="C51" i="20"/>
  <c r="C59" i="20"/>
  <c r="C47" i="20"/>
  <c r="C49" i="20"/>
  <c r="C52" i="20"/>
  <c r="C60" i="20"/>
  <c r="C48" i="20"/>
  <c r="C50" i="20"/>
  <c r="C53" i="20"/>
  <c r="C54" i="20"/>
  <c r="C55" i="20"/>
  <c r="C56" i="20"/>
  <c r="C57" i="20"/>
  <c r="C58" i="20"/>
  <c r="C51" i="19"/>
  <c r="C59" i="19"/>
  <c r="C55" i="19"/>
  <c r="C56" i="19"/>
  <c r="C57" i="19"/>
  <c r="C58" i="19"/>
  <c r="C52" i="19"/>
  <c r="C60" i="19"/>
  <c r="C53" i="19"/>
  <c r="C54" i="19"/>
  <c r="C47" i="19"/>
  <c r="C48" i="19"/>
  <c r="C49" i="19"/>
  <c r="C50" i="19"/>
  <c r="B20" i="6" l="1"/>
  <c r="B19" i="6"/>
  <c r="B17" i="6"/>
  <c r="B16" i="6"/>
  <c r="B13" i="6"/>
  <c r="B12" i="6"/>
  <c r="B11" i="6"/>
  <c r="AA13" i="5"/>
  <c r="AA11" i="5"/>
  <c r="AA9" i="5"/>
  <c r="AA7" i="5"/>
  <c r="M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E58" i="22"/>
  <c r="D53" i="22"/>
  <c r="E60" i="22"/>
  <c r="E59" i="22"/>
  <c r="D58" i="22"/>
  <c r="E53" i="22"/>
  <c r="D60" i="22"/>
  <c r="D59" i="22"/>
  <c r="E57" i="22"/>
  <c r="E49" i="22"/>
  <c r="E52" i="22"/>
  <c r="D51" i="22"/>
  <c r="D57" i="22"/>
  <c r="D49" i="22"/>
  <c r="D52" i="22"/>
  <c r="E51" i="22"/>
  <c r="E48" i="22"/>
  <c r="D56" i="22"/>
  <c r="E50" i="22"/>
  <c r="D48" i="22"/>
  <c r="E56" i="22"/>
  <c r="D50" i="22"/>
  <c r="E54" i="22"/>
  <c r="E47" i="22"/>
  <c r="E55" i="22"/>
  <c r="D54" i="22"/>
  <c r="D47" i="22"/>
  <c r="D55" i="22"/>
  <c r="D58" i="20"/>
  <c r="E54" i="20"/>
  <c r="E60" i="20"/>
  <c r="E59" i="20"/>
  <c r="E58" i="20"/>
  <c r="D54" i="20"/>
  <c r="D60" i="20"/>
  <c r="D59" i="20"/>
  <c r="D57" i="20"/>
  <c r="D53" i="20"/>
  <c r="D52" i="20"/>
  <c r="E51" i="20"/>
  <c r="E57" i="20"/>
  <c r="E53" i="20"/>
  <c r="E52" i="20"/>
  <c r="D51" i="20"/>
  <c r="E47" i="20"/>
  <c r="D56" i="20"/>
  <c r="D50" i="20"/>
  <c r="D49" i="20"/>
  <c r="E48" i="20"/>
  <c r="E56" i="20"/>
  <c r="E50" i="20"/>
  <c r="E49" i="20"/>
  <c r="E55" i="20"/>
  <c r="D55" i="20"/>
  <c r="D48" i="20"/>
  <c r="D47" i="20"/>
  <c r="D50" i="19"/>
  <c r="D54" i="19"/>
  <c r="E58" i="19"/>
  <c r="D59" i="19"/>
  <c r="D47" i="19"/>
  <c r="E50" i="19"/>
  <c r="E54" i="19"/>
  <c r="D58" i="19"/>
  <c r="E59" i="19"/>
  <c r="D56" i="19"/>
  <c r="D55" i="19"/>
  <c r="E49" i="19"/>
  <c r="D53" i="19"/>
  <c r="E57" i="19"/>
  <c r="E51" i="19"/>
  <c r="D48" i="19"/>
  <c r="D49" i="19"/>
  <c r="E53" i="19"/>
  <c r="D57" i="19"/>
  <c r="D51" i="19"/>
  <c r="E60" i="19"/>
  <c r="D52" i="19"/>
  <c r="E48" i="19"/>
  <c r="D60" i="19"/>
  <c r="E56" i="19"/>
  <c r="E47" i="19"/>
  <c r="E52" i="19"/>
  <c r="E55" i="19"/>
  <c r="U7" i="5" l="1"/>
  <c r="V7" i="5" s="1"/>
  <c r="U688" i="5"/>
  <c r="V688" i="5" s="1"/>
  <c r="W109" i="5"/>
  <c r="X109" i="5" s="1"/>
  <c r="U277" i="5"/>
  <c r="V277" i="5" s="1"/>
  <c r="W925" i="5"/>
  <c r="X925" i="5" s="1"/>
  <c r="W909" i="5"/>
  <c r="X909" i="5" s="1"/>
  <c r="W901" i="5"/>
  <c r="X901" i="5" s="1"/>
  <c r="W858" i="5"/>
  <c r="X858" i="5" s="1"/>
  <c r="W989" i="5"/>
  <c r="X989" i="5" s="1"/>
  <c r="W583" i="5"/>
  <c r="X583" i="5" s="1"/>
  <c r="W973" i="5"/>
  <c r="X973" i="5" s="1"/>
  <c r="W413" i="5"/>
  <c r="X413" i="5" s="1"/>
  <c r="W965" i="5"/>
  <c r="X965" i="5" s="1"/>
  <c r="W326" i="5"/>
  <c r="X326" i="5" s="1"/>
  <c r="W957" i="5"/>
  <c r="X957" i="5" s="1"/>
  <c r="W226" i="5"/>
  <c r="X226" i="5" s="1"/>
  <c r="W941" i="5"/>
  <c r="X941" i="5" s="1"/>
  <c r="W730" i="5"/>
  <c r="X730" i="5" s="1"/>
  <c r="U984" i="5"/>
  <c r="V984" i="5" s="1"/>
  <c r="W997" i="5"/>
  <c r="X997" i="5" s="1"/>
  <c r="W933" i="5"/>
  <c r="X933" i="5" s="1"/>
  <c r="W663" i="5"/>
  <c r="X663" i="5" s="1"/>
  <c r="U944" i="5"/>
  <c r="V944" i="5" s="1"/>
  <c r="U912" i="5"/>
  <c r="V912" i="5" s="1"/>
  <c r="W981" i="5"/>
  <c r="X981" i="5" s="1"/>
  <c r="W917" i="5"/>
  <c r="X917" i="5" s="1"/>
  <c r="W499" i="5"/>
  <c r="X499" i="5" s="1"/>
  <c r="U752" i="5"/>
  <c r="V752" i="5" s="1"/>
  <c r="U653" i="5"/>
  <c r="V653" i="5" s="1"/>
  <c r="U64" i="5"/>
  <c r="V64" i="5" s="1"/>
  <c r="W949" i="5"/>
  <c r="X949" i="5" s="1"/>
  <c r="W794" i="5"/>
  <c r="X794" i="5" s="1"/>
  <c r="W123" i="5"/>
  <c r="X123" i="5" s="1"/>
  <c r="U969" i="5"/>
  <c r="V969" i="5" s="1"/>
  <c r="U720" i="5"/>
  <c r="V720" i="5" s="1"/>
  <c r="U149" i="5"/>
  <c r="V149" i="5" s="1"/>
  <c r="W996" i="5"/>
  <c r="X996" i="5" s="1"/>
  <c r="W988" i="5"/>
  <c r="X988" i="5" s="1"/>
  <c r="W980" i="5"/>
  <c r="X980" i="5" s="1"/>
  <c r="W972" i="5"/>
  <c r="X972" i="5" s="1"/>
  <c r="W964" i="5"/>
  <c r="X964" i="5" s="1"/>
  <c r="W956" i="5"/>
  <c r="X956" i="5" s="1"/>
  <c r="W948" i="5"/>
  <c r="X948" i="5" s="1"/>
  <c r="W940" i="5"/>
  <c r="X940" i="5" s="1"/>
  <c r="W932" i="5"/>
  <c r="X932" i="5" s="1"/>
  <c r="W924" i="5"/>
  <c r="X924" i="5" s="1"/>
  <c r="W916" i="5"/>
  <c r="X916" i="5" s="1"/>
  <c r="W908" i="5"/>
  <c r="X908" i="5" s="1"/>
  <c r="W900" i="5"/>
  <c r="X900" i="5" s="1"/>
  <c r="W850" i="5"/>
  <c r="X850" i="5" s="1"/>
  <c r="W786" i="5"/>
  <c r="X786" i="5" s="1"/>
  <c r="W722" i="5"/>
  <c r="X722" i="5" s="1"/>
  <c r="W654" i="5"/>
  <c r="X654" i="5" s="1"/>
  <c r="W573" i="5"/>
  <c r="X573" i="5" s="1"/>
  <c r="W487" i="5"/>
  <c r="X487" i="5" s="1"/>
  <c r="W403" i="5"/>
  <c r="X403" i="5" s="1"/>
  <c r="W315" i="5"/>
  <c r="X315" i="5" s="1"/>
  <c r="W212" i="5"/>
  <c r="X212" i="5" s="1"/>
  <c r="W6" i="5"/>
  <c r="X6" i="5" s="1"/>
  <c r="W14" i="5"/>
  <c r="X14" i="5" s="1"/>
  <c r="W22" i="5"/>
  <c r="X22" i="5" s="1"/>
  <c r="W30" i="5"/>
  <c r="X30" i="5" s="1"/>
  <c r="W38" i="5"/>
  <c r="X38" i="5" s="1"/>
  <c r="W46" i="5"/>
  <c r="X46" i="5" s="1"/>
  <c r="W54" i="5"/>
  <c r="X54" i="5" s="1"/>
  <c r="W62" i="5"/>
  <c r="X62" i="5" s="1"/>
  <c r="W70" i="5"/>
  <c r="X70" i="5" s="1"/>
  <c r="W78" i="5"/>
  <c r="X78" i="5" s="1"/>
  <c r="W86" i="5"/>
  <c r="X86" i="5" s="1"/>
  <c r="W94" i="5"/>
  <c r="X94" i="5" s="1"/>
  <c r="W102" i="5"/>
  <c r="X102" i="5" s="1"/>
  <c r="W7" i="5"/>
  <c r="X7" i="5" s="1"/>
  <c r="W15" i="5"/>
  <c r="X15" i="5" s="1"/>
  <c r="W23" i="5"/>
  <c r="X23" i="5" s="1"/>
  <c r="W31" i="5"/>
  <c r="X31" i="5" s="1"/>
  <c r="W39" i="5"/>
  <c r="X39" i="5" s="1"/>
  <c r="W47" i="5"/>
  <c r="X47" i="5" s="1"/>
  <c r="W55" i="5"/>
  <c r="X55" i="5" s="1"/>
  <c r="W63" i="5"/>
  <c r="X63" i="5" s="1"/>
  <c r="W71" i="5"/>
  <c r="X71" i="5" s="1"/>
  <c r="W79" i="5"/>
  <c r="X79" i="5" s="1"/>
  <c r="W87" i="5"/>
  <c r="X87" i="5" s="1"/>
  <c r="W95" i="5"/>
  <c r="X95" i="5" s="1"/>
  <c r="W103" i="5"/>
  <c r="X103" i="5" s="1"/>
  <c r="W111" i="5"/>
  <c r="X111" i="5" s="1"/>
  <c r="W119" i="5"/>
  <c r="X119" i="5" s="1"/>
  <c r="W127" i="5"/>
  <c r="X127" i="5" s="1"/>
  <c r="W135" i="5"/>
  <c r="X135" i="5" s="1"/>
  <c r="W143" i="5"/>
  <c r="X143" i="5" s="1"/>
  <c r="W151" i="5"/>
  <c r="X151" i="5" s="1"/>
  <c r="W159" i="5"/>
  <c r="X159" i="5" s="1"/>
  <c r="W167" i="5"/>
  <c r="X167" i="5" s="1"/>
  <c r="W175" i="5"/>
  <c r="X175" i="5" s="1"/>
  <c r="W183" i="5"/>
  <c r="X183" i="5" s="1"/>
  <c r="W191" i="5"/>
  <c r="X191" i="5" s="1"/>
  <c r="W199" i="5"/>
  <c r="X199" i="5" s="1"/>
  <c r="W207" i="5"/>
  <c r="X207" i="5" s="1"/>
  <c r="W215" i="5"/>
  <c r="X215" i="5" s="1"/>
  <c r="W223" i="5"/>
  <c r="X223" i="5" s="1"/>
  <c r="W231" i="5"/>
  <c r="X231" i="5" s="1"/>
  <c r="W239" i="5"/>
  <c r="X239" i="5" s="1"/>
  <c r="W247" i="5"/>
  <c r="X247" i="5" s="1"/>
  <c r="W255" i="5"/>
  <c r="X255" i="5" s="1"/>
  <c r="W263" i="5"/>
  <c r="X263" i="5" s="1"/>
  <c r="W271" i="5"/>
  <c r="X271" i="5" s="1"/>
  <c r="W279" i="5"/>
  <c r="X279" i="5" s="1"/>
  <c r="W287" i="5"/>
  <c r="X287" i="5" s="1"/>
  <c r="W295" i="5"/>
  <c r="X295" i="5" s="1"/>
  <c r="W303" i="5"/>
  <c r="X303" i="5" s="1"/>
  <c r="W311" i="5"/>
  <c r="X311" i="5" s="1"/>
  <c r="W319" i="5"/>
  <c r="X319" i="5" s="1"/>
  <c r="W327" i="5"/>
  <c r="X327" i="5" s="1"/>
  <c r="W8" i="5"/>
  <c r="X8" i="5" s="1"/>
  <c r="W16" i="5"/>
  <c r="X16" i="5" s="1"/>
  <c r="W24" i="5"/>
  <c r="X24" i="5" s="1"/>
  <c r="W32" i="5"/>
  <c r="X32" i="5" s="1"/>
  <c r="W40" i="5"/>
  <c r="X40" i="5" s="1"/>
  <c r="W48" i="5"/>
  <c r="X48" i="5" s="1"/>
  <c r="W56" i="5"/>
  <c r="X56" i="5" s="1"/>
  <c r="W64" i="5"/>
  <c r="X64" i="5" s="1"/>
  <c r="W72" i="5"/>
  <c r="X72" i="5" s="1"/>
  <c r="W80" i="5"/>
  <c r="X80" i="5" s="1"/>
  <c r="W88" i="5"/>
  <c r="X88" i="5" s="1"/>
  <c r="W96" i="5"/>
  <c r="X96" i="5" s="1"/>
  <c r="W104" i="5"/>
  <c r="X104" i="5" s="1"/>
  <c r="W112" i="5"/>
  <c r="X112" i="5" s="1"/>
  <c r="W120" i="5"/>
  <c r="X120" i="5" s="1"/>
  <c r="W128" i="5"/>
  <c r="X128" i="5" s="1"/>
  <c r="W136" i="5"/>
  <c r="X136" i="5" s="1"/>
  <c r="W144" i="5"/>
  <c r="X144" i="5" s="1"/>
  <c r="W152" i="5"/>
  <c r="X152" i="5" s="1"/>
  <c r="W160" i="5"/>
  <c r="X160" i="5" s="1"/>
  <c r="W168" i="5"/>
  <c r="X168" i="5" s="1"/>
  <c r="W176" i="5"/>
  <c r="X176" i="5" s="1"/>
  <c r="W184" i="5"/>
  <c r="X184" i="5" s="1"/>
  <c r="W192" i="5"/>
  <c r="X192" i="5" s="1"/>
  <c r="W200" i="5"/>
  <c r="X200" i="5" s="1"/>
  <c r="W208" i="5"/>
  <c r="X208" i="5" s="1"/>
  <c r="W216" i="5"/>
  <c r="X216" i="5" s="1"/>
  <c r="W224" i="5"/>
  <c r="X224" i="5" s="1"/>
  <c r="W232" i="5"/>
  <c r="X232" i="5" s="1"/>
  <c r="W240" i="5"/>
  <c r="X240" i="5" s="1"/>
  <c r="W248" i="5"/>
  <c r="X248" i="5" s="1"/>
  <c r="W256" i="5"/>
  <c r="X256" i="5" s="1"/>
  <c r="W264" i="5"/>
  <c r="X264" i="5" s="1"/>
  <c r="W272" i="5"/>
  <c r="X272" i="5" s="1"/>
  <c r="W280" i="5"/>
  <c r="X280" i="5" s="1"/>
  <c r="W288" i="5"/>
  <c r="X288" i="5" s="1"/>
  <c r="W296" i="5"/>
  <c r="X296" i="5" s="1"/>
  <c r="W304" i="5"/>
  <c r="X304" i="5" s="1"/>
  <c r="W312" i="5"/>
  <c r="X312" i="5" s="1"/>
  <c r="W320" i="5"/>
  <c r="X320" i="5" s="1"/>
  <c r="W328" i="5"/>
  <c r="X328" i="5" s="1"/>
  <c r="W336" i="5"/>
  <c r="X336" i="5" s="1"/>
  <c r="W344" i="5"/>
  <c r="X344" i="5" s="1"/>
  <c r="W352" i="5"/>
  <c r="X352" i="5" s="1"/>
  <c r="W360" i="5"/>
  <c r="X360" i="5" s="1"/>
  <c r="W368" i="5"/>
  <c r="X368" i="5" s="1"/>
  <c r="W376" i="5"/>
  <c r="X376" i="5" s="1"/>
  <c r="W384" i="5"/>
  <c r="X384" i="5" s="1"/>
  <c r="W392" i="5"/>
  <c r="X392" i="5" s="1"/>
  <c r="W400" i="5"/>
  <c r="X400" i="5" s="1"/>
  <c r="W408" i="5"/>
  <c r="X408" i="5" s="1"/>
  <c r="W416" i="5"/>
  <c r="X416" i="5" s="1"/>
  <c r="W424" i="5"/>
  <c r="X424" i="5" s="1"/>
  <c r="W432" i="5"/>
  <c r="X432" i="5" s="1"/>
  <c r="W440" i="5"/>
  <c r="X440" i="5" s="1"/>
  <c r="W448" i="5"/>
  <c r="X448" i="5" s="1"/>
  <c r="W456" i="5"/>
  <c r="X456" i="5" s="1"/>
  <c r="W464" i="5"/>
  <c r="X464" i="5" s="1"/>
  <c r="W472" i="5"/>
  <c r="X472" i="5" s="1"/>
  <c r="W480" i="5"/>
  <c r="X480" i="5" s="1"/>
  <c r="W488" i="5"/>
  <c r="X488" i="5" s="1"/>
  <c r="W496" i="5"/>
  <c r="X496" i="5" s="1"/>
  <c r="W504" i="5"/>
  <c r="X504" i="5" s="1"/>
  <c r="W512" i="5"/>
  <c r="X512" i="5" s="1"/>
  <c r="W520" i="5"/>
  <c r="X520" i="5" s="1"/>
  <c r="W528" i="5"/>
  <c r="X528" i="5" s="1"/>
  <c r="W536" i="5"/>
  <c r="X536" i="5" s="1"/>
  <c r="W544" i="5"/>
  <c r="X544" i="5" s="1"/>
  <c r="W552" i="5"/>
  <c r="X552" i="5" s="1"/>
  <c r="W560" i="5"/>
  <c r="X560" i="5" s="1"/>
  <c r="W568" i="5"/>
  <c r="X568" i="5" s="1"/>
  <c r="W576" i="5"/>
  <c r="X576" i="5" s="1"/>
  <c r="W584" i="5"/>
  <c r="X584" i="5" s="1"/>
  <c r="W592" i="5"/>
  <c r="X592" i="5" s="1"/>
  <c r="W600" i="5"/>
  <c r="X600" i="5" s="1"/>
  <c r="W608" i="5"/>
  <c r="X608" i="5" s="1"/>
  <c r="W616" i="5"/>
  <c r="X616" i="5" s="1"/>
  <c r="W624" i="5"/>
  <c r="X624" i="5" s="1"/>
  <c r="W9" i="5"/>
  <c r="X9" i="5" s="1"/>
  <c r="W17" i="5"/>
  <c r="X17" i="5" s="1"/>
  <c r="W25" i="5"/>
  <c r="X25" i="5" s="1"/>
  <c r="W33" i="5"/>
  <c r="X33" i="5" s="1"/>
  <c r="W41" i="5"/>
  <c r="X41" i="5" s="1"/>
  <c r="W49" i="5"/>
  <c r="X49" i="5" s="1"/>
  <c r="W57" i="5"/>
  <c r="X57" i="5" s="1"/>
  <c r="W65" i="5"/>
  <c r="X65" i="5" s="1"/>
  <c r="W73" i="5"/>
  <c r="X73" i="5" s="1"/>
  <c r="W81" i="5"/>
  <c r="X81" i="5" s="1"/>
  <c r="W89" i="5"/>
  <c r="X89" i="5" s="1"/>
  <c r="W97" i="5"/>
  <c r="X97" i="5" s="1"/>
  <c r="W105" i="5"/>
  <c r="X105" i="5" s="1"/>
  <c r="W113" i="5"/>
  <c r="X113" i="5" s="1"/>
  <c r="W121" i="5"/>
  <c r="X121" i="5" s="1"/>
  <c r="W129" i="5"/>
  <c r="X129" i="5" s="1"/>
  <c r="W137" i="5"/>
  <c r="X137" i="5" s="1"/>
  <c r="W145" i="5"/>
  <c r="X145" i="5" s="1"/>
  <c r="W153" i="5"/>
  <c r="X153" i="5" s="1"/>
  <c r="W161" i="5"/>
  <c r="X161" i="5" s="1"/>
  <c r="W169" i="5"/>
  <c r="X169" i="5" s="1"/>
  <c r="W177" i="5"/>
  <c r="X177" i="5" s="1"/>
  <c r="W185" i="5"/>
  <c r="X185" i="5" s="1"/>
  <c r="W193" i="5"/>
  <c r="X193" i="5" s="1"/>
  <c r="W201" i="5"/>
  <c r="X201" i="5" s="1"/>
  <c r="W209" i="5"/>
  <c r="X209" i="5" s="1"/>
  <c r="W217" i="5"/>
  <c r="X217" i="5" s="1"/>
  <c r="W225" i="5"/>
  <c r="X225" i="5" s="1"/>
  <c r="W233" i="5"/>
  <c r="X233" i="5" s="1"/>
  <c r="W241" i="5"/>
  <c r="X241" i="5" s="1"/>
  <c r="W249" i="5"/>
  <c r="X249" i="5" s="1"/>
  <c r="W257" i="5"/>
  <c r="X257" i="5" s="1"/>
  <c r="W265" i="5"/>
  <c r="X265" i="5" s="1"/>
  <c r="W273" i="5"/>
  <c r="X273" i="5" s="1"/>
  <c r="W281" i="5"/>
  <c r="X281" i="5" s="1"/>
  <c r="W289" i="5"/>
  <c r="X289" i="5" s="1"/>
  <c r="W297" i="5"/>
  <c r="X297" i="5" s="1"/>
  <c r="W305" i="5"/>
  <c r="X305" i="5" s="1"/>
  <c r="W313" i="5"/>
  <c r="X313" i="5" s="1"/>
  <c r="W321" i="5"/>
  <c r="X321" i="5" s="1"/>
  <c r="W329" i="5"/>
  <c r="X329" i="5" s="1"/>
  <c r="W337" i="5"/>
  <c r="X337" i="5" s="1"/>
  <c r="W345" i="5"/>
  <c r="X345" i="5" s="1"/>
  <c r="W353" i="5"/>
  <c r="X353" i="5" s="1"/>
  <c r="W361" i="5"/>
  <c r="X361" i="5" s="1"/>
  <c r="W369" i="5"/>
  <c r="X369" i="5" s="1"/>
  <c r="W377" i="5"/>
  <c r="X377" i="5" s="1"/>
  <c r="W385" i="5"/>
  <c r="X385" i="5" s="1"/>
  <c r="W393" i="5"/>
  <c r="X393" i="5" s="1"/>
  <c r="W401" i="5"/>
  <c r="X401" i="5" s="1"/>
  <c r="W409" i="5"/>
  <c r="X409" i="5" s="1"/>
  <c r="W417" i="5"/>
  <c r="X417" i="5" s="1"/>
  <c r="W425" i="5"/>
  <c r="X425" i="5" s="1"/>
  <c r="W433" i="5"/>
  <c r="X433" i="5" s="1"/>
  <c r="W441" i="5"/>
  <c r="X441" i="5" s="1"/>
  <c r="W449" i="5"/>
  <c r="X449" i="5" s="1"/>
  <c r="W457" i="5"/>
  <c r="X457" i="5" s="1"/>
  <c r="W465" i="5"/>
  <c r="X465" i="5" s="1"/>
  <c r="W473" i="5"/>
  <c r="X473" i="5" s="1"/>
  <c r="W481" i="5"/>
  <c r="X481" i="5" s="1"/>
  <c r="W489" i="5"/>
  <c r="X489" i="5" s="1"/>
  <c r="W497" i="5"/>
  <c r="X497" i="5" s="1"/>
  <c r="W505" i="5"/>
  <c r="X505" i="5" s="1"/>
  <c r="W513" i="5"/>
  <c r="X513" i="5" s="1"/>
  <c r="W521" i="5"/>
  <c r="X521" i="5" s="1"/>
  <c r="W529" i="5"/>
  <c r="X529" i="5" s="1"/>
  <c r="W537" i="5"/>
  <c r="X537" i="5" s="1"/>
  <c r="W545" i="5"/>
  <c r="X545" i="5" s="1"/>
  <c r="W553" i="5"/>
  <c r="X553" i="5" s="1"/>
  <c r="W561" i="5"/>
  <c r="X561" i="5" s="1"/>
  <c r="W569" i="5"/>
  <c r="X569" i="5" s="1"/>
  <c r="W577" i="5"/>
  <c r="X577" i="5" s="1"/>
  <c r="W585" i="5"/>
  <c r="X585" i="5" s="1"/>
  <c r="W593" i="5"/>
  <c r="X593" i="5" s="1"/>
  <c r="W601" i="5"/>
  <c r="X601" i="5" s="1"/>
  <c r="W609" i="5"/>
  <c r="X609" i="5" s="1"/>
  <c r="W617" i="5"/>
  <c r="X617" i="5" s="1"/>
  <c r="W625" i="5"/>
  <c r="X625" i="5" s="1"/>
  <c r="W633" i="5"/>
  <c r="X633" i="5" s="1"/>
  <c r="W641" i="5"/>
  <c r="X641" i="5" s="1"/>
  <c r="W649" i="5"/>
  <c r="X649" i="5" s="1"/>
  <c r="W657" i="5"/>
  <c r="X657" i="5" s="1"/>
  <c r="W665" i="5"/>
  <c r="X665" i="5" s="1"/>
  <c r="W673" i="5"/>
  <c r="X673" i="5" s="1"/>
  <c r="W681" i="5"/>
  <c r="X681" i="5" s="1"/>
  <c r="W2" i="5"/>
  <c r="X2" i="5" s="1"/>
  <c r="W18" i="5"/>
  <c r="X18" i="5" s="1"/>
  <c r="W34" i="5"/>
  <c r="X34" i="5" s="1"/>
  <c r="W50" i="5"/>
  <c r="X50" i="5" s="1"/>
  <c r="W66" i="5"/>
  <c r="X66" i="5" s="1"/>
  <c r="W82" i="5"/>
  <c r="X82" i="5" s="1"/>
  <c r="W98" i="5"/>
  <c r="X98" i="5" s="1"/>
  <c r="W110" i="5"/>
  <c r="X110" i="5" s="1"/>
  <c r="W124" i="5"/>
  <c r="X124" i="5" s="1"/>
  <c r="W138" i="5"/>
  <c r="X138" i="5" s="1"/>
  <c r="W149" i="5"/>
  <c r="X149" i="5" s="1"/>
  <c r="W163" i="5"/>
  <c r="X163" i="5" s="1"/>
  <c r="W174" i="5"/>
  <c r="X174" i="5" s="1"/>
  <c r="W188" i="5"/>
  <c r="X188" i="5" s="1"/>
  <c r="W202" i="5"/>
  <c r="X202" i="5" s="1"/>
  <c r="W213" i="5"/>
  <c r="X213" i="5" s="1"/>
  <c r="W227" i="5"/>
  <c r="X227" i="5" s="1"/>
  <c r="W238" i="5"/>
  <c r="X238" i="5" s="1"/>
  <c r="W252" i="5"/>
  <c r="X252" i="5" s="1"/>
  <c r="W266" i="5"/>
  <c r="X266" i="5" s="1"/>
  <c r="W277" i="5"/>
  <c r="X277" i="5" s="1"/>
  <c r="W291" i="5"/>
  <c r="X291" i="5" s="1"/>
  <c r="W302" i="5"/>
  <c r="X302" i="5" s="1"/>
  <c r="W316" i="5"/>
  <c r="X316" i="5" s="1"/>
  <c r="W330" i="5"/>
  <c r="X330" i="5" s="1"/>
  <c r="W340" i="5"/>
  <c r="X340" i="5" s="1"/>
  <c r="W350" i="5"/>
  <c r="X350" i="5" s="1"/>
  <c r="W362" i="5"/>
  <c r="X362" i="5" s="1"/>
  <c r="W372" i="5"/>
  <c r="X372" i="5" s="1"/>
  <c r="W382" i="5"/>
  <c r="X382" i="5" s="1"/>
  <c r="W394" i="5"/>
  <c r="X394" i="5" s="1"/>
  <c r="W404" i="5"/>
  <c r="X404" i="5" s="1"/>
  <c r="W414" i="5"/>
  <c r="X414" i="5" s="1"/>
  <c r="W426" i="5"/>
  <c r="X426" i="5" s="1"/>
  <c r="W436" i="5"/>
  <c r="X436" i="5" s="1"/>
  <c r="W446" i="5"/>
  <c r="X446" i="5" s="1"/>
  <c r="W458" i="5"/>
  <c r="X458" i="5" s="1"/>
  <c r="W468" i="5"/>
  <c r="X468" i="5" s="1"/>
  <c r="W478" i="5"/>
  <c r="X478" i="5" s="1"/>
  <c r="W490" i="5"/>
  <c r="X490" i="5" s="1"/>
  <c r="W500" i="5"/>
  <c r="X500" i="5" s="1"/>
  <c r="W510" i="5"/>
  <c r="X510" i="5" s="1"/>
  <c r="W522" i="5"/>
  <c r="X522" i="5" s="1"/>
  <c r="W532" i="5"/>
  <c r="X532" i="5" s="1"/>
  <c r="W542" i="5"/>
  <c r="X542" i="5" s="1"/>
  <c r="W554" i="5"/>
  <c r="X554" i="5" s="1"/>
  <c r="W564" i="5"/>
  <c r="X564" i="5" s="1"/>
  <c r="W574" i="5"/>
  <c r="X574" i="5" s="1"/>
  <c r="W586" i="5"/>
  <c r="X586" i="5" s="1"/>
  <c r="W596" i="5"/>
  <c r="X596" i="5" s="1"/>
  <c r="W606" i="5"/>
  <c r="X606" i="5" s="1"/>
  <c r="W618" i="5"/>
  <c r="X618" i="5" s="1"/>
  <c r="W628" i="5"/>
  <c r="X628" i="5" s="1"/>
  <c r="W637" i="5"/>
  <c r="X637" i="5" s="1"/>
  <c r="W646" i="5"/>
  <c r="X646" i="5" s="1"/>
  <c r="W655" i="5"/>
  <c r="X655" i="5" s="1"/>
  <c r="W664" i="5"/>
  <c r="X664" i="5" s="1"/>
  <c r="W674" i="5"/>
  <c r="X674" i="5" s="1"/>
  <c r="W683" i="5"/>
  <c r="X683" i="5" s="1"/>
  <c r="W691" i="5"/>
  <c r="X691" i="5" s="1"/>
  <c r="W699" i="5"/>
  <c r="X699" i="5" s="1"/>
  <c r="W707" i="5"/>
  <c r="X707" i="5" s="1"/>
  <c r="W715" i="5"/>
  <c r="X715" i="5" s="1"/>
  <c r="W723" i="5"/>
  <c r="X723" i="5" s="1"/>
  <c r="W731" i="5"/>
  <c r="X731" i="5" s="1"/>
  <c r="W739" i="5"/>
  <c r="X739" i="5" s="1"/>
  <c r="W747" i="5"/>
  <c r="X747" i="5" s="1"/>
  <c r="W755" i="5"/>
  <c r="X755" i="5" s="1"/>
  <c r="W763" i="5"/>
  <c r="X763" i="5" s="1"/>
  <c r="W771" i="5"/>
  <c r="X771" i="5" s="1"/>
  <c r="W779" i="5"/>
  <c r="X779" i="5" s="1"/>
  <c r="W787" i="5"/>
  <c r="X787" i="5" s="1"/>
  <c r="W795" i="5"/>
  <c r="X795" i="5" s="1"/>
  <c r="W803" i="5"/>
  <c r="X803" i="5" s="1"/>
  <c r="W811" i="5"/>
  <c r="X811" i="5" s="1"/>
  <c r="W819" i="5"/>
  <c r="X819" i="5" s="1"/>
  <c r="W827" i="5"/>
  <c r="X827" i="5" s="1"/>
  <c r="W835" i="5"/>
  <c r="X835" i="5" s="1"/>
  <c r="W843" i="5"/>
  <c r="X843" i="5" s="1"/>
  <c r="W851" i="5"/>
  <c r="X851" i="5" s="1"/>
  <c r="W859" i="5"/>
  <c r="X859" i="5" s="1"/>
  <c r="W867" i="5"/>
  <c r="X867" i="5" s="1"/>
  <c r="W875" i="5"/>
  <c r="X875" i="5" s="1"/>
  <c r="W883" i="5"/>
  <c r="X883" i="5" s="1"/>
  <c r="W891" i="5"/>
  <c r="X891" i="5" s="1"/>
  <c r="W3" i="5"/>
  <c r="X3" i="5" s="1"/>
  <c r="W19" i="5"/>
  <c r="X19" i="5" s="1"/>
  <c r="W35" i="5"/>
  <c r="X35" i="5" s="1"/>
  <c r="W51" i="5"/>
  <c r="X51" i="5" s="1"/>
  <c r="W67" i="5"/>
  <c r="X67" i="5" s="1"/>
  <c r="W83" i="5"/>
  <c r="X83" i="5" s="1"/>
  <c r="W99" i="5"/>
  <c r="X99" i="5" s="1"/>
  <c r="W114" i="5"/>
  <c r="X114" i="5" s="1"/>
  <c r="W125" i="5"/>
  <c r="X125" i="5" s="1"/>
  <c r="W139" i="5"/>
  <c r="X139" i="5" s="1"/>
  <c r="W150" i="5"/>
  <c r="X150" i="5" s="1"/>
  <c r="W164" i="5"/>
  <c r="X164" i="5" s="1"/>
  <c r="W178" i="5"/>
  <c r="X178" i="5" s="1"/>
  <c r="W189" i="5"/>
  <c r="X189" i="5" s="1"/>
  <c r="W203" i="5"/>
  <c r="X203" i="5" s="1"/>
  <c r="W214" i="5"/>
  <c r="X214" i="5" s="1"/>
  <c r="W228" i="5"/>
  <c r="X228" i="5" s="1"/>
  <c r="W242" i="5"/>
  <c r="X242" i="5" s="1"/>
  <c r="W253" i="5"/>
  <c r="X253" i="5" s="1"/>
  <c r="W267" i="5"/>
  <c r="X267" i="5" s="1"/>
  <c r="W278" i="5"/>
  <c r="X278" i="5" s="1"/>
  <c r="W292" i="5"/>
  <c r="X292" i="5" s="1"/>
  <c r="W306" i="5"/>
  <c r="X306" i="5" s="1"/>
  <c r="W317" i="5"/>
  <c r="X317" i="5" s="1"/>
  <c r="W331" i="5"/>
  <c r="X331" i="5" s="1"/>
  <c r="W341" i="5"/>
  <c r="X341" i="5" s="1"/>
  <c r="W351" i="5"/>
  <c r="X351" i="5" s="1"/>
  <c r="W363" i="5"/>
  <c r="X363" i="5" s="1"/>
  <c r="W373" i="5"/>
  <c r="X373" i="5" s="1"/>
  <c r="W383" i="5"/>
  <c r="X383" i="5" s="1"/>
  <c r="W395" i="5"/>
  <c r="X395" i="5" s="1"/>
  <c r="W405" i="5"/>
  <c r="X405" i="5" s="1"/>
  <c r="W415" i="5"/>
  <c r="X415" i="5" s="1"/>
  <c r="W427" i="5"/>
  <c r="X427" i="5" s="1"/>
  <c r="W437" i="5"/>
  <c r="X437" i="5" s="1"/>
  <c r="W447" i="5"/>
  <c r="X447" i="5" s="1"/>
  <c r="W459" i="5"/>
  <c r="X459" i="5" s="1"/>
  <c r="W469" i="5"/>
  <c r="X469" i="5" s="1"/>
  <c r="W479" i="5"/>
  <c r="X479" i="5" s="1"/>
  <c r="W491" i="5"/>
  <c r="X491" i="5" s="1"/>
  <c r="W501" i="5"/>
  <c r="X501" i="5" s="1"/>
  <c r="W511" i="5"/>
  <c r="X511" i="5" s="1"/>
  <c r="W523" i="5"/>
  <c r="X523" i="5" s="1"/>
  <c r="W533" i="5"/>
  <c r="X533" i="5" s="1"/>
  <c r="W543" i="5"/>
  <c r="X543" i="5" s="1"/>
  <c r="W555" i="5"/>
  <c r="X555" i="5" s="1"/>
  <c r="W565" i="5"/>
  <c r="X565" i="5" s="1"/>
  <c r="W575" i="5"/>
  <c r="X575" i="5" s="1"/>
  <c r="W587" i="5"/>
  <c r="X587" i="5" s="1"/>
  <c r="W597" i="5"/>
  <c r="X597" i="5" s="1"/>
  <c r="W607" i="5"/>
  <c r="X607" i="5" s="1"/>
  <c r="W619" i="5"/>
  <c r="X619" i="5" s="1"/>
  <c r="W629" i="5"/>
  <c r="X629" i="5" s="1"/>
  <c r="W638" i="5"/>
  <c r="X638" i="5" s="1"/>
  <c r="W647" i="5"/>
  <c r="X647" i="5" s="1"/>
  <c r="W656" i="5"/>
  <c r="X656" i="5" s="1"/>
  <c r="W666" i="5"/>
  <c r="X666" i="5" s="1"/>
  <c r="W675" i="5"/>
  <c r="X675" i="5" s="1"/>
  <c r="W684" i="5"/>
  <c r="X684" i="5" s="1"/>
  <c r="W692" i="5"/>
  <c r="X692" i="5" s="1"/>
  <c r="W700" i="5"/>
  <c r="X700" i="5" s="1"/>
  <c r="W708" i="5"/>
  <c r="X708" i="5" s="1"/>
  <c r="W716" i="5"/>
  <c r="X716" i="5" s="1"/>
  <c r="W724" i="5"/>
  <c r="X724" i="5" s="1"/>
  <c r="W732" i="5"/>
  <c r="X732" i="5" s="1"/>
  <c r="W740" i="5"/>
  <c r="X740" i="5" s="1"/>
  <c r="W748" i="5"/>
  <c r="X748" i="5" s="1"/>
  <c r="W756" i="5"/>
  <c r="X756" i="5" s="1"/>
  <c r="W764" i="5"/>
  <c r="X764" i="5" s="1"/>
  <c r="W772" i="5"/>
  <c r="X772" i="5" s="1"/>
  <c r="W780" i="5"/>
  <c r="X780" i="5" s="1"/>
  <c r="W788" i="5"/>
  <c r="X788" i="5" s="1"/>
  <c r="W796" i="5"/>
  <c r="X796" i="5" s="1"/>
  <c r="W804" i="5"/>
  <c r="X804" i="5" s="1"/>
  <c r="W812" i="5"/>
  <c r="X812" i="5" s="1"/>
  <c r="W820" i="5"/>
  <c r="X820" i="5" s="1"/>
  <c r="W828" i="5"/>
  <c r="X828" i="5" s="1"/>
  <c r="W836" i="5"/>
  <c r="X836" i="5" s="1"/>
  <c r="W844" i="5"/>
  <c r="X844" i="5" s="1"/>
  <c r="W852" i="5"/>
  <c r="X852" i="5" s="1"/>
  <c r="W860" i="5"/>
  <c r="X860" i="5" s="1"/>
  <c r="W868" i="5"/>
  <c r="X868" i="5" s="1"/>
  <c r="W876" i="5"/>
  <c r="X876" i="5" s="1"/>
  <c r="W884" i="5"/>
  <c r="X884" i="5" s="1"/>
  <c r="W892" i="5"/>
  <c r="X892" i="5" s="1"/>
  <c r="W4" i="5"/>
  <c r="X4" i="5" s="1"/>
  <c r="W20" i="5"/>
  <c r="X20" i="5" s="1"/>
  <c r="W36" i="5"/>
  <c r="X36" i="5" s="1"/>
  <c r="W52" i="5"/>
  <c r="X52" i="5" s="1"/>
  <c r="W68" i="5"/>
  <c r="X68" i="5" s="1"/>
  <c r="W84" i="5"/>
  <c r="X84" i="5" s="1"/>
  <c r="W100" i="5"/>
  <c r="X100" i="5" s="1"/>
  <c r="W115" i="5"/>
  <c r="X115" i="5" s="1"/>
  <c r="W126" i="5"/>
  <c r="X126" i="5" s="1"/>
  <c r="W140" i="5"/>
  <c r="X140" i="5" s="1"/>
  <c r="W154" i="5"/>
  <c r="X154" i="5" s="1"/>
  <c r="W165" i="5"/>
  <c r="X165" i="5" s="1"/>
  <c r="W179" i="5"/>
  <c r="X179" i="5" s="1"/>
  <c r="W190" i="5"/>
  <c r="X190" i="5" s="1"/>
  <c r="W204" i="5"/>
  <c r="X204" i="5" s="1"/>
  <c r="W218" i="5"/>
  <c r="X218" i="5" s="1"/>
  <c r="W229" i="5"/>
  <c r="X229" i="5" s="1"/>
  <c r="W243" i="5"/>
  <c r="X243" i="5" s="1"/>
  <c r="W254" i="5"/>
  <c r="X254" i="5" s="1"/>
  <c r="W268" i="5"/>
  <c r="X268" i="5" s="1"/>
  <c r="W282" i="5"/>
  <c r="X282" i="5" s="1"/>
  <c r="W293" i="5"/>
  <c r="X293" i="5" s="1"/>
  <c r="W307" i="5"/>
  <c r="X307" i="5" s="1"/>
  <c r="W318" i="5"/>
  <c r="X318" i="5" s="1"/>
  <c r="W332" i="5"/>
  <c r="X332" i="5" s="1"/>
  <c r="W342" i="5"/>
  <c r="X342" i="5" s="1"/>
  <c r="W354" i="5"/>
  <c r="X354" i="5" s="1"/>
  <c r="W364" i="5"/>
  <c r="X364" i="5" s="1"/>
  <c r="W374" i="5"/>
  <c r="X374" i="5" s="1"/>
  <c r="W386" i="5"/>
  <c r="X386" i="5" s="1"/>
  <c r="W396" i="5"/>
  <c r="X396" i="5" s="1"/>
  <c r="W406" i="5"/>
  <c r="X406" i="5" s="1"/>
  <c r="W418" i="5"/>
  <c r="X418" i="5" s="1"/>
  <c r="W428" i="5"/>
  <c r="X428" i="5" s="1"/>
  <c r="W438" i="5"/>
  <c r="X438" i="5" s="1"/>
  <c r="W450" i="5"/>
  <c r="X450" i="5" s="1"/>
  <c r="W460" i="5"/>
  <c r="X460" i="5" s="1"/>
  <c r="W470" i="5"/>
  <c r="X470" i="5" s="1"/>
  <c r="W482" i="5"/>
  <c r="X482" i="5" s="1"/>
  <c r="W492" i="5"/>
  <c r="X492" i="5" s="1"/>
  <c r="W502" i="5"/>
  <c r="X502" i="5" s="1"/>
  <c r="W514" i="5"/>
  <c r="X514" i="5" s="1"/>
  <c r="W524" i="5"/>
  <c r="X524" i="5" s="1"/>
  <c r="W534" i="5"/>
  <c r="X534" i="5" s="1"/>
  <c r="W546" i="5"/>
  <c r="X546" i="5" s="1"/>
  <c r="W556" i="5"/>
  <c r="X556" i="5" s="1"/>
  <c r="W566" i="5"/>
  <c r="X566" i="5" s="1"/>
  <c r="W578" i="5"/>
  <c r="X578" i="5" s="1"/>
  <c r="W588" i="5"/>
  <c r="X588" i="5" s="1"/>
  <c r="W598" i="5"/>
  <c r="X598" i="5" s="1"/>
  <c r="W610" i="5"/>
  <c r="X610" i="5" s="1"/>
  <c r="W620" i="5"/>
  <c r="X620" i="5" s="1"/>
  <c r="W630" i="5"/>
  <c r="X630" i="5" s="1"/>
  <c r="W639" i="5"/>
  <c r="X639" i="5" s="1"/>
  <c r="W648" i="5"/>
  <c r="X648" i="5" s="1"/>
  <c r="W658" i="5"/>
  <c r="X658" i="5" s="1"/>
  <c r="W667" i="5"/>
  <c r="X667" i="5" s="1"/>
  <c r="W676" i="5"/>
  <c r="X676" i="5" s="1"/>
  <c r="W685" i="5"/>
  <c r="X685" i="5" s="1"/>
  <c r="W693" i="5"/>
  <c r="X693" i="5" s="1"/>
  <c r="W701" i="5"/>
  <c r="X701" i="5" s="1"/>
  <c r="W709" i="5"/>
  <c r="X709" i="5" s="1"/>
  <c r="W717" i="5"/>
  <c r="X717" i="5" s="1"/>
  <c r="W725" i="5"/>
  <c r="X725" i="5" s="1"/>
  <c r="W733" i="5"/>
  <c r="X733" i="5" s="1"/>
  <c r="W741" i="5"/>
  <c r="X741" i="5" s="1"/>
  <c r="W749" i="5"/>
  <c r="X749" i="5" s="1"/>
  <c r="W757" i="5"/>
  <c r="X757" i="5" s="1"/>
  <c r="W765" i="5"/>
  <c r="X765" i="5" s="1"/>
  <c r="W773" i="5"/>
  <c r="X773" i="5" s="1"/>
  <c r="W781" i="5"/>
  <c r="X781" i="5" s="1"/>
  <c r="W789" i="5"/>
  <c r="X789" i="5" s="1"/>
  <c r="W797" i="5"/>
  <c r="X797" i="5" s="1"/>
  <c r="W805" i="5"/>
  <c r="X805" i="5" s="1"/>
  <c r="W813" i="5"/>
  <c r="X813" i="5" s="1"/>
  <c r="W821" i="5"/>
  <c r="X821" i="5" s="1"/>
  <c r="W829" i="5"/>
  <c r="X829" i="5" s="1"/>
  <c r="W837" i="5"/>
  <c r="X837" i="5" s="1"/>
  <c r="W845" i="5"/>
  <c r="X845" i="5" s="1"/>
  <c r="W853" i="5"/>
  <c r="X853" i="5" s="1"/>
  <c r="W861" i="5"/>
  <c r="X861" i="5" s="1"/>
  <c r="W869" i="5"/>
  <c r="X869" i="5" s="1"/>
  <c r="W877" i="5"/>
  <c r="X877" i="5" s="1"/>
  <c r="W885" i="5"/>
  <c r="X885" i="5" s="1"/>
  <c r="W893" i="5"/>
  <c r="X893" i="5" s="1"/>
  <c r="W5" i="5"/>
  <c r="X5" i="5" s="1"/>
  <c r="W21" i="5"/>
  <c r="X21" i="5" s="1"/>
  <c r="W37" i="5"/>
  <c r="X37" i="5" s="1"/>
  <c r="W53" i="5"/>
  <c r="X53" i="5" s="1"/>
  <c r="W69" i="5"/>
  <c r="X69" i="5" s="1"/>
  <c r="W85" i="5"/>
  <c r="X85" i="5" s="1"/>
  <c r="W101" i="5"/>
  <c r="X101" i="5" s="1"/>
  <c r="W116" i="5"/>
  <c r="X116" i="5" s="1"/>
  <c r="W130" i="5"/>
  <c r="X130" i="5" s="1"/>
  <c r="W141" i="5"/>
  <c r="X141" i="5" s="1"/>
  <c r="W155" i="5"/>
  <c r="X155" i="5" s="1"/>
  <c r="W166" i="5"/>
  <c r="X166" i="5" s="1"/>
  <c r="W180" i="5"/>
  <c r="X180" i="5" s="1"/>
  <c r="W194" i="5"/>
  <c r="X194" i="5" s="1"/>
  <c r="W205" i="5"/>
  <c r="X205" i="5" s="1"/>
  <c r="W219" i="5"/>
  <c r="X219" i="5" s="1"/>
  <c r="W230" i="5"/>
  <c r="X230" i="5" s="1"/>
  <c r="W244" i="5"/>
  <c r="X244" i="5" s="1"/>
  <c r="W258" i="5"/>
  <c r="X258" i="5" s="1"/>
  <c r="W269" i="5"/>
  <c r="X269" i="5" s="1"/>
  <c r="W283" i="5"/>
  <c r="X283" i="5" s="1"/>
  <c r="W294" i="5"/>
  <c r="X294" i="5" s="1"/>
  <c r="W308" i="5"/>
  <c r="X308" i="5" s="1"/>
  <c r="W322" i="5"/>
  <c r="X322" i="5" s="1"/>
  <c r="W333" i="5"/>
  <c r="X333" i="5" s="1"/>
  <c r="W343" i="5"/>
  <c r="X343" i="5" s="1"/>
  <c r="W355" i="5"/>
  <c r="X355" i="5" s="1"/>
  <c r="W365" i="5"/>
  <c r="X365" i="5" s="1"/>
  <c r="W375" i="5"/>
  <c r="X375" i="5" s="1"/>
  <c r="W387" i="5"/>
  <c r="X387" i="5" s="1"/>
  <c r="W397" i="5"/>
  <c r="X397" i="5" s="1"/>
  <c r="W407" i="5"/>
  <c r="X407" i="5" s="1"/>
  <c r="W419" i="5"/>
  <c r="X419" i="5" s="1"/>
  <c r="W429" i="5"/>
  <c r="X429" i="5" s="1"/>
  <c r="W439" i="5"/>
  <c r="X439" i="5" s="1"/>
  <c r="W451" i="5"/>
  <c r="X451" i="5" s="1"/>
  <c r="W461" i="5"/>
  <c r="X461" i="5" s="1"/>
  <c r="W471" i="5"/>
  <c r="X471" i="5" s="1"/>
  <c r="W483" i="5"/>
  <c r="X483" i="5" s="1"/>
  <c r="W493" i="5"/>
  <c r="X493" i="5" s="1"/>
  <c r="W503" i="5"/>
  <c r="X503" i="5" s="1"/>
  <c r="W515" i="5"/>
  <c r="X515" i="5" s="1"/>
  <c r="W525" i="5"/>
  <c r="X525" i="5" s="1"/>
  <c r="W535" i="5"/>
  <c r="X535" i="5" s="1"/>
  <c r="W547" i="5"/>
  <c r="X547" i="5" s="1"/>
  <c r="W557" i="5"/>
  <c r="X557" i="5" s="1"/>
  <c r="W567" i="5"/>
  <c r="X567" i="5" s="1"/>
  <c r="W579" i="5"/>
  <c r="X579" i="5" s="1"/>
  <c r="W589" i="5"/>
  <c r="X589" i="5" s="1"/>
  <c r="W599" i="5"/>
  <c r="X599" i="5" s="1"/>
  <c r="W611" i="5"/>
  <c r="X611" i="5" s="1"/>
  <c r="W621" i="5"/>
  <c r="X621" i="5" s="1"/>
  <c r="W631" i="5"/>
  <c r="X631" i="5" s="1"/>
  <c r="W640" i="5"/>
  <c r="X640" i="5" s="1"/>
  <c r="W650" i="5"/>
  <c r="X650" i="5" s="1"/>
  <c r="W659" i="5"/>
  <c r="X659" i="5" s="1"/>
  <c r="W668" i="5"/>
  <c r="X668" i="5" s="1"/>
  <c r="W677" i="5"/>
  <c r="X677" i="5" s="1"/>
  <c r="W686" i="5"/>
  <c r="X686" i="5" s="1"/>
  <c r="W694" i="5"/>
  <c r="X694" i="5" s="1"/>
  <c r="W702" i="5"/>
  <c r="X702" i="5" s="1"/>
  <c r="W710" i="5"/>
  <c r="X710" i="5" s="1"/>
  <c r="W718" i="5"/>
  <c r="X718" i="5" s="1"/>
  <c r="W726" i="5"/>
  <c r="X726" i="5" s="1"/>
  <c r="W734" i="5"/>
  <c r="X734" i="5" s="1"/>
  <c r="W742" i="5"/>
  <c r="X742" i="5" s="1"/>
  <c r="W750" i="5"/>
  <c r="X750" i="5" s="1"/>
  <c r="W758" i="5"/>
  <c r="X758" i="5" s="1"/>
  <c r="W766" i="5"/>
  <c r="X766" i="5" s="1"/>
  <c r="W774" i="5"/>
  <c r="X774" i="5" s="1"/>
  <c r="W782" i="5"/>
  <c r="X782" i="5" s="1"/>
  <c r="W790" i="5"/>
  <c r="X790" i="5" s="1"/>
  <c r="W798" i="5"/>
  <c r="X798" i="5" s="1"/>
  <c r="W806" i="5"/>
  <c r="X806" i="5" s="1"/>
  <c r="W814" i="5"/>
  <c r="X814" i="5" s="1"/>
  <c r="W822" i="5"/>
  <c r="X822" i="5" s="1"/>
  <c r="W830" i="5"/>
  <c r="X830" i="5" s="1"/>
  <c r="W838" i="5"/>
  <c r="X838" i="5" s="1"/>
  <c r="W846" i="5"/>
  <c r="X846" i="5" s="1"/>
  <c r="W854" i="5"/>
  <c r="X854" i="5" s="1"/>
  <c r="W862" i="5"/>
  <c r="X862" i="5" s="1"/>
  <c r="W870" i="5"/>
  <c r="X870" i="5" s="1"/>
  <c r="W878" i="5"/>
  <c r="X878" i="5" s="1"/>
  <c r="W886" i="5"/>
  <c r="X886" i="5" s="1"/>
  <c r="W894" i="5"/>
  <c r="X894" i="5" s="1"/>
  <c r="W10" i="5"/>
  <c r="X10" i="5" s="1"/>
  <c r="W26" i="5"/>
  <c r="X26" i="5" s="1"/>
  <c r="W42" i="5"/>
  <c r="X42" i="5" s="1"/>
  <c r="W58" i="5"/>
  <c r="X58" i="5" s="1"/>
  <c r="W74" i="5"/>
  <c r="X74" i="5" s="1"/>
  <c r="W90" i="5"/>
  <c r="X90" i="5" s="1"/>
  <c r="W106" i="5"/>
  <c r="X106" i="5" s="1"/>
  <c r="W117" i="5"/>
  <c r="X117" i="5" s="1"/>
  <c r="W131" i="5"/>
  <c r="X131" i="5" s="1"/>
  <c r="W142" i="5"/>
  <c r="X142" i="5" s="1"/>
  <c r="W156" i="5"/>
  <c r="X156" i="5" s="1"/>
  <c r="W170" i="5"/>
  <c r="X170" i="5" s="1"/>
  <c r="W181" i="5"/>
  <c r="X181" i="5" s="1"/>
  <c r="W195" i="5"/>
  <c r="X195" i="5" s="1"/>
  <c r="W206" i="5"/>
  <c r="X206" i="5" s="1"/>
  <c r="W220" i="5"/>
  <c r="X220" i="5" s="1"/>
  <c r="W234" i="5"/>
  <c r="X234" i="5" s="1"/>
  <c r="W245" i="5"/>
  <c r="X245" i="5" s="1"/>
  <c r="W259" i="5"/>
  <c r="X259" i="5" s="1"/>
  <c r="W270" i="5"/>
  <c r="X270" i="5" s="1"/>
  <c r="W284" i="5"/>
  <c r="X284" i="5" s="1"/>
  <c r="W298" i="5"/>
  <c r="X298" i="5" s="1"/>
  <c r="W309" i="5"/>
  <c r="X309" i="5" s="1"/>
  <c r="W323" i="5"/>
  <c r="X323" i="5" s="1"/>
  <c r="W334" i="5"/>
  <c r="X334" i="5" s="1"/>
  <c r="W346" i="5"/>
  <c r="X346" i="5" s="1"/>
  <c r="W356" i="5"/>
  <c r="X356" i="5" s="1"/>
  <c r="W366" i="5"/>
  <c r="X366" i="5" s="1"/>
  <c r="W378" i="5"/>
  <c r="X378" i="5" s="1"/>
  <c r="W388" i="5"/>
  <c r="X388" i="5" s="1"/>
  <c r="W398" i="5"/>
  <c r="X398" i="5" s="1"/>
  <c r="W410" i="5"/>
  <c r="X410" i="5" s="1"/>
  <c r="W420" i="5"/>
  <c r="X420" i="5" s="1"/>
  <c r="W430" i="5"/>
  <c r="X430" i="5" s="1"/>
  <c r="W442" i="5"/>
  <c r="X442" i="5" s="1"/>
  <c r="W452" i="5"/>
  <c r="X452" i="5" s="1"/>
  <c r="W462" i="5"/>
  <c r="X462" i="5" s="1"/>
  <c r="W474" i="5"/>
  <c r="X474" i="5" s="1"/>
  <c r="W484" i="5"/>
  <c r="X484" i="5" s="1"/>
  <c r="W494" i="5"/>
  <c r="X494" i="5" s="1"/>
  <c r="W506" i="5"/>
  <c r="X506" i="5" s="1"/>
  <c r="W516" i="5"/>
  <c r="X516" i="5" s="1"/>
  <c r="W526" i="5"/>
  <c r="X526" i="5" s="1"/>
  <c r="W538" i="5"/>
  <c r="X538" i="5" s="1"/>
  <c r="W548" i="5"/>
  <c r="X548" i="5" s="1"/>
  <c r="W558" i="5"/>
  <c r="X558" i="5" s="1"/>
  <c r="W570" i="5"/>
  <c r="X570" i="5" s="1"/>
  <c r="W580" i="5"/>
  <c r="X580" i="5" s="1"/>
  <c r="W590" i="5"/>
  <c r="X590" i="5" s="1"/>
  <c r="W602" i="5"/>
  <c r="X602" i="5" s="1"/>
  <c r="W612" i="5"/>
  <c r="X612" i="5" s="1"/>
  <c r="W622" i="5"/>
  <c r="X622" i="5" s="1"/>
  <c r="W632" i="5"/>
  <c r="X632" i="5" s="1"/>
  <c r="W642" i="5"/>
  <c r="X642" i="5" s="1"/>
  <c r="W651" i="5"/>
  <c r="X651" i="5" s="1"/>
  <c r="W660" i="5"/>
  <c r="X660" i="5" s="1"/>
  <c r="W669" i="5"/>
  <c r="X669" i="5" s="1"/>
  <c r="W678" i="5"/>
  <c r="X678" i="5" s="1"/>
  <c r="W687" i="5"/>
  <c r="X687" i="5" s="1"/>
  <c r="W695" i="5"/>
  <c r="X695" i="5" s="1"/>
  <c r="W703" i="5"/>
  <c r="X703" i="5" s="1"/>
  <c r="W711" i="5"/>
  <c r="X711" i="5" s="1"/>
  <c r="W719" i="5"/>
  <c r="X719" i="5" s="1"/>
  <c r="W727" i="5"/>
  <c r="X727" i="5" s="1"/>
  <c r="W735" i="5"/>
  <c r="X735" i="5" s="1"/>
  <c r="W743" i="5"/>
  <c r="X743" i="5" s="1"/>
  <c r="W751" i="5"/>
  <c r="X751" i="5" s="1"/>
  <c r="W759" i="5"/>
  <c r="X759" i="5" s="1"/>
  <c r="W767" i="5"/>
  <c r="X767" i="5" s="1"/>
  <c r="W775" i="5"/>
  <c r="X775" i="5" s="1"/>
  <c r="W783" i="5"/>
  <c r="X783" i="5" s="1"/>
  <c r="W791" i="5"/>
  <c r="X791" i="5" s="1"/>
  <c r="W799" i="5"/>
  <c r="X799" i="5" s="1"/>
  <c r="W807" i="5"/>
  <c r="X807" i="5" s="1"/>
  <c r="W815" i="5"/>
  <c r="X815" i="5" s="1"/>
  <c r="W823" i="5"/>
  <c r="X823" i="5" s="1"/>
  <c r="W831" i="5"/>
  <c r="X831" i="5" s="1"/>
  <c r="W839" i="5"/>
  <c r="X839" i="5" s="1"/>
  <c r="W847" i="5"/>
  <c r="X847" i="5" s="1"/>
  <c r="W855" i="5"/>
  <c r="X855" i="5" s="1"/>
  <c r="W863" i="5"/>
  <c r="X863" i="5" s="1"/>
  <c r="W871" i="5"/>
  <c r="X871" i="5" s="1"/>
  <c r="W879" i="5"/>
  <c r="X879" i="5" s="1"/>
  <c r="W887" i="5"/>
  <c r="X887" i="5" s="1"/>
  <c r="W895" i="5"/>
  <c r="X895" i="5" s="1"/>
  <c r="W11" i="5"/>
  <c r="X11" i="5" s="1"/>
  <c r="W27" i="5"/>
  <c r="X27" i="5" s="1"/>
  <c r="W43" i="5"/>
  <c r="X43" i="5" s="1"/>
  <c r="W59" i="5"/>
  <c r="X59" i="5" s="1"/>
  <c r="W75" i="5"/>
  <c r="X75" i="5" s="1"/>
  <c r="W91" i="5"/>
  <c r="X91" i="5" s="1"/>
  <c r="W107" i="5"/>
  <c r="X107" i="5" s="1"/>
  <c r="W118" i="5"/>
  <c r="X118" i="5" s="1"/>
  <c r="W132" i="5"/>
  <c r="X132" i="5" s="1"/>
  <c r="W146" i="5"/>
  <c r="X146" i="5" s="1"/>
  <c r="W157" i="5"/>
  <c r="X157" i="5" s="1"/>
  <c r="W171" i="5"/>
  <c r="X171" i="5" s="1"/>
  <c r="W182" i="5"/>
  <c r="X182" i="5" s="1"/>
  <c r="W196" i="5"/>
  <c r="X196" i="5" s="1"/>
  <c r="W210" i="5"/>
  <c r="X210" i="5" s="1"/>
  <c r="W221" i="5"/>
  <c r="X221" i="5" s="1"/>
  <c r="W235" i="5"/>
  <c r="X235" i="5" s="1"/>
  <c r="W246" i="5"/>
  <c r="X246" i="5" s="1"/>
  <c r="W260" i="5"/>
  <c r="X260" i="5" s="1"/>
  <c r="W274" i="5"/>
  <c r="X274" i="5" s="1"/>
  <c r="W285" i="5"/>
  <c r="X285" i="5" s="1"/>
  <c r="W299" i="5"/>
  <c r="X299" i="5" s="1"/>
  <c r="W310" i="5"/>
  <c r="X310" i="5" s="1"/>
  <c r="W324" i="5"/>
  <c r="X324" i="5" s="1"/>
  <c r="W335" i="5"/>
  <c r="X335" i="5" s="1"/>
  <c r="W347" i="5"/>
  <c r="X347" i="5" s="1"/>
  <c r="W357" i="5"/>
  <c r="X357" i="5" s="1"/>
  <c r="W367" i="5"/>
  <c r="X367" i="5" s="1"/>
  <c r="W379" i="5"/>
  <c r="X379" i="5" s="1"/>
  <c r="W389" i="5"/>
  <c r="X389" i="5" s="1"/>
  <c r="W399" i="5"/>
  <c r="X399" i="5" s="1"/>
  <c r="W411" i="5"/>
  <c r="X411" i="5" s="1"/>
  <c r="W421" i="5"/>
  <c r="X421" i="5" s="1"/>
  <c r="W431" i="5"/>
  <c r="X431" i="5" s="1"/>
  <c r="W443" i="5"/>
  <c r="X443" i="5" s="1"/>
  <c r="W453" i="5"/>
  <c r="X453" i="5" s="1"/>
  <c r="W463" i="5"/>
  <c r="X463" i="5" s="1"/>
  <c r="W475" i="5"/>
  <c r="X475" i="5" s="1"/>
  <c r="W485" i="5"/>
  <c r="X485" i="5" s="1"/>
  <c r="W495" i="5"/>
  <c r="X495" i="5" s="1"/>
  <c r="W507" i="5"/>
  <c r="X507" i="5" s="1"/>
  <c r="W517" i="5"/>
  <c r="X517" i="5" s="1"/>
  <c r="W527" i="5"/>
  <c r="X527" i="5" s="1"/>
  <c r="W539" i="5"/>
  <c r="X539" i="5" s="1"/>
  <c r="W549" i="5"/>
  <c r="X549" i="5" s="1"/>
  <c r="W559" i="5"/>
  <c r="X559" i="5" s="1"/>
  <c r="W571" i="5"/>
  <c r="X571" i="5" s="1"/>
  <c r="W581" i="5"/>
  <c r="X581" i="5" s="1"/>
  <c r="W591" i="5"/>
  <c r="X591" i="5" s="1"/>
  <c r="W603" i="5"/>
  <c r="X603" i="5" s="1"/>
  <c r="W613" i="5"/>
  <c r="X613" i="5" s="1"/>
  <c r="W623" i="5"/>
  <c r="X623" i="5" s="1"/>
  <c r="W634" i="5"/>
  <c r="X634" i="5" s="1"/>
  <c r="W643" i="5"/>
  <c r="X643" i="5" s="1"/>
  <c r="W652" i="5"/>
  <c r="X652" i="5" s="1"/>
  <c r="W661" i="5"/>
  <c r="X661" i="5" s="1"/>
  <c r="W670" i="5"/>
  <c r="X670" i="5" s="1"/>
  <c r="W679" i="5"/>
  <c r="X679" i="5" s="1"/>
  <c r="W688" i="5"/>
  <c r="X688" i="5" s="1"/>
  <c r="W696" i="5"/>
  <c r="X696" i="5" s="1"/>
  <c r="W704" i="5"/>
  <c r="X704" i="5" s="1"/>
  <c r="W712" i="5"/>
  <c r="X712" i="5" s="1"/>
  <c r="W720" i="5"/>
  <c r="X720" i="5" s="1"/>
  <c r="W728" i="5"/>
  <c r="X728" i="5" s="1"/>
  <c r="W736" i="5"/>
  <c r="X736" i="5" s="1"/>
  <c r="W744" i="5"/>
  <c r="X744" i="5" s="1"/>
  <c r="W752" i="5"/>
  <c r="X752" i="5" s="1"/>
  <c r="W760" i="5"/>
  <c r="X760" i="5" s="1"/>
  <c r="W768" i="5"/>
  <c r="X768" i="5" s="1"/>
  <c r="W776" i="5"/>
  <c r="X776" i="5" s="1"/>
  <c r="W784" i="5"/>
  <c r="X784" i="5" s="1"/>
  <c r="W792" i="5"/>
  <c r="X792" i="5" s="1"/>
  <c r="W800" i="5"/>
  <c r="X800" i="5" s="1"/>
  <c r="W808" i="5"/>
  <c r="X808" i="5" s="1"/>
  <c r="W816" i="5"/>
  <c r="X816" i="5" s="1"/>
  <c r="W824" i="5"/>
  <c r="X824" i="5" s="1"/>
  <c r="W832" i="5"/>
  <c r="X832" i="5" s="1"/>
  <c r="W840" i="5"/>
  <c r="X840" i="5" s="1"/>
  <c r="W848" i="5"/>
  <c r="X848" i="5" s="1"/>
  <c r="W856" i="5"/>
  <c r="X856" i="5" s="1"/>
  <c r="W864" i="5"/>
  <c r="X864" i="5" s="1"/>
  <c r="W872" i="5"/>
  <c r="X872" i="5" s="1"/>
  <c r="W880" i="5"/>
  <c r="X880" i="5" s="1"/>
  <c r="W888" i="5"/>
  <c r="X888" i="5" s="1"/>
  <c r="W896" i="5"/>
  <c r="X896" i="5" s="1"/>
  <c r="W12" i="5"/>
  <c r="X12" i="5" s="1"/>
  <c r="W28" i="5"/>
  <c r="X28" i="5" s="1"/>
  <c r="W44" i="5"/>
  <c r="X44" i="5" s="1"/>
  <c r="W60" i="5"/>
  <c r="X60" i="5" s="1"/>
  <c r="W76" i="5"/>
  <c r="X76" i="5" s="1"/>
  <c r="W92" i="5"/>
  <c r="X92" i="5" s="1"/>
  <c r="W108" i="5"/>
  <c r="X108" i="5" s="1"/>
  <c r="W122" i="5"/>
  <c r="X122" i="5" s="1"/>
  <c r="W133" i="5"/>
  <c r="X133" i="5" s="1"/>
  <c r="W147" i="5"/>
  <c r="X147" i="5" s="1"/>
  <c r="W158" i="5"/>
  <c r="X158" i="5" s="1"/>
  <c r="W172" i="5"/>
  <c r="X172" i="5" s="1"/>
  <c r="W186" i="5"/>
  <c r="X186" i="5" s="1"/>
  <c r="W197" i="5"/>
  <c r="X197" i="5" s="1"/>
  <c r="W211" i="5"/>
  <c r="X211" i="5" s="1"/>
  <c r="W222" i="5"/>
  <c r="X222" i="5" s="1"/>
  <c r="W236" i="5"/>
  <c r="X236" i="5" s="1"/>
  <c r="W250" i="5"/>
  <c r="X250" i="5" s="1"/>
  <c r="W261" i="5"/>
  <c r="X261" i="5" s="1"/>
  <c r="W275" i="5"/>
  <c r="X275" i="5" s="1"/>
  <c r="W286" i="5"/>
  <c r="X286" i="5" s="1"/>
  <c r="W300" i="5"/>
  <c r="X300" i="5" s="1"/>
  <c r="W314" i="5"/>
  <c r="X314" i="5" s="1"/>
  <c r="W325" i="5"/>
  <c r="X325" i="5" s="1"/>
  <c r="W338" i="5"/>
  <c r="X338" i="5" s="1"/>
  <c r="W348" i="5"/>
  <c r="X348" i="5" s="1"/>
  <c r="W358" i="5"/>
  <c r="X358" i="5" s="1"/>
  <c r="W370" i="5"/>
  <c r="X370" i="5" s="1"/>
  <c r="W380" i="5"/>
  <c r="X380" i="5" s="1"/>
  <c r="W390" i="5"/>
  <c r="X390" i="5" s="1"/>
  <c r="W402" i="5"/>
  <c r="X402" i="5" s="1"/>
  <c r="W412" i="5"/>
  <c r="X412" i="5" s="1"/>
  <c r="W422" i="5"/>
  <c r="X422" i="5" s="1"/>
  <c r="W434" i="5"/>
  <c r="X434" i="5" s="1"/>
  <c r="W444" i="5"/>
  <c r="X444" i="5" s="1"/>
  <c r="W454" i="5"/>
  <c r="X454" i="5" s="1"/>
  <c r="W466" i="5"/>
  <c r="X466" i="5" s="1"/>
  <c r="W476" i="5"/>
  <c r="X476" i="5" s="1"/>
  <c r="W486" i="5"/>
  <c r="X486" i="5" s="1"/>
  <c r="W498" i="5"/>
  <c r="X498" i="5" s="1"/>
  <c r="W508" i="5"/>
  <c r="X508" i="5" s="1"/>
  <c r="W518" i="5"/>
  <c r="X518" i="5" s="1"/>
  <c r="W530" i="5"/>
  <c r="X530" i="5" s="1"/>
  <c r="W540" i="5"/>
  <c r="X540" i="5" s="1"/>
  <c r="W550" i="5"/>
  <c r="X550" i="5" s="1"/>
  <c r="W562" i="5"/>
  <c r="X562" i="5" s="1"/>
  <c r="W572" i="5"/>
  <c r="X572" i="5" s="1"/>
  <c r="W582" i="5"/>
  <c r="X582" i="5" s="1"/>
  <c r="W594" i="5"/>
  <c r="X594" i="5" s="1"/>
  <c r="W604" i="5"/>
  <c r="X604" i="5" s="1"/>
  <c r="W614" i="5"/>
  <c r="X614" i="5" s="1"/>
  <c r="W626" i="5"/>
  <c r="X626" i="5" s="1"/>
  <c r="W635" i="5"/>
  <c r="X635" i="5" s="1"/>
  <c r="W644" i="5"/>
  <c r="X644" i="5" s="1"/>
  <c r="W653" i="5"/>
  <c r="X653" i="5" s="1"/>
  <c r="W662" i="5"/>
  <c r="X662" i="5" s="1"/>
  <c r="W671" i="5"/>
  <c r="X671" i="5" s="1"/>
  <c r="W680" i="5"/>
  <c r="X680" i="5" s="1"/>
  <c r="W689" i="5"/>
  <c r="X689" i="5" s="1"/>
  <c r="W697" i="5"/>
  <c r="X697" i="5" s="1"/>
  <c r="W705" i="5"/>
  <c r="X705" i="5" s="1"/>
  <c r="W713" i="5"/>
  <c r="X713" i="5" s="1"/>
  <c r="W721" i="5"/>
  <c r="X721" i="5" s="1"/>
  <c r="W729" i="5"/>
  <c r="X729" i="5" s="1"/>
  <c r="W737" i="5"/>
  <c r="X737" i="5" s="1"/>
  <c r="W745" i="5"/>
  <c r="X745" i="5" s="1"/>
  <c r="W753" i="5"/>
  <c r="X753" i="5" s="1"/>
  <c r="W761" i="5"/>
  <c r="X761" i="5" s="1"/>
  <c r="W769" i="5"/>
  <c r="X769" i="5" s="1"/>
  <c r="W777" i="5"/>
  <c r="X777" i="5" s="1"/>
  <c r="W785" i="5"/>
  <c r="X785" i="5" s="1"/>
  <c r="W793" i="5"/>
  <c r="X793" i="5" s="1"/>
  <c r="W801" i="5"/>
  <c r="X801" i="5" s="1"/>
  <c r="W809" i="5"/>
  <c r="X809" i="5" s="1"/>
  <c r="W817" i="5"/>
  <c r="X817" i="5" s="1"/>
  <c r="W825" i="5"/>
  <c r="X825" i="5" s="1"/>
  <c r="W833" i="5"/>
  <c r="X833" i="5" s="1"/>
  <c r="W841" i="5"/>
  <c r="X841" i="5" s="1"/>
  <c r="W849" i="5"/>
  <c r="X849" i="5" s="1"/>
  <c r="W857" i="5"/>
  <c r="X857" i="5" s="1"/>
  <c r="W865" i="5"/>
  <c r="X865" i="5" s="1"/>
  <c r="W873" i="5"/>
  <c r="X873" i="5" s="1"/>
  <c r="W881" i="5"/>
  <c r="X881" i="5" s="1"/>
  <c r="W889" i="5"/>
  <c r="X889" i="5" s="1"/>
  <c r="W897" i="5"/>
  <c r="X897" i="5" s="1"/>
  <c r="W995" i="5"/>
  <c r="X995" i="5" s="1"/>
  <c r="W987" i="5"/>
  <c r="X987" i="5" s="1"/>
  <c r="W979" i="5"/>
  <c r="X979" i="5" s="1"/>
  <c r="W971" i="5"/>
  <c r="X971" i="5" s="1"/>
  <c r="W963" i="5"/>
  <c r="X963" i="5" s="1"/>
  <c r="W955" i="5"/>
  <c r="X955" i="5" s="1"/>
  <c r="W947" i="5"/>
  <c r="X947" i="5" s="1"/>
  <c r="W939" i="5"/>
  <c r="X939" i="5" s="1"/>
  <c r="W931" i="5"/>
  <c r="X931" i="5" s="1"/>
  <c r="W923" i="5"/>
  <c r="X923" i="5" s="1"/>
  <c r="W915" i="5"/>
  <c r="X915" i="5" s="1"/>
  <c r="W907" i="5"/>
  <c r="X907" i="5" s="1"/>
  <c r="W899" i="5"/>
  <c r="X899" i="5" s="1"/>
  <c r="W842" i="5"/>
  <c r="X842" i="5" s="1"/>
  <c r="W778" i="5"/>
  <c r="X778" i="5" s="1"/>
  <c r="W714" i="5"/>
  <c r="X714" i="5" s="1"/>
  <c r="W645" i="5"/>
  <c r="X645" i="5" s="1"/>
  <c r="W563" i="5"/>
  <c r="X563" i="5" s="1"/>
  <c r="W477" i="5"/>
  <c r="X477" i="5" s="1"/>
  <c r="W391" i="5"/>
  <c r="X391" i="5" s="1"/>
  <c r="W301" i="5"/>
  <c r="X301" i="5" s="1"/>
  <c r="W198" i="5"/>
  <c r="X198" i="5" s="1"/>
  <c r="W93" i="5"/>
  <c r="X93" i="5" s="1"/>
  <c r="W994" i="5"/>
  <c r="X994" i="5" s="1"/>
  <c r="W986" i="5"/>
  <c r="X986" i="5" s="1"/>
  <c r="W978" i="5"/>
  <c r="X978" i="5" s="1"/>
  <c r="W970" i="5"/>
  <c r="X970" i="5" s="1"/>
  <c r="W962" i="5"/>
  <c r="X962" i="5" s="1"/>
  <c r="W954" i="5"/>
  <c r="X954" i="5" s="1"/>
  <c r="W946" i="5"/>
  <c r="X946" i="5" s="1"/>
  <c r="W938" i="5"/>
  <c r="X938" i="5" s="1"/>
  <c r="W930" i="5"/>
  <c r="X930" i="5" s="1"/>
  <c r="W922" i="5"/>
  <c r="X922" i="5" s="1"/>
  <c r="W914" i="5"/>
  <c r="X914" i="5" s="1"/>
  <c r="W906" i="5"/>
  <c r="X906" i="5" s="1"/>
  <c r="W898" i="5"/>
  <c r="X898" i="5" s="1"/>
  <c r="W834" i="5"/>
  <c r="X834" i="5" s="1"/>
  <c r="W770" i="5"/>
  <c r="X770" i="5" s="1"/>
  <c r="W706" i="5"/>
  <c r="X706" i="5" s="1"/>
  <c r="W636" i="5"/>
  <c r="X636" i="5" s="1"/>
  <c r="W551" i="5"/>
  <c r="X551" i="5" s="1"/>
  <c r="W467" i="5"/>
  <c r="X467" i="5" s="1"/>
  <c r="W381" i="5"/>
  <c r="X381" i="5" s="1"/>
  <c r="W290" i="5"/>
  <c r="X290" i="5" s="1"/>
  <c r="W187" i="5"/>
  <c r="X187" i="5" s="1"/>
  <c r="W77" i="5"/>
  <c r="X77" i="5" s="1"/>
  <c r="U880" i="5"/>
  <c r="V880" i="5" s="1"/>
  <c r="U616" i="5"/>
  <c r="V616" i="5" s="1"/>
  <c r="W1001" i="5"/>
  <c r="X1001" i="5" s="1"/>
  <c r="W993" i="5"/>
  <c r="X993" i="5" s="1"/>
  <c r="W985" i="5"/>
  <c r="X985" i="5" s="1"/>
  <c r="W977" i="5"/>
  <c r="X977" i="5" s="1"/>
  <c r="W969" i="5"/>
  <c r="X969" i="5" s="1"/>
  <c r="W961" i="5"/>
  <c r="X961" i="5" s="1"/>
  <c r="W953" i="5"/>
  <c r="X953" i="5" s="1"/>
  <c r="W945" i="5"/>
  <c r="X945" i="5" s="1"/>
  <c r="W937" i="5"/>
  <c r="X937" i="5" s="1"/>
  <c r="W929" i="5"/>
  <c r="X929" i="5" s="1"/>
  <c r="W921" i="5"/>
  <c r="X921" i="5" s="1"/>
  <c r="W913" i="5"/>
  <c r="X913" i="5" s="1"/>
  <c r="W905" i="5"/>
  <c r="X905" i="5" s="1"/>
  <c r="W890" i="5"/>
  <c r="X890" i="5" s="1"/>
  <c r="W826" i="5"/>
  <c r="X826" i="5" s="1"/>
  <c r="W762" i="5"/>
  <c r="X762" i="5" s="1"/>
  <c r="W698" i="5"/>
  <c r="X698" i="5" s="1"/>
  <c r="W627" i="5"/>
  <c r="X627" i="5" s="1"/>
  <c r="W541" i="5"/>
  <c r="X541" i="5" s="1"/>
  <c r="W455" i="5"/>
  <c r="X455" i="5" s="1"/>
  <c r="W371" i="5"/>
  <c r="X371" i="5" s="1"/>
  <c r="W276" i="5"/>
  <c r="X276" i="5" s="1"/>
  <c r="W173" i="5"/>
  <c r="X173" i="5" s="1"/>
  <c r="W61" i="5"/>
  <c r="X61" i="5" s="1"/>
  <c r="U848" i="5"/>
  <c r="V848" i="5" s="1"/>
  <c r="U579" i="5"/>
  <c r="V579" i="5" s="1"/>
  <c r="W1000" i="5"/>
  <c r="X1000" i="5" s="1"/>
  <c r="W992" i="5"/>
  <c r="X992" i="5" s="1"/>
  <c r="W984" i="5"/>
  <c r="X984" i="5" s="1"/>
  <c r="W976" i="5"/>
  <c r="X976" i="5" s="1"/>
  <c r="W968" i="5"/>
  <c r="X968" i="5" s="1"/>
  <c r="W960" i="5"/>
  <c r="X960" i="5" s="1"/>
  <c r="W952" i="5"/>
  <c r="X952" i="5" s="1"/>
  <c r="W944" i="5"/>
  <c r="X944" i="5" s="1"/>
  <c r="W936" i="5"/>
  <c r="X936" i="5" s="1"/>
  <c r="W928" i="5"/>
  <c r="X928" i="5" s="1"/>
  <c r="W920" i="5"/>
  <c r="X920" i="5" s="1"/>
  <c r="W912" i="5"/>
  <c r="X912" i="5" s="1"/>
  <c r="W904" i="5"/>
  <c r="X904" i="5" s="1"/>
  <c r="W882" i="5"/>
  <c r="X882" i="5" s="1"/>
  <c r="W818" i="5"/>
  <c r="X818" i="5" s="1"/>
  <c r="W754" i="5"/>
  <c r="X754" i="5" s="1"/>
  <c r="W690" i="5"/>
  <c r="X690" i="5" s="1"/>
  <c r="W615" i="5"/>
  <c r="X615" i="5" s="1"/>
  <c r="W531" i="5"/>
  <c r="X531" i="5" s="1"/>
  <c r="W445" i="5"/>
  <c r="X445" i="5" s="1"/>
  <c r="W359" i="5"/>
  <c r="X359" i="5" s="1"/>
  <c r="W262" i="5"/>
  <c r="X262" i="5" s="1"/>
  <c r="W162" i="5"/>
  <c r="X162" i="5" s="1"/>
  <c r="W45" i="5"/>
  <c r="X45" i="5" s="1"/>
  <c r="U1000" i="5"/>
  <c r="V1000" i="5" s="1"/>
  <c r="U816" i="5"/>
  <c r="V816" i="5" s="1"/>
  <c r="U506" i="5"/>
  <c r="V506" i="5" s="1"/>
  <c r="W999" i="5"/>
  <c r="X999" i="5" s="1"/>
  <c r="W991" i="5"/>
  <c r="X991" i="5" s="1"/>
  <c r="W983" i="5"/>
  <c r="X983" i="5" s="1"/>
  <c r="W975" i="5"/>
  <c r="X975" i="5" s="1"/>
  <c r="W967" i="5"/>
  <c r="X967" i="5" s="1"/>
  <c r="W959" i="5"/>
  <c r="X959" i="5" s="1"/>
  <c r="W951" i="5"/>
  <c r="X951" i="5" s="1"/>
  <c r="W943" i="5"/>
  <c r="X943" i="5" s="1"/>
  <c r="W935" i="5"/>
  <c r="X935" i="5" s="1"/>
  <c r="W927" i="5"/>
  <c r="X927" i="5" s="1"/>
  <c r="W919" i="5"/>
  <c r="X919" i="5" s="1"/>
  <c r="W911" i="5"/>
  <c r="X911" i="5" s="1"/>
  <c r="W903" i="5"/>
  <c r="X903" i="5" s="1"/>
  <c r="W874" i="5"/>
  <c r="X874" i="5" s="1"/>
  <c r="W810" i="5"/>
  <c r="X810" i="5" s="1"/>
  <c r="W746" i="5"/>
  <c r="X746" i="5" s="1"/>
  <c r="W682" i="5"/>
  <c r="X682" i="5" s="1"/>
  <c r="W605" i="5"/>
  <c r="X605" i="5" s="1"/>
  <c r="W519" i="5"/>
  <c r="X519" i="5" s="1"/>
  <c r="W435" i="5"/>
  <c r="X435" i="5" s="1"/>
  <c r="W349" i="5"/>
  <c r="X349" i="5" s="1"/>
  <c r="W251" i="5"/>
  <c r="X251" i="5" s="1"/>
  <c r="W148" i="5"/>
  <c r="X148" i="5" s="1"/>
  <c r="W29" i="5"/>
  <c r="X29" i="5" s="1"/>
  <c r="U992" i="5"/>
  <c r="V992" i="5" s="1"/>
  <c r="U784" i="5"/>
  <c r="V784" i="5" s="1"/>
  <c r="U405" i="5"/>
  <c r="V405" i="5" s="1"/>
  <c r="W998" i="5"/>
  <c r="X998" i="5" s="1"/>
  <c r="W990" i="5"/>
  <c r="X990" i="5" s="1"/>
  <c r="W982" i="5"/>
  <c r="X982" i="5" s="1"/>
  <c r="W974" i="5"/>
  <c r="X974" i="5" s="1"/>
  <c r="W966" i="5"/>
  <c r="X966" i="5" s="1"/>
  <c r="W958" i="5"/>
  <c r="X958" i="5" s="1"/>
  <c r="W950" i="5"/>
  <c r="X950" i="5" s="1"/>
  <c r="W942" i="5"/>
  <c r="X942" i="5" s="1"/>
  <c r="W934" i="5"/>
  <c r="X934" i="5" s="1"/>
  <c r="W926" i="5"/>
  <c r="X926" i="5" s="1"/>
  <c r="W918" i="5"/>
  <c r="X918" i="5" s="1"/>
  <c r="W910" i="5"/>
  <c r="X910" i="5" s="1"/>
  <c r="W902" i="5"/>
  <c r="X902" i="5" s="1"/>
  <c r="W866" i="5"/>
  <c r="X866" i="5" s="1"/>
  <c r="W802" i="5"/>
  <c r="X802" i="5" s="1"/>
  <c r="W738" i="5"/>
  <c r="X738" i="5" s="1"/>
  <c r="W672" i="5"/>
  <c r="X672" i="5" s="1"/>
  <c r="W595" i="5"/>
  <c r="X595" i="5" s="1"/>
  <c r="W509" i="5"/>
  <c r="X509" i="5" s="1"/>
  <c r="W423" i="5"/>
  <c r="X423" i="5" s="1"/>
  <c r="W339" i="5"/>
  <c r="X339" i="5" s="1"/>
  <c r="W237" i="5"/>
  <c r="X237" i="5" s="1"/>
  <c r="W134" i="5"/>
  <c r="X134" i="5" s="1"/>
  <c r="W13" i="5"/>
  <c r="X13" i="5" s="1"/>
  <c r="U999" i="5"/>
  <c r="V999" i="5" s="1"/>
  <c r="U991" i="5"/>
  <c r="V991" i="5" s="1"/>
  <c r="U983" i="5"/>
  <c r="V983" i="5" s="1"/>
  <c r="U968" i="5"/>
  <c r="V968" i="5" s="1"/>
  <c r="U937" i="5"/>
  <c r="V937" i="5" s="1"/>
  <c r="U905" i="5"/>
  <c r="V905" i="5" s="1"/>
  <c r="U873" i="5"/>
  <c r="V873" i="5" s="1"/>
  <c r="U841" i="5"/>
  <c r="V841" i="5" s="1"/>
  <c r="U809" i="5"/>
  <c r="V809" i="5" s="1"/>
  <c r="U777" i="5"/>
  <c r="V777" i="5" s="1"/>
  <c r="U745" i="5"/>
  <c r="V745" i="5" s="1"/>
  <c r="U713" i="5"/>
  <c r="V713" i="5" s="1"/>
  <c r="U681" i="5"/>
  <c r="V681" i="5" s="1"/>
  <c r="U645" i="5"/>
  <c r="V645" i="5" s="1"/>
  <c r="U608" i="5"/>
  <c r="V608" i="5" s="1"/>
  <c r="U570" i="5"/>
  <c r="V570" i="5" s="1"/>
  <c r="U496" i="5"/>
  <c r="V496" i="5" s="1"/>
  <c r="U389" i="5"/>
  <c r="V389" i="5" s="1"/>
  <c r="U261" i="5"/>
  <c r="V261" i="5" s="1"/>
  <c r="U131" i="5"/>
  <c r="V131" i="5" s="1"/>
  <c r="U998" i="5"/>
  <c r="V998" i="5" s="1"/>
  <c r="U990" i="5"/>
  <c r="V990" i="5" s="1"/>
  <c r="U981" i="5"/>
  <c r="V981" i="5" s="1"/>
  <c r="U963" i="5"/>
  <c r="V963" i="5" s="1"/>
  <c r="U936" i="5"/>
  <c r="V936" i="5" s="1"/>
  <c r="U904" i="5"/>
  <c r="V904" i="5" s="1"/>
  <c r="U872" i="5"/>
  <c r="V872" i="5" s="1"/>
  <c r="U840" i="5"/>
  <c r="V840" i="5" s="1"/>
  <c r="U808" i="5"/>
  <c r="V808" i="5" s="1"/>
  <c r="U776" i="5"/>
  <c r="V776" i="5" s="1"/>
  <c r="U744" i="5"/>
  <c r="V744" i="5" s="1"/>
  <c r="U712" i="5"/>
  <c r="V712" i="5" s="1"/>
  <c r="U680" i="5"/>
  <c r="V680" i="5" s="1"/>
  <c r="U643" i="5"/>
  <c r="V643" i="5" s="1"/>
  <c r="U607" i="5"/>
  <c r="V607" i="5" s="1"/>
  <c r="U569" i="5"/>
  <c r="V569" i="5" s="1"/>
  <c r="U485" i="5"/>
  <c r="V485" i="5" s="1"/>
  <c r="U373" i="5"/>
  <c r="V373" i="5" s="1"/>
  <c r="U245" i="5"/>
  <c r="V245" i="5" s="1"/>
  <c r="U112" i="5"/>
  <c r="V112" i="5" s="1"/>
  <c r="U997" i="5"/>
  <c r="V997" i="5" s="1"/>
  <c r="U989" i="5"/>
  <c r="V989" i="5" s="1"/>
  <c r="U980" i="5"/>
  <c r="V980" i="5" s="1"/>
  <c r="U961" i="5"/>
  <c r="V961" i="5" s="1"/>
  <c r="U929" i="5"/>
  <c r="V929" i="5" s="1"/>
  <c r="U897" i="5"/>
  <c r="V897" i="5" s="1"/>
  <c r="U865" i="5"/>
  <c r="V865" i="5" s="1"/>
  <c r="U833" i="5"/>
  <c r="V833" i="5" s="1"/>
  <c r="U801" i="5"/>
  <c r="V801" i="5" s="1"/>
  <c r="U769" i="5"/>
  <c r="V769" i="5" s="1"/>
  <c r="U737" i="5"/>
  <c r="V737" i="5" s="1"/>
  <c r="U705" i="5"/>
  <c r="V705" i="5" s="1"/>
  <c r="U672" i="5"/>
  <c r="V672" i="5" s="1"/>
  <c r="U635" i="5"/>
  <c r="V635" i="5" s="1"/>
  <c r="U599" i="5"/>
  <c r="V599" i="5" s="1"/>
  <c r="U560" i="5"/>
  <c r="V560" i="5" s="1"/>
  <c r="U474" i="5"/>
  <c r="V474" i="5" s="1"/>
  <c r="U357" i="5"/>
  <c r="V357" i="5" s="1"/>
  <c r="U229" i="5"/>
  <c r="V229" i="5" s="1"/>
  <c r="U90" i="5"/>
  <c r="V90" i="5" s="1"/>
  <c r="U996" i="5"/>
  <c r="V996" i="5" s="1"/>
  <c r="U988" i="5"/>
  <c r="V988" i="5" s="1"/>
  <c r="U979" i="5"/>
  <c r="V979" i="5" s="1"/>
  <c r="U960" i="5"/>
  <c r="V960" i="5" s="1"/>
  <c r="U928" i="5"/>
  <c r="V928" i="5" s="1"/>
  <c r="U896" i="5"/>
  <c r="V896" i="5" s="1"/>
  <c r="U864" i="5"/>
  <c r="V864" i="5" s="1"/>
  <c r="U832" i="5"/>
  <c r="V832" i="5" s="1"/>
  <c r="U800" i="5"/>
  <c r="V800" i="5" s="1"/>
  <c r="U768" i="5"/>
  <c r="V768" i="5" s="1"/>
  <c r="U736" i="5"/>
  <c r="V736" i="5" s="1"/>
  <c r="U704" i="5"/>
  <c r="V704" i="5" s="1"/>
  <c r="U671" i="5"/>
  <c r="V671" i="5" s="1"/>
  <c r="U634" i="5"/>
  <c r="V634" i="5" s="1"/>
  <c r="U598" i="5"/>
  <c r="V598" i="5" s="1"/>
  <c r="U549" i="5"/>
  <c r="V549" i="5" s="1"/>
  <c r="U464" i="5"/>
  <c r="V464" i="5" s="1"/>
  <c r="U341" i="5"/>
  <c r="V341" i="5" s="1"/>
  <c r="U213" i="5"/>
  <c r="V213" i="5" s="1"/>
  <c r="U8" i="5"/>
  <c r="V8" i="5" s="1"/>
  <c r="U9" i="5"/>
  <c r="V9" i="5" s="1"/>
  <c r="U17" i="5"/>
  <c r="V17" i="5" s="1"/>
  <c r="U25" i="5"/>
  <c r="V25" i="5" s="1"/>
  <c r="U33" i="5"/>
  <c r="V33" i="5" s="1"/>
  <c r="U41" i="5"/>
  <c r="V41" i="5" s="1"/>
  <c r="U49" i="5"/>
  <c r="V49" i="5" s="1"/>
  <c r="U57" i="5"/>
  <c r="V57" i="5" s="1"/>
  <c r="U65" i="5"/>
  <c r="V65" i="5" s="1"/>
  <c r="U73" i="5"/>
  <c r="V73" i="5" s="1"/>
  <c r="U81" i="5"/>
  <c r="V81" i="5" s="1"/>
  <c r="U89" i="5"/>
  <c r="V89" i="5" s="1"/>
  <c r="U97" i="5"/>
  <c r="V97" i="5" s="1"/>
  <c r="U105" i="5"/>
  <c r="V105" i="5" s="1"/>
  <c r="U113" i="5"/>
  <c r="V113" i="5" s="1"/>
  <c r="U121" i="5"/>
  <c r="V121" i="5" s="1"/>
  <c r="U129" i="5"/>
  <c r="V129" i="5" s="1"/>
  <c r="U137" i="5"/>
  <c r="V137" i="5" s="1"/>
  <c r="U145" i="5"/>
  <c r="V145" i="5" s="1"/>
  <c r="U153" i="5"/>
  <c r="V153" i="5" s="1"/>
  <c r="U161" i="5"/>
  <c r="V161" i="5" s="1"/>
  <c r="U169" i="5"/>
  <c r="V169" i="5" s="1"/>
  <c r="U177" i="5"/>
  <c r="V177" i="5" s="1"/>
  <c r="U185" i="5"/>
  <c r="V185" i="5" s="1"/>
  <c r="U193" i="5"/>
  <c r="V193" i="5" s="1"/>
  <c r="U201" i="5"/>
  <c r="V201" i="5" s="1"/>
  <c r="U209" i="5"/>
  <c r="V209" i="5" s="1"/>
  <c r="U217" i="5"/>
  <c r="V217" i="5" s="1"/>
  <c r="U225" i="5"/>
  <c r="V225" i="5" s="1"/>
  <c r="U233" i="5"/>
  <c r="V233" i="5" s="1"/>
  <c r="U241" i="5"/>
  <c r="V241" i="5" s="1"/>
  <c r="U249" i="5"/>
  <c r="V249" i="5" s="1"/>
  <c r="U257" i="5"/>
  <c r="V257" i="5" s="1"/>
  <c r="U265" i="5"/>
  <c r="V265" i="5" s="1"/>
  <c r="U273" i="5"/>
  <c r="V273" i="5" s="1"/>
  <c r="U281" i="5"/>
  <c r="V281" i="5" s="1"/>
  <c r="U289" i="5"/>
  <c r="V289" i="5" s="1"/>
  <c r="U297" i="5"/>
  <c r="V297" i="5" s="1"/>
  <c r="U305" i="5"/>
  <c r="V305" i="5" s="1"/>
  <c r="U313" i="5"/>
  <c r="V313" i="5" s="1"/>
  <c r="U321" i="5"/>
  <c r="V321" i="5" s="1"/>
  <c r="U329" i="5"/>
  <c r="V329" i="5" s="1"/>
  <c r="U337" i="5"/>
  <c r="V337" i="5" s="1"/>
  <c r="U345" i="5"/>
  <c r="V345" i="5" s="1"/>
  <c r="U353" i="5"/>
  <c r="V353" i="5" s="1"/>
  <c r="U361" i="5"/>
  <c r="V361" i="5" s="1"/>
  <c r="U369" i="5"/>
  <c r="V369" i="5" s="1"/>
  <c r="U377" i="5"/>
  <c r="V377" i="5" s="1"/>
  <c r="U385" i="5"/>
  <c r="V385" i="5" s="1"/>
  <c r="U393" i="5"/>
  <c r="V393" i="5" s="1"/>
  <c r="U401" i="5"/>
  <c r="V401" i="5" s="1"/>
  <c r="U409" i="5"/>
  <c r="V409" i="5" s="1"/>
  <c r="U417" i="5"/>
  <c r="V417" i="5" s="1"/>
  <c r="U425" i="5"/>
  <c r="V425" i="5" s="1"/>
  <c r="U433" i="5"/>
  <c r="V433" i="5" s="1"/>
  <c r="U441" i="5"/>
  <c r="V441" i="5" s="1"/>
  <c r="U449" i="5"/>
  <c r="V449" i="5" s="1"/>
  <c r="U457" i="5"/>
  <c r="V457" i="5" s="1"/>
  <c r="U2" i="5"/>
  <c r="V2" i="5" s="1"/>
  <c r="U10" i="5"/>
  <c r="V10" i="5" s="1"/>
  <c r="U18" i="5"/>
  <c r="V18" i="5" s="1"/>
  <c r="U26" i="5"/>
  <c r="V26" i="5" s="1"/>
  <c r="U34" i="5"/>
  <c r="V34" i="5" s="1"/>
  <c r="U42" i="5"/>
  <c r="V42" i="5" s="1"/>
  <c r="U50" i="5"/>
  <c r="V50" i="5" s="1"/>
  <c r="U58" i="5"/>
  <c r="V58" i="5" s="1"/>
  <c r="U66" i="5"/>
  <c r="V66" i="5" s="1"/>
  <c r="U74" i="5"/>
  <c r="V74" i="5" s="1"/>
  <c r="U3" i="5"/>
  <c r="V3" i="5" s="1"/>
  <c r="U4" i="5"/>
  <c r="V4" i="5" s="1"/>
  <c r="U12" i="5"/>
  <c r="V12" i="5" s="1"/>
  <c r="U20" i="5"/>
  <c r="V20" i="5" s="1"/>
  <c r="U28" i="5"/>
  <c r="V28" i="5" s="1"/>
  <c r="U36" i="5"/>
  <c r="V36" i="5" s="1"/>
  <c r="U44" i="5"/>
  <c r="V44" i="5" s="1"/>
  <c r="U52" i="5"/>
  <c r="V52" i="5" s="1"/>
  <c r="U60" i="5"/>
  <c r="V60" i="5" s="1"/>
  <c r="U68" i="5"/>
  <c r="V68" i="5" s="1"/>
  <c r="U76" i="5"/>
  <c r="V76" i="5" s="1"/>
  <c r="U84" i="5"/>
  <c r="V84" i="5" s="1"/>
  <c r="U92" i="5"/>
  <c r="V92" i="5" s="1"/>
  <c r="U100" i="5"/>
  <c r="V100" i="5" s="1"/>
  <c r="U108" i="5"/>
  <c r="V108" i="5" s="1"/>
  <c r="U116" i="5"/>
  <c r="V116" i="5" s="1"/>
  <c r="U124" i="5"/>
  <c r="V124" i="5" s="1"/>
  <c r="U132" i="5"/>
  <c r="V132" i="5" s="1"/>
  <c r="U140" i="5"/>
  <c r="V140" i="5" s="1"/>
  <c r="U148" i="5"/>
  <c r="V148" i="5" s="1"/>
  <c r="U156" i="5"/>
  <c r="V156" i="5" s="1"/>
  <c r="U164" i="5"/>
  <c r="V164" i="5" s="1"/>
  <c r="U172" i="5"/>
  <c r="V172" i="5" s="1"/>
  <c r="U180" i="5"/>
  <c r="V180" i="5" s="1"/>
  <c r="U188" i="5"/>
  <c r="V188" i="5" s="1"/>
  <c r="U196" i="5"/>
  <c r="V196" i="5" s="1"/>
  <c r="U204" i="5"/>
  <c r="V204" i="5" s="1"/>
  <c r="U212" i="5"/>
  <c r="V212" i="5" s="1"/>
  <c r="U220" i="5"/>
  <c r="V220" i="5" s="1"/>
  <c r="U228" i="5"/>
  <c r="V228" i="5" s="1"/>
  <c r="U236" i="5"/>
  <c r="V236" i="5" s="1"/>
  <c r="U244" i="5"/>
  <c r="V244" i="5" s="1"/>
  <c r="U252" i="5"/>
  <c r="V252" i="5" s="1"/>
  <c r="U260" i="5"/>
  <c r="V260" i="5" s="1"/>
  <c r="U268" i="5"/>
  <c r="V268" i="5" s="1"/>
  <c r="U276" i="5"/>
  <c r="V276" i="5" s="1"/>
  <c r="U284" i="5"/>
  <c r="V284" i="5" s="1"/>
  <c r="U292" i="5"/>
  <c r="V292" i="5" s="1"/>
  <c r="U300" i="5"/>
  <c r="V300" i="5" s="1"/>
  <c r="U308" i="5"/>
  <c r="V308" i="5" s="1"/>
  <c r="U316" i="5"/>
  <c r="V316" i="5" s="1"/>
  <c r="U324" i="5"/>
  <c r="V324" i="5" s="1"/>
  <c r="U332" i="5"/>
  <c r="V332" i="5" s="1"/>
  <c r="U340" i="5"/>
  <c r="V340" i="5" s="1"/>
  <c r="U348" i="5"/>
  <c r="V348" i="5" s="1"/>
  <c r="U356" i="5"/>
  <c r="V356" i="5" s="1"/>
  <c r="U364" i="5"/>
  <c r="V364" i="5" s="1"/>
  <c r="U372" i="5"/>
  <c r="V372" i="5" s="1"/>
  <c r="U380" i="5"/>
  <c r="V380" i="5" s="1"/>
  <c r="U388" i="5"/>
  <c r="V388" i="5" s="1"/>
  <c r="U396" i="5"/>
  <c r="V396" i="5" s="1"/>
  <c r="U404" i="5"/>
  <c r="V404" i="5" s="1"/>
  <c r="U412" i="5"/>
  <c r="V412" i="5" s="1"/>
  <c r="U420" i="5"/>
  <c r="V420" i="5" s="1"/>
  <c r="U428" i="5"/>
  <c r="V428" i="5" s="1"/>
  <c r="U436" i="5"/>
  <c r="V436" i="5" s="1"/>
  <c r="U444" i="5"/>
  <c r="V444" i="5" s="1"/>
  <c r="U452" i="5"/>
  <c r="V452" i="5" s="1"/>
  <c r="U460" i="5"/>
  <c r="V460" i="5" s="1"/>
  <c r="U468" i="5"/>
  <c r="V468" i="5" s="1"/>
  <c r="U476" i="5"/>
  <c r="V476" i="5" s="1"/>
  <c r="U484" i="5"/>
  <c r="V484" i="5" s="1"/>
  <c r="U492" i="5"/>
  <c r="V492" i="5" s="1"/>
  <c r="U500" i="5"/>
  <c r="V500" i="5" s="1"/>
  <c r="U508" i="5"/>
  <c r="V508" i="5" s="1"/>
  <c r="U516" i="5"/>
  <c r="V516" i="5" s="1"/>
  <c r="U524" i="5"/>
  <c r="V524" i="5" s="1"/>
  <c r="U532" i="5"/>
  <c r="V532" i="5" s="1"/>
  <c r="U540" i="5"/>
  <c r="V540" i="5" s="1"/>
  <c r="U548" i="5"/>
  <c r="V548" i="5" s="1"/>
  <c r="U556" i="5"/>
  <c r="V556" i="5" s="1"/>
  <c r="U564" i="5"/>
  <c r="V564" i="5" s="1"/>
  <c r="U572" i="5"/>
  <c r="V572" i="5" s="1"/>
  <c r="U580" i="5"/>
  <c r="V580" i="5" s="1"/>
  <c r="U588" i="5"/>
  <c r="V588" i="5" s="1"/>
  <c r="U596" i="5"/>
  <c r="V596" i="5" s="1"/>
  <c r="U604" i="5"/>
  <c r="V604" i="5" s="1"/>
  <c r="U612" i="5"/>
  <c r="V612" i="5" s="1"/>
  <c r="U620" i="5"/>
  <c r="V620" i="5" s="1"/>
  <c r="U628" i="5"/>
  <c r="V628" i="5" s="1"/>
  <c r="U636" i="5"/>
  <c r="V636" i="5" s="1"/>
  <c r="U644" i="5"/>
  <c r="V644" i="5" s="1"/>
  <c r="U652" i="5"/>
  <c r="V652" i="5" s="1"/>
  <c r="U660" i="5"/>
  <c r="V660" i="5" s="1"/>
  <c r="U668" i="5"/>
  <c r="V668" i="5" s="1"/>
  <c r="U676" i="5"/>
  <c r="V676" i="5" s="1"/>
  <c r="U5" i="5"/>
  <c r="V5" i="5" s="1"/>
  <c r="U13" i="5"/>
  <c r="V13" i="5" s="1"/>
  <c r="U21" i="5"/>
  <c r="V21" i="5" s="1"/>
  <c r="U29" i="5"/>
  <c r="V29" i="5" s="1"/>
  <c r="U37" i="5"/>
  <c r="V37" i="5" s="1"/>
  <c r="U45" i="5"/>
  <c r="V45" i="5" s="1"/>
  <c r="U53" i="5"/>
  <c r="V53" i="5" s="1"/>
  <c r="U61" i="5"/>
  <c r="V61" i="5" s="1"/>
  <c r="U69" i="5"/>
  <c r="V69" i="5" s="1"/>
  <c r="U77" i="5"/>
  <c r="V77" i="5" s="1"/>
  <c r="U85" i="5"/>
  <c r="V85" i="5" s="1"/>
  <c r="U93" i="5"/>
  <c r="V93" i="5" s="1"/>
  <c r="U101" i="5"/>
  <c r="V101" i="5" s="1"/>
  <c r="U109" i="5"/>
  <c r="V109" i="5" s="1"/>
  <c r="U117" i="5"/>
  <c r="V117" i="5" s="1"/>
  <c r="U125" i="5"/>
  <c r="V125" i="5" s="1"/>
  <c r="U133" i="5"/>
  <c r="V133" i="5" s="1"/>
  <c r="U6" i="5"/>
  <c r="V6" i="5" s="1"/>
  <c r="U14" i="5"/>
  <c r="V14" i="5" s="1"/>
  <c r="U22" i="5"/>
  <c r="V22" i="5" s="1"/>
  <c r="U30" i="5"/>
  <c r="V30" i="5" s="1"/>
  <c r="U38" i="5"/>
  <c r="V38" i="5" s="1"/>
  <c r="U46" i="5"/>
  <c r="V46" i="5" s="1"/>
  <c r="U54" i="5"/>
  <c r="V54" i="5" s="1"/>
  <c r="U62" i="5"/>
  <c r="V62" i="5" s="1"/>
  <c r="U70" i="5"/>
  <c r="V70" i="5" s="1"/>
  <c r="U78" i="5"/>
  <c r="V78" i="5" s="1"/>
  <c r="U86" i="5"/>
  <c r="V86" i="5" s="1"/>
  <c r="U94" i="5"/>
  <c r="V94" i="5" s="1"/>
  <c r="U102" i="5"/>
  <c r="V102" i="5" s="1"/>
  <c r="U110" i="5"/>
  <c r="V110" i="5" s="1"/>
  <c r="U118" i="5"/>
  <c r="V118" i="5" s="1"/>
  <c r="U126" i="5"/>
  <c r="V126" i="5" s="1"/>
  <c r="U134" i="5"/>
  <c r="V134" i="5" s="1"/>
  <c r="U142" i="5"/>
  <c r="V142" i="5" s="1"/>
  <c r="U150" i="5"/>
  <c r="V150" i="5" s="1"/>
  <c r="U158" i="5"/>
  <c r="V158" i="5" s="1"/>
  <c r="U166" i="5"/>
  <c r="V166" i="5" s="1"/>
  <c r="U174" i="5"/>
  <c r="V174" i="5" s="1"/>
  <c r="U182" i="5"/>
  <c r="V182" i="5" s="1"/>
  <c r="U190" i="5"/>
  <c r="V190" i="5" s="1"/>
  <c r="U198" i="5"/>
  <c r="V198" i="5" s="1"/>
  <c r="U206" i="5"/>
  <c r="V206" i="5" s="1"/>
  <c r="U214" i="5"/>
  <c r="V214" i="5" s="1"/>
  <c r="U222" i="5"/>
  <c r="V222" i="5" s="1"/>
  <c r="U230" i="5"/>
  <c r="V230" i="5" s="1"/>
  <c r="U238" i="5"/>
  <c r="V238" i="5" s="1"/>
  <c r="U246" i="5"/>
  <c r="V246" i="5" s="1"/>
  <c r="U254" i="5"/>
  <c r="V254" i="5" s="1"/>
  <c r="U262" i="5"/>
  <c r="V262" i="5" s="1"/>
  <c r="U270" i="5"/>
  <c r="V270" i="5" s="1"/>
  <c r="U278" i="5"/>
  <c r="V278" i="5" s="1"/>
  <c r="U286" i="5"/>
  <c r="V286" i="5" s="1"/>
  <c r="U294" i="5"/>
  <c r="V294" i="5" s="1"/>
  <c r="U302" i="5"/>
  <c r="V302" i="5" s="1"/>
  <c r="U310" i="5"/>
  <c r="V310" i="5" s="1"/>
  <c r="U318" i="5"/>
  <c r="V318" i="5" s="1"/>
  <c r="U326" i="5"/>
  <c r="V326" i="5" s="1"/>
  <c r="U334" i="5"/>
  <c r="V334" i="5" s="1"/>
  <c r="U342" i="5"/>
  <c r="V342" i="5" s="1"/>
  <c r="U350" i="5"/>
  <c r="V350" i="5" s="1"/>
  <c r="U358" i="5"/>
  <c r="V358" i="5" s="1"/>
  <c r="U366" i="5"/>
  <c r="V366" i="5" s="1"/>
  <c r="U374" i="5"/>
  <c r="V374" i="5" s="1"/>
  <c r="U382" i="5"/>
  <c r="V382" i="5" s="1"/>
  <c r="U390" i="5"/>
  <c r="V390" i="5" s="1"/>
  <c r="U398" i="5"/>
  <c r="V398" i="5" s="1"/>
  <c r="U406" i="5"/>
  <c r="V406" i="5" s="1"/>
  <c r="U414" i="5"/>
  <c r="V414" i="5" s="1"/>
  <c r="U422" i="5"/>
  <c r="V422" i="5" s="1"/>
  <c r="U430" i="5"/>
  <c r="V430" i="5" s="1"/>
  <c r="U438" i="5"/>
  <c r="V438" i="5" s="1"/>
  <c r="U15" i="5"/>
  <c r="V15" i="5" s="1"/>
  <c r="U23" i="5"/>
  <c r="V23" i="5" s="1"/>
  <c r="U31" i="5"/>
  <c r="V31" i="5" s="1"/>
  <c r="U39" i="5"/>
  <c r="V39" i="5" s="1"/>
  <c r="U47" i="5"/>
  <c r="V47" i="5" s="1"/>
  <c r="U55" i="5"/>
  <c r="V55" i="5" s="1"/>
  <c r="U63" i="5"/>
  <c r="V63" i="5" s="1"/>
  <c r="U71" i="5"/>
  <c r="V71" i="5" s="1"/>
  <c r="U79" i="5"/>
  <c r="V79" i="5" s="1"/>
  <c r="U87" i="5"/>
  <c r="V87" i="5" s="1"/>
  <c r="U95" i="5"/>
  <c r="V95" i="5" s="1"/>
  <c r="U103" i="5"/>
  <c r="V103" i="5" s="1"/>
  <c r="U111" i="5"/>
  <c r="V111" i="5" s="1"/>
  <c r="U119" i="5"/>
  <c r="V119" i="5" s="1"/>
  <c r="U127" i="5"/>
  <c r="V127" i="5" s="1"/>
  <c r="U135" i="5"/>
  <c r="V135" i="5" s="1"/>
  <c r="U143" i="5"/>
  <c r="V143" i="5" s="1"/>
  <c r="U151" i="5"/>
  <c r="V151" i="5" s="1"/>
  <c r="U159" i="5"/>
  <c r="V159" i="5" s="1"/>
  <c r="U167" i="5"/>
  <c r="V167" i="5" s="1"/>
  <c r="U175" i="5"/>
  <c r="V175" i="5" s="1"/>
  <c r="U183" i="5"/>
  <c r="V183" i="5" s="1"/>
  <c r="U191" i="5"/>
  <c r="V191" i="5" s="1"/>
  <c r="U199" i="5"/>
  <c r="V199" i="5" s="1"/>
  <c r="U207" i="5"/>
  <c r="V207" i="5" s="1"/>
  <c r="U215" i="5"/>
  <c r="V215" i="5" s="1"/>
  <c r="U223" i="5"/>
  <c r="V223" i="5" s="1"/>
  <c r="U231" i="5"/>
  <c r="V231" i="5" s="1"/>
  <c r="U239" i="5"/>
  <c r="V239" i="5" s="1"/>
  <c r="U247" i="5"/>
  <c r="V247" i="5" s="1"/>
  <c r="U255" i="5"/>
  <c r="V255" i="5" s="1"/>
  <c r="U263" i="5"/>
  <c r="V263" i="5" s="1"/>
  <c r="U271" i="5"/>
  <c r="V271" i="5" s="1"/>
  <c r="U279" i="5"/>
  <c r="V279" i="5" s="1"/>
  <c r="U287" i="5"/>
  <c r="V287" i="5" s="1"/>
  <c r="U295" i="5"/>
  <c r="V295" i="5" s="1"/>
  <c r="U303" i="5"/>
  <c r="V303" i="5" s="1"/>
  <c r="U311" i="5"/>
  <c r="V311" i="5" s="1"/>
  <c r="U319" i="5"/>
  <c r="V319" i="5" s="1"/>
  <c r="U327" i="5"/>
  <c r="V327" i="5" s="1"/>
  <c r="U335" i="5"/>
  <c r="V335" i="5" s="1"/>
  <c r="U343" i="5"/>
  <c r="V343" i="5" s="1"/>
  <c r="U351" i="5"/>
  <c r="V351" i="5" s="1"/>
  <c r="U359" i="5"/>
  <c r="V359" i="5" s="1"/>
  <c r="U367" i="5"/>
  <c r="V367" i="5" s="1"/>
  <c r="U375" i="5"/>
  <c r="V375" i="5" s="1"/>
  <c r="U383" i="5"/>
  <c r="V383" i="5" s="1"/>
  <c r="U391" i="5"/>
  <c r="V391" i="5" s="1"/>
  <c r="U399" i="5"/>
  <c r="V399" i="5" s="1"/>
  <c r="U407" i="5"/>
  <c r="V407" i="5" s="1"/>
  <c r="U415" i="5"/>
  <c r="V415" i="5" s="1"/>
  <c r="U423" i="5"/>
  <c r="V423" i="5" s="1"/>
  <c r="U431" i="5"/>
  <c r="V431" i="5" s="1"/>
  <c r="U439" i="5"/>
  <c r="V439" i="5" s="1"/>
  <c r="U447" i="5"/>
  <c r="V447" i="5" s="1"/>
  <c r="U455" i="5"/>
  <c r="V455" i="5" s="1"/>
  <c r="U463" i="5"/>
  <c r="V463" i="5" s="1"/>
  <c r="U471" i="5"/>
  <c r="V471" i="5" s="1"/>
  <c r="U479" i="5"/>
  <c r="V479" i="5" s="1"/>
  <c r="U487" i="5"/>
  <c r="V487" i="5" s="1"/>
  <c r="U495" i="5"/>
  <c r="V495" i="5" s="1"/>
  <c r="U503" i="5"/>
  <c r="V503" i="5" s="1"/>
  <c r="U511" i="5"/>
  <c r="V511" i="5" s="1"/>
  <c r="U519" i="5"/>
  <c r="V519" i="5" s="1"/>
  <c r="U527" i="5"/>
  <c r="V527" i="5" s="1"/>
  <c r="U535" i="5"/>
  <c r="V535" i="5" s="1"/>
  <c r="U543" i="5"/>
  <c r="V543" i="5" s="1"/>
  <c r="U551" i="5"/>
  <c r="V551" i="5" s="1"/>
  <c r="U559" i="5"/>
  <c r="V559" i="5" s="1"/>
  <c r="U567" i="5"/>
  <c r="V567" i="5" s="1"/>
  <c r="U575" i="5"/>
  <c r="V575" i="5" s="1"/>
  <c r="U35" i="5"/>
  <c r="V35" i="5" s="1"/>
  <c r="U67" i="5"/>
  <c r="V67" i="5" s="1"/>
  <c r="U91" i="5"/>
  <c r="V91" i="5" s="1"/>
  <c r="U114" i="5"/>
  <c r="V114" i="5" s="1"/>
  <c r="U136" i="5"/>
  <c r="V136" i="5" s="1"/>
  <c r="U152" i="5"/>
  <c r="V152" i="5" s="1"/>
  <c r="U168" i="5"/>
  <c r="V168" i="5" s="1"/>
  <c r="U184" i="5"/>
  <c r="V184" i="5" s="1"/>
  <c r="U200" i="5"/>
  <c r="V200" i="5" s="1"/>
  <c r="U216" i="5"/>
  <c r="V216" i="5" s="1"/>
  <c r="U232" i="5"/>
  <c r="V232" i="5" s="1"/>
  <c r="U248" i="5"/>
  <c r="V248" i="5" s="1"/>
  <c r="U264" i="5"/>
  <c r="V264" i="5" s="1"/>
  <c r="U280" i="5"/>
  <c r="V280" i="5" s="1"/>
  <c r="U296" i="5"/>
  <c r="V296" i="5" s="1"/>
  <c r="U312" i="5"/>
  <c r="V312" i="5" s="1"/>
  <c r="U328" i="5"/>
  <c r="V328" i="5" s="1"/>
  <c r="U344" i="5"/>
  <c r="V344" i="5" s="1"/>
  <c r="U360" i="5"/>
  <c r="V360" i="5" s="1"/>
  <c r="U376" i="5"/>
  <c r="V376" i="5" s="1"/>
  <c r="U392" i="5"/>
  <c r="V392" i="5" s="1"/>
  <c r="U408" i="5"/>
  <c r="V408" i="5" s="1"/>
  <c r="U424" i="5"/>
  <c r="V424" i="5" s="1"/>
  <c r="U440" i="5"/>
  <c r="V440" i="5" s="1"/>
  <c r="U453" i="5"/>
  <c r="V453" i="5" s="1"/>
  <c r="U465" i="5"/>
  <c r="V465" i="5" s="1"/>
  <c r="U475" i="5"/>
  <c r="V475" i="5" s="1"/>
  <c r="U486" i="5"/>
  <c r="V486" i="5" s="1"/>
  <c r="U497" i="5"/>
  <c r="V497" i="5" s="1"/>
  <c r="U507" i="5"/>
  <c r="V507" i="5" s="1"/>
  <c r="U518" i="5"/>
  <c r="V518" i="5" s="1"/>
  <c r="U529" i="5"/>
  <c r="V529" i="5" s="1"/>
  <c r="U539" i="5"/>
  <c r="V539" i="5" s="1"/>
  <c r="U550" i="5"/>
  <c r="V550" i="5" s="1"/>
  <c r="U561" i="5"/>
  <c r="V561" i="5" s="1"/>
  <c r="U571" i="5"/>
  <c r="V571" i="5" s="1"/>
  <c r="U582" i="5"/>
  <c r="V582" i="5" s="1"/>
  <c r="U591" i="5"/>
  <c r="V591" i="5" s="1"/>
  <c r="U600" i="5"/>
  <c r="V600" i="5" s="1"/>
  <c r="U609" i="5"/>
  <c r="V609" i="5" s="1"/>
  <c r="U618" i="5"/>
  <c r="V618" i="5" s="1"/>
  <c r="U627" i="5"/>
  <c r="V627" i="5" s="1"/>
  <c r="U637" i="5"/>
  <c r="V637" i="5" s="1"/>
  <c r="U646" i="5"/>
  <c r="V646" i="5" s="1"/>
  <c r="U655" i="5"/>
  <c r="V655" i="5" s="1"/>
  <c r="U664" i="5"/>
  <c r="V664" i="5" s="1"/>
  <c r="U673" i="5"/>
  <c r="V673" i="5" s="1"/>
  <c r="U682" i="5"/>
  <c r="V682" i="5" s="1"/>
  <c r="U690" i="5"/>
  <c r="V690" i="5" s="1"/>
  <c r="U698" i="5"/>
  <c r="V698" i="5" s="1"/>
  <c r="U706" i="5"/>
  <c r="V706" i="5" s="1"/>
  <c r="U714" i="5"/>
  <c r="V714" i="5" s="1"/>
  <c r="U722" i="5"/>
  <c r="V722" i="5" s="1"/>
  <c r="U730" i="5"/>
  <c r="V730" i="5" s="1"/>
  <c r="U738" i="5"/>
  <c r="V738" i="5" s="1"/>
  <c r="U746" i="5"/>
  <c r="V746" i="5" s="1"/>
  <c r="U754" i="5"/>
  <c r="V754" i="5" s="1"/>
  <c r="U762" i="5"/>
  <c r="V762" i="5" s="1"/>
  <c r="U770" i="5"/>
  <c r="V770" i="5" s="1"/>
  <c r="U778" i="5"/>
  <c r="V778" i="5" s="1"/>
  <c r="U786" i="5"/>
  <c r="V786" i="5" s="1"/>
  <c r="U794" i="5"/>
  <c r="V794" i="5" s="1"/>
  <c r="U802" i="5"/>
  <c r="V802" i="5" s="1"/>
  <c r="U810" i="5"/>
  <c r="V810" i="5" s="1"/>
  <c r="U818" i="5"/>
  <c r="V818" i="5" s="1"/>
  <c r="U826" i="5"/>
  <c r="V826" i="5" s="1"/>
  <c r="U834" i="5"/>
  <c r="V834" i="5" s="1"/>
  <c r="U842" i="5"/>
  <c r="V842" i="5" s="1"/>
  <c r="U850" i="5"/>
  <c r="V850" i="5" s="1"/>
  <c r="U858" i="5"/>
  <c r="V858" i="5" s="1"/>
  <c r="U866" i="5"/>
  <c r="V866" i="5" s="1"/>
  <c r="U874" i="5"/>
  <c r="V874" i="5" s="1"/>
  <c r="U882" i="5"/>
  <c r="V882" i="5" s="1"/>
  <c r="U890" i="5"/>
  <c r="V890" i="5" s="1"/>
  <c r="U898" i="5"/>
  <c r="V898" i="5" s="1"/>
  <c r="U906" i="5"/>
  <c r="V906" i="5" s="1"/>
  <c r="U914" i="5"/>
  <c r="V914" i="5" s="1"/>
  <c r="U922" i="5"/>
  <c r="V922" i="5" s="1"/>
  <c r="U930" i="5"/>
  <c r="V930" i="5" s="1"/>
  <c r="U938" i="5"/>
  <c r="V938" i="5" s="1"/>
  <c r="U946" i="5"/>
  <c r="V946" i="5" s="1"/>
  <c r="U954" i="5"/>
  <c r="V954" i="5" s="1"/>
  <c r="U962" i="5"/>
  <c r="V962" i="5" s="1"/>
  <c r="U970" i="5"/>
  <c r="V970" i="5" s="1"/>
  <c r="U978" i="5"/>
  <c r="V978" i="5" s="1"/>
  <c r="U40" i="5"/>
  <c r="V40" i="5" s="1"/>
  <c r="U72" i="5"/>
  <c r="V72" i="5" s="1"/>
  <c r="U96" i="5"/>
  <c r="V96" i="5" s="1"/>
  <c r="U115" i="5"/>
  <c r="V115" i="5" s="1"/>
  <c r="U138" i="5"/>
  <c r="V138" i="5" s="1"/>
  <c r="U154" i="5"/>
  <c r="V154" i="5" s="1"/>
  <c r="U170" i="5"/>
  <c r="V170" i="5" s="1"/>
  <c r="U186" i="5"/>
  <c r="V186" i="5" s="1"/>
  <c r="U202" i="5"/>
  <c r="V202" i="5" s="1"/>
  <c r="U218" i="5"/>
  <c r="V218" i="5" s="1"/>
  <c r="U234" i="5"/>
  <c r="V234" i="5" s="1"/>
  <c r="U250" i="5"/>
  <c r="V250" i="5" s="1"/>
  <c r="U266" i="5"/>
  <c r="V266" i="5" s="1"/>
  <c r="U282" i="5"/>
  <c r="V282" i="5" s="1"/>
  <c r="U298" i="5"/>
  <c r="V298" i="5" s="1"/>
  <c r="U314" i="5"/>
  <c r="V314" i="5" s="1"/>
  <c r="U330" i="5"/>
  <c r="V330" i="5" s="1"/>
  <c r="U346" i="5"/>
  <c r="V346" i="5" s="1"/>
  <c r="U362" i="5"/>
  <c r="V362" i="5" s="1"/>
  <c r="U378" i="5"/>
  <c r="V378" i="5" s="1"/>
  <c r="U394" i="5"/>
  <c r="V394" i="5" s="1"/>
  <c r="U410" i="5"/>
  <c r="V410" i="5" s="1"/>
  <c r="U426" i="5"/>
  <c r="V426" i="5" s="1"/>
  <c r="U442" i="5"/>
  <c r="V442" i="5" s="1"/>
  <c r="U454" i="5"/>
  <c r="V454" i="5" s="1"/>
  <c r="U466" i="5"/>
  <c r="V466" i="5" s="1"/>
  <c r="U477" i="5"/>
  <c r="V477" i="5" s="1"/>
  <c r="U488" i="5"/>
  <c r="V488" i="5" s="1"/>
  <c r="U498" i="5"/>
  <c r="V498" i="5" s="1"/>
  <c r="U509" i="5"/>
  <c r="V509" i="5" s="1"/>
  <c r="U520" i="5"/>
  <c r="V520" i="5" s="1"/>
  <c r="U530" i="5"/>
  <c r="V530" i="5" s="1"/>
  <c r="U541" i="5"/>
  <c r="V541" i="5" s="1"/>
  <c r="U552" i="5"/>
  <c r="V552" i="5" s="1"/>
  <c r="U562" i="5"/>
  <c r="V562" i="5" s="1"/>
  <c r="U573" i="5"/>
  <c r="V573" i="5" s="1"/>
  <c r="U583" i="5"/>
  <c r="V583" i="5" s="1"/>
  <c r="U592" i="5"/>
  <c r="V592" i="5" s="1"/>
  <c r="U601" i="5"/>
  <c r="V601" i="5" s="1"/>
  <c r="U610" i="5"/>
  <c r="V610" i="5" s="1"/>
  <c r="U619" i="5"/>
  <c r="V619" i="5" s="1"/>
  <c r="U629" i="5"/>
  <c r="V629" i="5" s="1"/>
  <c r="U638" i="5"/>
  <c r="V638" i="5" s="1"/>
  <c r="U647" i="5"/>
  <c r="V647" i="5" s="1"/>
  <c r="U656" i="5"/>
  <c r="V656" i="5" s="1"/>
  <c r="U665" i="5"/>
  <c r="V665" i="5" s="1"/>
  <c r="U674" i="5"/>
  <c r="V674" i="5" s="1"/>
  <c r="U683" i="5"/>
  <c r="V683" i="5" s="1"/>
  <c r="U691" i="5"/>
  <c r="V691" i="5" s="1"/>
  <c r="U699" i="5"/>
  <c r="V699" i="5" s="1"/>
  <c r="U707" i="5"/>
  <c r="V707" i="5" s="1"/>
  <c r="U715" i="5"/>
  <c r="V715" i="5" s="1"/>
  <c r="U723" i="5"/>
  <c r="V723" i="5" s="1"/>
  <c r="U731" i="5"/>
  <c r="V731" i="5" s="1"/>
  <c r="U739" i="5"/>
  <c r="V739" i="5" s="1"/>
  <c r="U747" i="5"/>
  <c r="V747" i="5" s="1"/>
  <c r="U755" i="5"/>
  <c r="V755" i="5" s="1"/>
  <c r="U763" i="5"/>
  <c r="V763" i="5" s="1"/>
  <c r="U771" i="5"/>
  <c r="V771" i="5" s="1"/>
  <c r="U779" i="5"/>
  <c r="V779" i="5" s="1"/>
  <c r="U787" i="5"/>
  <c r="V787" i="5" s="1"/>
  <c r="U795" i="5"/>
  <c r="V795" i="5" s="1"/>
  <c r="U803" i="5"/>
  <c r="V803" i="5" s="1"/>
  <c r="U811" i="5"/>
  <c r="V811" i="5" s="1"/>
  <c r="U819" i="5"/>
  <c r="V819" i="5" s="1"/>
  <c r="U827" i="5"/>
  <c r="V827" i="5" s="1"/>
  <c r="U835" i="5"/>
  <c r="V835" i="5" s="1"/>
  <c r="U843" i="5"/>
  <c r="V843" i="5" s="1"/>
  <c r="U851" i="5"/>
  <c r="V851" i="5" s="1"/>
  <c r="U859" i="5"/>
  <c r="V859" i="5" s="1"/>
  <c r="U867" i="5"/>
  <c r="V867" i="5" s="1"/>
  <c r="U875" i="5"/>
  <c r="V875" i="5" s="1"/>
  <c r="U883" i="5"/>
  <c r="V883" i="5" s="1"/>
  <c r="U891" i="5"/>
  <c r="V891" i="5" s="1"/>
  <c r="U899" i="5"/>
  <c r="V899" i="5" s="1"/>
  <c r="U907" i="5"/>
  <c r="V907" i="5" s="1"/>
  <c r="U915" i="5"/>
  <c r="V915" i="5" s="1"/>
  <c r="U923" i="5"/>
  <c r="V923" i="5" s="1"/>
  <c r="U931" i="5"/>
  <c r="V931" i="5" s="1"/>
  <c r="U939" i="5"/>
  <c r="V939" i="5" s="1"/>
  <c r="U947" i="5"/>
  <c r="V947" i="5" s="1"/>
  <c r="U955" i="5"/>
  <c r="V955" i="5" s="1"/>
  <c r="U11" i="5"/>
  <c r="V11" i="5" s="1"/>
  <c r="U43" i="5"/>
  <c r="V43" i="5" s="1"/>
  <c r="U75" i="5"/>
  <c r="V75" i="5" s="1"/>
  <c r="U98" i="5"/>
  <c r="V98" i="5" s="1"/>
  <c r="U120" i="5"/>
  <c r="V120" i="5" s="1"/>
  <c r="U139" i="5"/>
  <c r="V139" i="5" s="1"/>
  <c r="U155" i="5"/>
  <c r="V155" i="5" s="1"/>
  <c r="U171" i="5"/>
  <c r="V171" i="5" s="1"/>
  <c r="U187" i="5"/>
  <c r="V187" i="5" s="1"/>
  <c r="U203" i="5"/>
  <c r="V203" i="5" s="1"/>
  <c r="U219" i="5"/>
  <c r="V219" i="5" s="1"/>
  <c r="U235" i="5"/>
  <c r="V235" i="5" s="1"/>
  <c r="U251" i="5"/>
  <c r="V251" i="5" s="1"/>
  <c r="U267" i="5"/>
  <c r="V267" i="5" s="1"/>
  <c r="U283" i="5"/>
  <c r="V283" i="5" s="1"/>
  <c r="U299" i="5"/>
  <c r="V299" i="5" s="1"/>
  <c r="U315" i="5"/>
  <c r="V315" i="5" s="1"/>
  <c r="U331" i="5"/>
  <c r="V331" i="5" s="1"/>
  <c r="U347" i="5"/>
  <c r="V347" i="5" s="1"/>
  <c r="U363" i="5"/>
  <c r="V363" i="5" s="1"/>
  <c r="U379" i="5"/>
  <c r="V379" i="5" s="1"/>
  <c r="U395" i="5"/>
  <c r="V395" i="5" s="1"/>
  <c r="U411" i="5"/>
  <c r="V411" i="5" s="1"/>
  <c r="U427" i="5"/>
  <c r="V427" i="5" s="1"/>
  <c r="U443" i="5"/>
  <c r="V443" i="5" s="1"/>
  <c r="U456" i="5"/>
  <c r="V456" i="5" s="1"/>
  <c r="U467" i="5"/>
  <c r="V467" i="5" s="1"/>
  <c r="U478" i="5"/>
  <c r="V478" i="5" s="1"/>
  <c r="U489" i="5"/>
  <c r="V489" i="5" s="1"/>
  <c r="U499" i="5"/>
  <c r="V499" i="5" s="1"/>
  <c r="U510" i="5"/>
  <c r="V510" i="5" s="1"/>
  <c r="U521" i="5"/>
  <c r="V521" i="5" s="1"/>
  <c r="U531" i="5"/>
  <c r="V531" i="5" s="1"/>
  <c r="U542" i="5"/>
  <c r="V542" i="5" s="1"/>
  <c r="U553" i="5"/>
  <c r="V553" i="5" s="1"/>
  <c r="U563" i="5"/>
  <c r="V563" i="5" s="1"/>
  <c r="U574" i="5"/>
  <c r="V574" i="5" s="1"/>
  <c r="U584" i="5"/>
  <c r="V584" i="5" s="1"/>
  <c r="U593" i="5"/>
  <c r="V593" i="5" s="1"/>
  <c r="U602" i="5"/>
  <c r="V602" i="5" s="1"/>
  <c r="U611" i="5"/>
  <c r="V611" i="5" s="1"/>
  <c r="U621" i="5"/>
  <c r="V621" i="5" s="1"/>
  <c r="U630" i="5"/>
  <c r="V630" i="5" s="1"/>
  <c r="U639" i="5"/>
  <c r="V639" i="5" s="1"/>
  <c r="U648" i="5"/>
  <c r="V648" i="5" s="1"/>
  <c r="U657" i="5"/>
  <c r="V657" i="5" s="1"/>
  <c r="U666" i="5"/>
  <c r="V666" i="5" s="1"/>
  <c r="U675" i="5"/>
  <c r="V675" i="5" s="1"/>
  <c r="U684" i="5"/>
  <c r="V684" i="5" s="1"/>
  <c r="U692" i="5"/>
  <c r="V692" i="5" s="1"/>
  <c r="U700" i="5"/>
  <c r="V700" i="5" s="1"/>
  <c r="U708" i="5"/>
  <c r="V708" i="5" s="1"/>
  <c r="U716" i="5"/>
  <c r="V716" i="5" s="1"/>
  <c r="U724" i="5"/>
  <c r="V724" i="5" s="1"/>
  <c r="U732" i="5"/>
  <c r="V732" i="5" s="1"/>
  <c r="U740" i="5"/>
  <c r="V740" i="5" s="1"/>
  <c r="U748" i="5"/>
  <c r="V748" i="5" s="1"/>
  <c r="U756" i="5"/>
  <c r="V756" i="5" s="1"/>
  <c r="U764" i="5"/>
  <c r="V764" i="5" s="1"/>
  <c r="U772" i="5"/>
  <c r="V772" i="5" s="1"/>
  <c r="U780" i="5"/>
  <c r="V780" i="5" s="1"/>
  <c r="U788" i="5"/>
  <c r="V788" i="5" s="1"/>
  <c r="U796" i="5"/>
  <c r="V796" i="5" s="1"/>
  <c r="U804" i="5"/>
  <c r="V804" i="5" s="1"/>
  <c r="U812" i="5"/>
  <c r="V812" i="5" s="1"/>
  <c r="U820" i="5"/>
  <c r="V820" i="5" s="1"/>
  <c r="U828" i="5"/>
  <c r="V828" i="5" s="1"/>
  <c r="U836" i="5"/>
  <c r="V836" i="5" s="1"/>
  <c r="U844" i="5"/>
  <c r="V844" i="5" s="1"/>
  <c r="U852" i="5"/>
  <c r="V852" i="5" s="1"/>
  <c r="U860" i="5"/>
  <c r="V860" i="5" s="1"/>
  <c r="U868" i="5"/>
  <c r="V868" i="5" s="1"/>
  <c r="U876" i="5"/>
  <c r="V876" i="5" s="1"/>
  <c r="U884" i="5"/>
  <c r="V884" i="5" s="1"/>
  <c r="U892" i="5"/>
  <c r="V892" i="5" s="1"/>
  <c r="U900" i="5"/>
  <c r="V900" i="5" s="1"/>
  <c r="U908" i="5"/>
  <c r="V908" i="5" s="1"/>
  <c r="U916" i="5"/>
  <c r="V916" i="5" s="1"/>
  <c r="U924" i="5"/>
  <c r="V924" i="5" s="1"/>
  <c r="U932" i="5"/>
  <c r="V932" i="5" s="1"/>
  <c r="U940" i="5"/>
  <c r="V940" i="5" s="1"/>
  <c r="U948" i="5"/>
  <c r="V948" i="5" s="1"/>
  <c r="U956" i="5"/>
  <c r="V956" i="5" s="1"/>
  <c r="U964" i="5"/>
  <c r="V964" i="5" s="1"/>
  <c r="U972" i="5"/>
  <c r="V972" i="5" s="1"/>
  <c r="U16" i="5"/>
  <c r="V16" i="5" s="1"/>
  <c r="U48" i="5"/>
  <c r="V48" i="5" s="1"/>
  <c r="U80" i="5"/>
  <c r="V80" i="5" s="1"/>
  <c r="U99" i="5"/>
  <c r="V99" i="5" s="1"/>
  <c r="U122" i="5"/>
  <c r="V122" i="5" s="1"/>
  <c r="U141" i="5"/>
  <c r="V141" i="5" s="1"/>
  <c r="U157" i="5"/>
  <c r="V157" i="5" s="1"/>
  <c r="U173" i="5"/>
  <c r="V173" i="5" s="1"/>
  <c r="U189" i="5"/>
  <c r="V189" i="5" s="1"/>
  <c r="U205" i="5"/>
  <c r="V205" i="5" s="1"/>
  <c r="U221" i="5"/>
  <c r="V221" i="5" s="1"/>
  <c r="U237" i="5"/>
  <c r="V237" i="5" s="1"/>
  <c r="U253" i="5"/>
  <c r="V253" i="5" s="1"/>
  <c r="U269" i="5"/>
  <c r="V269" i="5" s="1"/>
  <c r="U285" i="5"/>
  <c r="V285" i="5" s="1"/>
  <c r="U301" i="5"/>
  <c r="V301" i="5" s="1"/>
  <c r="U317" i="5"/>
  <c r="V317" i="5" s="1"/>
  <c r="U333" i="5"/>
  <c r="V333" i="5" s="1"/>
  <c r="U349" i="5"/>
  <c r="V349" i="5" s="1"/>
  <c r="U365" i="5"/>
  <c r="V365" i="5" s="1"/>
  <c r="U381" i="5"/>
  <c r="V381" i="5" s="1"/>
  <c r="U397" i="5"/>
  <c r="V397" i="5" s="1"/>
  <c r="U413" i="5"/>
  <c r="V413" i="5" s="1"/>
  <c r="U429" i="5"/>
  <c r="V429" i="5" s="1"/>
  <c r="U445" i="5"/>
  <c r="V445" i="5" s="1"/>
  <c r="U458" i="5"/>
  <c r="V458" i="5" s="1"/>
  <c r="U469" i="5"/>
  <c r="V469" i="5" s="1"/>
  <c r="U480" i="5"/>
  <c r="V480" i="5" s="1"/>
  <c r="U490" i="5"/>
  <c r="V490" i="5" s="1"/>
  <c r="U501" i="5"/>
  <c r="V501" i="5" s="1"/>
  <c r="U512" i="5"/>
  <c r="V512" i="5" s="1"/>
  <c r="U522" i="5"/>
  <c r="V522" i="5" s="1"/>
  <c r="U533" i="5"/>
  <c r="V533" i="5" s="1"/>
  <c r="U544" i="5"/>
  <c r="V544" i="5" s="1"/>
  <c r="U554" i="5"/>
  <c r="V554" i="5" s="1"/>
  <c r="U565" i="5"/>
  <c r="V565" i="5" s="1"/>
  <c r="U576" i="5"/>
  <c r="V576" i="5" s="1"/>
  <c r="U585" i="5"/>
  <c r="V585" i="5" s="1"/>
  <c r="U594" i="5"/>
  <c r="V594" i="5" s="1"/>
  <c r="U603" i="5"/>
  <c r="V603" i="5" s="1"/>
  <c r="U613" i="5"/>
  <c r="V613" i="5" s="1"/>
  <c r="U622" i="5"/>
  <c r="V622" i="5" s="1"/>
  <c r="U631" i="5"/>
  <c r="V631" i="5" s="1"/>
  <c r="U640" i="5"/>
  <c r="V640" i="5" s="1"/>
  <c r="U649" i="5"/>
  <c r="V649" i="5" s="1"/>
  <c r="U658" i="5"/>
  <c r="V658" i="5" s="1"/>
  <c r="U667" i="5"/>
  <c r="V667" i="5" s="1"/>
  <c r="U677" i="5"/>
  <c r="V677" i="5" s="1"/>
  <c r="U685" i="5"/>
  <c r="V685" i="5" s="1"/>
  <c r="U693" i="5"/>
  <c r="V693" i="5" s="1"/>
  <c r="U701" i="5"/>
  <c r="V701" i="5" s="1"/>
  <c r="U709" i="5"/>
  <c r="V709" i="5" s="1"/>
  <c r="U717" i="5"/>
  <c r="V717" i="5" s="1"/>
  <c r="U725" i="5"/>
  <c r="V725" i="5" s="1"/>
  <c r="U733" i="5"/>
  <c r="V733" i="5" s="1"/>
  <c r="U741" i="5"/>
  <c r="V741" i="5" s="1"/>
  <c r="U749" i="5"/>
  <c r="V749" i="5" s="1"/>
  <c r="U757" i="5"/>
  <c r="V757" i="5" s="1"/>
  <c r="U765" i="5"/>
  <c r="V765" i="5" s="1"/>
  <c r="U773" i="5"/>
  <c r="V773" i="5" s="1"/>
  <c r="U781" i="5"/>
  <c r="V781" i="5" s="1"/>
  <c r="U789" i="5"/>
  <c r="V789" i="5" s="1"/>
  <c r="U797" i="5"/>
  <c r="V797" i="5" s="1"/>
  <c r="U805" i="5"/>
  <c r="V805" i="5" s="1"/>
  <c r="U813" i="5"/>
  <c r="V813" i="5" s="1"/>
  <c r="U821" i="5"/>
  <c r="V821" i="5" s="1"/>
  <c r="U829" i="5"/>
  <c r="V829" i="5" s="1"/>
  <c r="U837" i="5"/>
  <c r="V837" i="5" s="1"/>
  <c r="U845" i="5"/>
  <c r="V845" i="5" s="1"/>
  <c r="U853" i="5"/>
  <c r="V853" i="5" s="1"/>
  <c r="U861" i="5"/>
  <c r="V861" i="5" s="1"/>
  <c r="U869" i="5"/>
  <c r="V869" i="5" s="1"/>
  <c r="U877" i="5"/>
  <c r="V877" i="5" s="1"/>
  <c r="U885" i="5"/>
  <c r="V885" i="5" s="1"/>
  <c r="U893" i="5"/>
  <c r="V893" i="5" s="1"/>
  <c r="U901" i="5"/>
  <c r="V901" i="5" s="1"/>
  <c r="U909" i="5"/>
  <c r="V909" i="5" s="1"/>
  <c r="U917" i="5"/>
  <c r="V917" i="5" s="1"/>
  <c r="U925" i="5"/>
  <c r="V925" i="5" s="1"/>
  <c r="U933" i="5"/>
  <c r="V933" i="5" s="1"/>
  <c r="U941" i="5"/>
  <c r="V941" i="5" s="1"/>
  <c r="U949" i="5"/>
  <c r="V949" i="5" s="1"/>
  <c r="U957" i="5"/>
  <c r="V957" i="5" s="1"/>
  <c r="U965" i="5"/>
  <c r="V965" i="5" s="1"/>
  <c r="U973" i="5"/>
  <c r="V973" i="5" s="1"/>
  <c r="U19" i="5"/>
  <c r="V19" i="5" s="1"/>
  <c r="U51" i="5"/>
  <c r="V51" i="5" s="1"/>
  <c r="U82" i="5"/>
  <c r="V82" i="5" s="1"/>
  <c r="U104" i="5"/>
  <c r="V104" i="5" s="1"/>
  <c r="U123" i="5"/>
  <c r="V123" i="5" s="1"/>
  <c r="U144" i="5"/>
  <c r="V144" i="5" s="1"/>
  <c r="U160" i="5"/>
  <c r="V160" i="5" s="1"/>
  <c r="U176" i="5"/>
  <c r="V176" i="5" s="1"/>
  <c r="U192" i="5"/>
  <c r="V192" i="5" s="1"/>
  <c r="U208" i="5"/>
  <c r="V208" i="5" s="1"/>
  <c r="U224" i="5"/>
  <c r="V224" i="5" s="1"/>
  <c r="U240" i="5"/>
  <c r="V240" i="5" s="1"/>
  <c r="U256" i="5"/>
  <c r="V256" i="5" s="1"/>
  <c r="U272" i="5"/>
  <c r="V272" i="5" s="1"/>
  <c r="U288" i="5"/>
  <c r="V288" i="5" s="1"/>
  <c r="U304" i="5"/>
  <c r="V304" i="5" s="1"/>
  <c r="U320" i="5"/>
  <c r="V320" i="5" s="1"/>
  <c r="U336" i="5"/>
  <c r="V336" i="5" s="1"/>
  <c r="U352" i="5"/>
  <c r="V352" i="5" s="1"/>
  <c r="U368" i="5"/>
  <c r="V368" i="5" s="1"/>
  <c r="U384" i="5"/>
  <c r="V384" i="5" s="1"/>
  <c r="U400" i="5"/>
  <c r="V400" i="5" s="1"/>
  <c r="U416" i="5"/>
  <c r="V416" i="5" s="1"/>
  <c r="U432" i="5"/>
  <c r="V432" i="5" s="1"/>
  <c r="U446" i="5"/>
  <c r="V446" i="5" s="1"/>
  <c r="U459" i="5"/>
  <c r="V459" i="5" s="1"/>
  <c r="U470" i="5"/>
  <c r="V470" i="5" s="1"/>
  <c r="U481" i="5"/>
  <c r="V481" i="5" s="1"/>
  <c r="U491" i="5"/>
  <c r="V491" i="5" s="1"/>
  <c r="U502" i="5"/>
  <c r="V502" i="5" s="1"/>
  <c r="U513" i="5"/>
  <c r="V513" i="5" s="1"/>
  <c r="U523" i="5"/>
  <c r="V523" i="5" s="1"/>
  <c r="U534" i="5"/>
  <c r="V534" i="5" s="1"/>
  <c r="U545" i="5"/>
  <c r="V545" i="5" s="1"/>
  <c r="U555" i="5"/>
  <c r="V555" i="5" s="1"/>
  <c r="U566" i="5"/>
  <c r="V566" i="5" s="1"/>
  <c r="U577" i="5"/>
  <c r="V577" i="5" s="1"/>
  <c r="U586" i="5"/>
  <c r="V586" i="5" s="1"/>
  <c r="U595" i="5"/>
  <c r="V595" i="5" s="1"/>
  <c r="U605" i="5"/>
  <c r="V605" i="5" s="1"/>
  <c r="U614" i="5"/>
  <c r="V614" i="5" s="1"/>
  <c r="U623" i="5"/>
  <c r="V623" i="5" s="1"/>
  <c r="U632" i="5"/>
  <c r="V632" i="5" s="1"/>
  <c r="U641" i="5"/>
  <c r="V641" i="5" s="1"/>
  <c r="U650" i="5"/>
  <c r="V650" i="5" s="1"/>
  <c r="U659" i="5"/>
  <c r="V659" i="5" s="1"/>
  <c r="U669" i="5"/>
  <c r="V669" i="5" s="1"/>
  <c r="U678" i="5"/>
  <c r="V678" i="5" s="1"/>
  <c r="U686" i="5"/>
  <c r="V686" i="5" s="1"/>
  <c r="U694" i="5"/>
  <c r="V694" i="5" s="1"/>
  <c r="U702" i="5"/>
  <c r="V702" i="5" s="1"/>
  <c r="U710" i="5"/>
  <c r="V710" i="5" s="1"/>
  <c r="U718" i="5"/>
  <c r="V718" i="5" s="1"/>
  <c r="U726" i="5"/>
  <c r="V726" i="5" s="1"/>
  <c r="U734" i="5"/>
  <c r="V734" i="5" s="1"/>
  <c r="U742" i="5"/>
  <c r="V742" i="5" s="1"/>
  <c r="U750" i="5"/>
  <c r="V750" i="5" s="1"/>
  <c r="U758" i="5"/>
  <c r="V758" i="5" s="1"/>
  <c r="U766" i="5"/>
  <c r="V766" i="5" s="1"/>
  <c r="U774" i="5"/>
  <c r="V774" i="5" s="1"/>
  <c r="U782" i="5"/>
  <c r="V782" i="5" s="1"/>
  <c r="U790" i="5"/>
  <c r="V790" i="5" s="1"/>
  <c r="U798" i="5"/>
  <c r="V798" i="5" s="1"/>
  <c r="U806" i="5"/>
  <c r="V806" i="5" s="1"/>
  <c r="U814" i="5"/>
  <c r="V814" i="5" s="1"/>
  <c r="U822" i="5"/>
  <c r="V822" i="5" s="1"/>
  <c r="U830" i="5"/>
  <c r="V830" i="5" s="1"/>
  <c r="U838" i="5"/>
  <c r="V838" i="5" s="1"/>
  <c r="U846" i="5"/>
  <c r="V846" i="5" s="1"/>
  <c r="U854" i="5"/>
  <c r="V854" i="5" s="1"/>
  <c r="U862" i="5"/>
  <c r="V862" i="5" s="1"/>
  <c r="U870" i="5"/>
  <c r="V870" i="5" s="1"/>
  <c r="U878" i="5"/>
  <c r="V878" i="5" s="1"/>
  <c r="U886" i="5"/>
  <c r="V886" i="5" s="1"/>
  <c r="U894" i="5"/>
  <c r="V894" i="5" s="1"/>
  <c r="U902" i="5"/>
  <c r="V902" i="5" s="1"/>
  <c r="U910" i="5"/>
  <c r="V910" i="5" s="1"/>
  <c r="U918" i="5"/>
  <c r="V918" i="5" s="1"/>
  <c r="U926" i="5"/>
  <c r="V926" i="5" s="1"/>
  <c r="U934" i="5"/>
  <c r="V934" i="5" s="1"/>
  <c r="U942" i="5"/>
  <c r="V942" i="5" s="1"/>
  <c r="U950" i="5"/>
  <c r="V950" i="5" s="1"/>
  <c r="U958" i="5"/>
  <c r="V958" i="5" s="1"/>
  <c r="U966" i="5"/>
  <c r="V966" i="5" s="1"/>
  <c r="U974" i="5"/>
  <c r="V974" i="5" s="1"/>
  <c r="U982" i="5"/>
  <c r="V982" i="5" s="1"/>
  <c r="U24" i="5"/>
  <c r="V24" i="5" s="1"/>
  <c r="U56" i="5"/>
  <c r="V56" i="5" s="1"/>
  <c r="U83" i="5"/>
  <c r="V83" i="5" s="1"/>
  <c r="U106" i="5"/>
  <c r="V106" i="5" s="1"/>
  <c r="U128" i="5"/>
  <c r="V128" i="5" s="1"/>
  <c r="U146" i="5"/>
  <c r="V146" i="5" s="1"/>
  <c r="U162" i="5"/>
  <c r="V162" i="5" s="1"/>
  <c r="U178" i="5"/>
  <c r="V178" i="5" s="1"/>
  <c r="U194" i="5"/>
  <c r="V194" i="5" s="1"/>
  <c r="U210" i="5"/>
  <c r="V210" i="5" s="1"/>
  <c r="U226" i="5"/>
  <c r="V226" i="5" s="1"/>
  <c r="U242" i="5"/>
  <c r="V242" i="5" s="1"/>
  <c r="U258" i="5"/>
  <c r="V258" i="5" s="1"/>
  <c r="U274" i="5"/>
  <c r="V274" i="5" s="1"/>
  <c r="U290" i="5"/>
  <c r="V290" i="5" s="1"/>
  <c r="U306" i="5"/>
  <c r="V306" i="5" s="1"/>
  <c r="U322" i="5"/>
  <c r="V322" i="5" s="1"/>
  <c r="U338" i="5"/>
  <c r="V338" i="5" s="1"/>
  <c r="U354" i="5"/>
  <c r="V354" i="5" s="1"/>
  <c r="U370" i="5"/>
  <c r="V370" i="5" s="1"/>
  <c r="U386" i="5"/>
  <c r="V386" i="5" s="1"/>
  <c r="U402" i="5"/>
  <c r="V402" i="5" s="1"/>
  <c r="U418" i="5"/>
  <c r="V418" i="5" s="1"/>
  <c r="U434" i="5"/>
  <c r="V434" i="5" s="1"/>
  <c r="U448" i="5"/>
  <c r="V448" i="5" s="1"/>
  <c r="U461" i="5"/>
  <c r="V461" i="5" s="1"/>
  <c r="U472" i="5"/>
  <c r="V472" i="5" s="1"/>
  <c r="U482" i="5"/>
  <c r="V482" i="5" s="1"/>
  <c r="U493" i="5"/>
  <c r="V493" i="5" s="1"/>
  <c r="U504" i="5"/>
  <c r="V504" i="5" s="1"/>
  <c r="U514" i="5"/>
  <c r="V514" i="5" s="1"/>
  <c r="U525" i="5"/>
  <c r="V525" i="5" s="1"/>
  <c r="U536" i="5"/>
  <c r="V536" i="5" s="1"/>
  <c r="U546" i="5"/>
  <c r="V546" i="5" s="1"/>
  <c r="U557" i="5"/>
  <c r="V557" i="5" s="1"/>
  <c r="U568" i="5"/>
  <c r="V568" i="5" s="1"/>
  <c r="U578" i="5"/>
  <c r="V578" i="5" s="1"/>
  <c r="U587" i="5"/>
  <c r="V587" i="5" s="1"/>
  <c r="U597" i="5"/>
  <c r="V597" i="5" s="1"/>
  <c r="U606" i="5"/>
  <c r="V606" i="5" s="1"/>
  <c r="U615" i="5"/>
  <c r="V615" i="5" s="1"/>
  <c r="U624" i="5"/>
  <c r="V624" i="5" s="1"/>
  <c r="U633" i="5"/>
  <c r="V633" i="5" s="1"/>
  <c r="U642" i="5"/>
  <c r="V642" i="5" s="1"/>
  <c r="U651" i="5"/>
  <c r="V651" i="5" s="1"/>
  <c r="U661" i="5"/>
  <c r="V661" i="5" s="1"/>
  <c r="U670" i="5"/>
  <c r="V670" i="5" s="1"/>
  <c r="U679" i="5"/>
  <c r="V679" i="5" s="1"/>
  <c r="U687" i="5"/>
  <c r="V687" i="5" s="1"/>
  <c r="U695" i="5"/>
  <c r="V695" i="5" s="1"/>
  <c r="U703" i="5"/>
  <c r="V703" i="5" s="1"/>
  <c r="U711" i="5"/>
  <c r="V711" i="5" s="1"/>
  <c r="U719" i="5"/>
  <c r="V719" i="5" s="1"/>
  <c r="U727" i="5"/>
  <c r="V727" i="5" s="1"/>
  <c r="U735" i="5"/>
  <c r="V735" i="5" s="1"/>
  <c r="U743" i="5"/>
  <c r="V743" i="5" s="1"/>
  <c r="U751" i="5"/>
  <c r="V751" i="5" s="1"/>
  <c r="U759" i="5"/>
  <c r="V759" i="5" s="1"/>
  <c r="U767" i="5"/>
  <c r="V767" i="5" s="1"/>
  <c r="U775" i="5"/>
  <c r="V775" i="5" s="1"/>
  <c r="U783" i="5"/>
  <c r="V783" i="5" s="1"/>
  <c r="U791" i="5"/>
  <c r="V791" i="5" s="1"/>
  <c r="U799" i="5"/>
  <c r="V799" i="5" s="1"/>
  <c r="U807" i="5"/>
  <c r="V807" i="5" s="1"/>
  <c r="U815" i="5"/>
  <c r="V815" i="5" s="1"/>
  <c r="U823" i="5"/>
  <c r="V823" i="5" s="1"/>
  <c r="U831" i="5"/>
  <c r="V831" i="5" s="1"/>
  <c r="U839" i="5"/>
  <c r="V839" i="5" s="1"/>
  <c r="U847" i="5"/>
  <c r="V847" i="5" s="1"/>
  <c r="U855" i="5"/>
  <c r="V855" i="5" s="1"/>
  <c r="U863" i="5"/>
  <c r="V863" i="5" s="1"/>
  <c r="U871" i="5"/>
  <c r="V871" i="5" s="1"/>
  <c r="U879" i="5"/>
  <c r="V879" i="5" s="1"/>
  <c r="U887" i="5"/>
  <c r="V887" i="5" s="1"/>
  <c r="U895" i="5"/>
  <c r="V895" i="5" s="1"/>
  <c r="U903" i="5"/>
  <c r="V903" i="5" s="1"/>
  <c r="U911" i="5"/>
  <c r="V911" i="5" s="1"/>
  <c r="U919" i="5"/>
  <c r="V919" i="5" s="1"/>
  <c r="U927" i="5"/>
  <c r="V927" i="5" s="1"/>
  <c r="U935" i="5"/>
  <c r="V935" i="5" s="1"/>
  <c r="U943" i="5"/>
  <c r="V943" i="5" s="1"/>
  <c r="U951" i="5"/>
  <c r="V951" i="5" s="1"/>
  <c r="U959" i="5"/>
  <c r="V959" i="5" s="1"/>
  <c r="U967" i="5"/>
  <c r="V967" i="5" s="1"/>
  <c r="U975" i="5"/>
  <c r="V975" i="5" s="1"/>
  <c r="U27" i="5"/>
  <c r="V27" i="5" s="1"/>
  <c r="U59" i="5"/>
  <c r="V59" i="5" s="1"/>
  <c r="U88" i="5"/>
  <c r="V88" i="5" s="1"/>
  <c r="U107" i="5"/>
  <c r="V107" i="5" s="1"/>
  <c r="U130" i="5"/>
  <c r="V130" i="5" s="1"/>
  <c r="U147" i="5"/>
  <c r="V147" i="5" s="1"/>
  <c r="U163" i="5"/>
  <c r="V163" i="5" s="1"/>
  <c r="U179" i="5"/>
  <c r="V179" i="5" s="1"/>
  <c r="U195" i="5"/>
  <c r="V195" i="5" s="1"/>
  <c r="U211" i="5"/>
  <c r="V211" i="5" s="1"/>
  <c r="U227" i="5"/>
  <c r="V227" i="5" s="1"/>
  <c r="U243" i="5"/>
  <c r="V243" i="5" s="1"/>
  <c r="U259" i="5"/>
  <c r="V259" i="5" s="1"/>
  <c r="U275" i="5"/>
  <c r="V275" i="5" s="1"/>
  <c r="U291" i="5"/>
  <c r="V291" i="5" s="1"/>
  <c r="U307" i="5"/>
  <c r="V307" i="5" s="1"/>
  <c r="U323" i="5"/>
  <c r="V323" i="5" s="1"/>
  <c r="U339" i="5"/>
  <c r="V339" i="5" s="1"/>
  <c r="U355" i="5"/>
  <c r="V355" i="5" s="1"/>
  <c r="U371" i="5"/>
  <c r="V371" i="5" s="1"/>
  <c r="U387" i="5"/>
  <c r="V387" i="5" s="1"/>
  <c r="U403" i="5"/>
  <c r="V403" i="5" s="1"/>
  <c r="U419" i="5"/>
  <c r="V419" i="5" s="1"/>
  <c r="U435" i="5"/>
  <c r="V435" i="5" s="1"/>
  <c r="U450" i="5"/>
  <c r="V450" i="5" s="1"/>
  <c r="U462" i="5"/>
  <c r="V462" i="5" s="1"/>
  <c r="U473" i="5"/>
  <c r="V473" i="5" s="1"/>
  <c r="U483" i="5"/>
  <c r="V483" i="5" s="1"/>
  <c r="U494" i="5"/>
  <c r="V494" i="5" s="1"/>
  <c r="U505" i="5"/>
  <c r="V505" i="5" s="1"/>
  <c r="U515" i="5"/>
  <c r="V515" i="5" s="1"/>
  <c r="U526" i="5"/>
  <c r="V526" i="5" s="1"/>
  <c r="U537" i="5"/>
  <c r="V537" i="5" s="1"/>
  <c r="U547" i="5"/>
  <c r="V547" i="5" s="1"/>
  <c r="U558" i="5"/>
  <c r="V558" i="5" s="1"/>
  <c r="U995" i="5"/>
  <c r="V995" i="5" s="1"/>
  <c r="U987" i="5"/>
  <c r="V987" i="5" s="1"/>
  <c r="U977" i="5"/>
  <c r="V977" i="5" s="1"/>
  <c r="U953" i="5"/>
  <c r="V953" i="5" s="1"/>
  <c r="U921" i="5"/>
  <c r="V921" i="5" s="1"/>
  <c r="U889" i="5"/>
  <c r="V889" i="5" s="1"/>
  <c r="U857" i="5"/>
  <c r="V857" i="5" s="1"/>
  <c r="U825" i="5"/>
  <c r="V825" i="5" s="1"/>
  <c r="U793" i="5"/>
  <c r="V793" i="5" s="1"/>
  <c r="U761" i="5"/>
  <c r="V761" i="5" s="1"/>
  <c r="U729" i="5"/>
  <c r="V729" i="5" s="1"/>
  <c r="U697" i="5"/>
  <c r="V697" i="5" s="1"/>
  <c r="U663" i="5"/>
  <c r="V663" i="5" s="1"/>
  <c r="U626" i="5"/>
  <c r="V626" i="5" s="1"/>
  <c r="U590" i="5"/>
  <c r="V590" i="5" s="1"/>
  <c r="U538" i="5"/>
  <c r="V538" i="5" s="1"/>
  <c r="U451" i="5"/>
  <c r="V451" i="5" s="1"/>
  <c r="U325" i="5"/>
  <c r="V325" i="5" s="1"/>
  <c r="U197" i="5"/>
  <c r="V197" i="5" s="1"/>
  <c r="U32" i="5"/>
  <c r="V32" i="5" s="1"/>
  <c r="U994" i="5"/>
  <c r="V994" i="5" s="1"/>
  <c r="U986" i="5"/>
  <c r="V986" i="5" s="1"/>
  <c r="U976" i="5"/>
  <c r="V976" i="5" s="1"/>
  <c r="U952" i="5"/>
  <c r="V952" i="5" s="1"/>
  <c r="U920" i="5"/>
  <c r="V920" i="5" s="1"/>
  <c r="U888" i="5"/>
  <c r="V888" i="5" s="1"/>
  <c r="U856" i="5"/>
  <c r="V856" i="5" s="1"/>
  <c r="U824" i="5"/>
  <c r="V824" i="5" s="1"/>
  <c r="U792" i="5"/>
  <c r="V792" i="5" s="1"/>
  <c r="U760" i="5"/>
  <c r="V760" i="5" s="1"/>
  <c r="U728" i="5"/>
  <c r="V728" i="5" s="1"/>
  <c r="U696" i="5"/>
  <c r="V696" i="5" s="1"/>
  <c r="U662" i="5"/>
  <c r="V662" i="5" s="1"/>
  <c r="U625" i="5"/>
  <c r="V625" i="5" s="1"/>
  <c r="U589" i="5"/>
  <c r="V589" i="5" s="1"/>
  <c r="U528" i="5"/>
  <c r="V528" i="5" s="1"/>
  <c r="U437" i="5"/>
  <c r="V437" i="5" s="1"/>
  <c r="U309" i="5"/>
  <c r="V309" i="5" s="1"/>
  <c r="U181" i="5"/>
  <c r="V181" i="5" s="1"/>
  <c r="U1001" i="5"/>
  <c r="V1001" i="5" s="1"/>
  <c r="U993" i="5"/>
  <c r="V993" i="5" s="1"/>
  <c r="U985" i="5"/>
  <c r="V985" i="5" s="1"/>
  <c r="U971" i="5"/>
  <c r="V971" i="5" s="1"/>
  <c r="U945" i="5"/>
  <c r="V945" i="5" s="1"/>
  <c r="U913" i="5"/>
  <c r="V913" i="5" s="1"/>
  <c r="U881" i="5"/>
  <c r="V881" i="5" s="1"/>
  <c r="U849" i="5"/>
  <c r="V849" i="5" s="1"/>
  <c r="U817" i="5"/>
  <c r="V817" i="5" s="1"/>
  <c r="U785" i="5"/>
  <c r="V785" i="5" s="1"/>
  <c r="U753" i="5"/>
  <c r="V753" i="5" s="1"/>
  <c r="U721" i="5"/>
  <c r="V721" i="5" s="1"/>
  <c r="U689" i="5"/>
  <c r="V689" i="5" s="1"/>
  <c r="U654" i="5"/>
  <c r="V654" i="5" s="1"/>
  <c r="U617" i="5"/>
  <c r="V617" i="5" s="1"/>
  <c r="U581" i="5"/>
  <c r="V581" i="5" s="1"/>
  <c r="U517" i="5"/>
  <c r="V517" i="5" s="1"/>
  <c r="U421" i="5"/>
  <c r="V421" i="5" s="1"/>
  <c r="U293" i="5"/>
  <c r="V293" i="5" s="1"/>
  <c r="U165" i="5"/>
  <c r="V165" i="5" s="1"/>
  <c r="B7" i="6"/>
  <c r="B6" i="6"/>
  <c r="B4" i="6"/>
  <c r="B3" i="6"/>
  <c r="F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J2" i="5"/>
  <c r="K2" i="5" s="1"/>
  <c r="J3" i="5"/>
  <c r="K3" i="5" s="1"/>
  <c r="J4" i="5"/>
  <c r="K4" i="5" s="1"/>
  <c r="J5" i="5"/>
  <c r="K5" i="5" s="1"/>
  <c r="J6" i="5"/>
  <c r="K6" i="5" s="1"/>
  <c r="J7" i="5"/>
  <c r="K7" i="5" s="1"/>
  <c r="J8" i="5"/>
  <c r="K8" i="5" s="1"/>
  <c r="J9" i="5"/>
  <c r="K9" i="5" s="1"/>
  <c r="J10" i="5"/>
  <c r="K10" i="5" s="1"/>
  <c r="J11" i="5"/>
  <c r="K11" i="5" s="1"/>
  <c r="J12" i="5"/>
  <c r="K12" i="5" s="1"/>
  <c r="J13" i="5"/>
  <c r="K13" i="5" s="1"/>
  <c r="J14" i="5"/>
  <c r="K14" i="5" s="1"/>
  <c r="J15" i="5"/>
  <c r="K15" i="5" s="1"/>
  <c r="J16" i="5"/>
  <c r="K16" i="5" s="1"/>
  <c r="J17" i="5"/>
  <c r="K17" i="5" s="1"/>
  <c r="J18" i="5"/>
  <c r="K18" i="5" s="1"/>
  <c r="J19" i="5"/>
  <c r="K19" i="5" s="1"/>
  <c r="J20" i="5"/>
  <c r="K20" i="5" s="1"/>
  <c r="J21" i="5"/>
  <c r="K21" i="5" s="1"/>
  <c r="J22" i="5"/>
  <c r="K22" i="5" s="1"/>
  <c r="J23" i="5"/>
  <c r="K23" i="5" s="1"/>
  <c r="J24" i="5"/>
  <c r="K24" i="5" s="1"/>
  <c r="J25" i="5"/>
  <c r="K25" i="5" s="1"/>
  <c r="J26" i="5"/>
  <c r="K26" i="5" s="1"/>
  <c r="J27" i="5"/>
  <c r="K27" i="5" s="1"/>
  <c r="J28" i="5"/>
  <c r="K28" i="5" s="1"/>
  <c r="J29" i="5"/>
  <c r="K29" i="5" s="1"/>
  <c r="J30" i="5"/>
  <c r="K30" i="5" s="1"/>
  <c r="J31" i="5"/>
  <c r="K31" i="5" s="1"/>
  <c r="J32" i="5"/>
  <c r="K32" i="5" s="1"/>
  <c r="J33" i="5"/>
  <c r="K33" i="5" s="1"/>
  <c r="J34" i="5"/>
  <c r="K34" i="5" s="1"/>
  <c r="J35" i="5"/>
  <c r="K35" i="5" s="1"/>
  <c r="J36" i="5"/>
  <c r="K36" i="5" s="1"/>
  <c r="J37" i="5"/>
  <c r="K37" i="5" s="1"/>
  <c r="J38" i="5"/>
  <c r="K38" i="5" s="1"/>
  <c r="J39" i="5"/>
  <c r="K39" i="5" s="1"/>
  <c r="J40" i="5"/>
  <c r="K40" i="5" s="1"/>
  <c r="J41" i="5"/>
  <c r="K41" i="5" s="1"/>
  <c r="J42" i="5"/>
  <c r="K42" i="5" s="1"/>
  <c r="J43" i="5"/>
  <c r="K43" i="5" s="1"/>
  <c r="J44" i="5"/>
  <c r="K44" i="5" s="1"/>
  <c r="J45" i="5"/>
  <c r="K45" i="5" s="1"/>
  <c r="J46" i="5"/>
  <c r="K46" i="5" s="1"/>
  <c r="J47" i="5"/>
  <c r="K47" i="5" s="1"/>
  <c r="J48" i="5"/>
  <c r="K48" i="5" s="1"/>
  <c r="J49" i="5"/>
  <c r="K49" i="5" s="1"/>
  <c r="J50" i="5"/>
  <c r="K50" i="5" s="1"/>
  <c r="J51" i="5"/>
  <c r="K51" i="5" s="1"/>
  <c r="J52" i="5"/>
  <c r="K52" i="5" s="1"/>
  <c r="J53" i="5"/>
  <c r="K53" i="5" s="1"/>
  <c r="J54" i="5"/>
  <c r="K54" i="5" s="1"/>
  <c r="J55" i="5"/>
  <c r="K55" i="5" s="1"/>
  <c r="J56" i="5"/>
  <c r="K56" i="5" s="1"/>
  <c r="J57" i="5"/>
  <c r="K57" i="5" s="1"/>
  <c r="J58" i="5"/>
  <c r="K58" i="5" s="1"/>
  <c r="J59" i="5"/>
  <c r="K59" i="5" s="1"/>
  <c r="J60" i="5"/>
  <c r="K60" i="5" s="1"/>
  <c r="J61" i="5"/>
  <c r="K61" i="5" s="1"/>
  <c r="J62" i="5"/>
  <c r="K62" i="5" s="1"/>
  <c r="J63" i="5"/>
  <c r="K63" i="5" s="1"/>
  <c r="J64" i="5"/>
  <c r="K64" i="5" s="1"/>
  <c r="J65" i="5"/>
  <c r="K65" i="5" s="1"/>
  <c r="J66" i="5"/>
  <c r="K66" i="5" s="1"/>
  <c r="J67" i="5"/>
  <c r="K67" i="5" s="1"/>
  <c r="J68" i="5"/>
  <c r="K68" i="5" s="1"/>
  <c r="J69" i="5"/>
  <c r="K69" i="5" s="1"/>
  <c r="J70" i="5"/>
  <c r="K70" i="5" s="1"/>
  <c r="J71" i="5"/>
  <c r="K71" i="5" s="1"/>
  <c r="J72" i="5"/>
  <c r="K72" i="5" s="1"/>
  <c r="J73" i="5"/>
  <c r="K73" i="5" s="1"/>
  <c r="J74" i="5"/>
  <c r="K74" i="5" s="1"/>
  <c r="J75" i="5"/>
  <c r="K75" i="5" s="1"/>
  <c r="J76" i="5"/>
  <c r="K76" i="5" s="1"/>
  <c r="J77" i="5"/>
  <c r="K77" i="5" s="1"/>
  <c r="J78" i="5"/>
  <c r="K78" i="5" s="1"/>
  <c r="J79" i="5"/>
  <c r="K79" i="5" s="1"/>
  <c r="J80" i="5"/>
  <c r="K80" i="5" s="1"/>
  <c r="J81" i="5"/>
  <c r="K81" i="5" s="1"/>
  <c r="J82" i="5"/>
  <c r="K82" i="5" s="1"/>
  <c r="J83" i="5"/>
  <c r="K83" i="5" s="1"/>
  <c r="J84" i="5"/>
  <c r="K84" i="5" s="1"/>
  <c r="J85" i="5"/>
  <c r="K85" i="5" s="1"/>
  <c r="J86" i="5"/>
  <c r="K86" i="5" s="1"/>
  <c r="J87" i="5"/>
  <c r="K87" i="5" s="1"/>
  <c r="J88" i="5"/>
  <c r="K88" i="5" s="1"/>
  <c r="J89" i="5"/>
  <c r="K89" i="5" s="1"/>
  <c r="J90" i="5"/>
  <c r="K90" i="5" s="1"/>
  <c r="J91" i="5"/>
  <c r="K91" i="5" s="1"/>
  <c r="J92" i="5"/>
  <c r="K92" i="5" s="1"/>
  <c r="J93" i="5"/>
  <c r="K93" i="5" s="1"/>
  <c r="J94" i="5"/>
  <c r="K94" i="5" s="1"/>
  <c r="J95" i="5"/>
  <c r="K95" i="5" s="1"/>
  <c r="J96" i="5"/>
  <c r="K96" i="5" s="1"/>
  <c r="J97" i="5"/>
  <c r="K97" i="5" s="1"/>
  <c r="J98" i="5"/>
  <c r="K98" i="5" s="1"/>
  <c r="J99" i="5"/>
  <c r="K99" i="5" s="1"/>
  <c r="J100" i="5"/>
  <c r="K100" i="5" s="1"/>
  <c r="J101" i="5"/>
  <c r="K101" i="5" s="1"/>
  <c r="J102" i="5"/>
  <c r="K102" i="5" s="1"/>
  <c r="J103" i="5"/>
  <c r="K103" i="5" s="1"/>
  <c r="J104" i="5"/>
  <c r="K104" i="5" s="1"/>
  <c r="J105" i="5"/>
  <c r="K105" i="5" s="1"/>
  <c r="J106" i="5"/>
  <c r="K106" i="5" s="1"/>
  <c r="J107" i="5"/>
  <c r="K107" i="5" s="1"/>
  <c r="J108" i="5"/>
  <c r="K108" i="5" s="1"/>
  <c r="J109" i="5"/>
  <c r="K109" i="5" s="1"/>
  <c r="J110" i="5"/>
  <c r="K110" i="5" s="1"/>
  <c r="J111" i="5"/>
  <c r="K111" i="5" s="1"/>
  <c r="J112" i="5"/>
  <c r="K112" i="5" s="1"/>
  <c r="J113" i="5"/>
  <c r="K113" i="5" s="1"/>
  <c r="J114" i="5"/>
  <c r="K114" i="5" s="1"/>
  <c r="J115" i="5"/>
  <c r="K115" i="5" s="1"/>
  <c r="J116" i="5"/>
  <c r="K116" i="5" s="1"/>
  <c r="J117" i="5"/>
  <c r="K117" i="5" s="1"/>
  <c r="J118" i="5"/>
  <c r="K118" i="5" s="1"/>
  <c r="J119" i="5"/>
  <c r="K119" i="5" s="1"/>
  <c r="J120" i="5"/>
  <c r="K120" i="5" s="1"/>
  <c r="J121" i="5"/>
  <c r="K121" i="5" s="1"/>
  <c r="J122" i="5"/>
  <c r="K122" i="5" s="1"/>
  <c r="J123" i="5"/>
  <c r="K123" i="5" s="1"/>
  <c r="J124" i="5"/>
  <c r="K124" i="5" s="1"/>
  <c r="J125" i="5"/>
  <c r="K125" i="5" s="1"/>
  <c r="J126" i="5"/>
  <c r="K126" i="5" s="1"/>
  <c r="J127" i="5"/>
  <c r="K127" i="5" s="1"/>
  <c r="J128" i="5"/>
  <c r="K128" i="5" s="1"/>
  <c r="J129" i="5"/>
  <c r="K129" i="5" s="1"/>
  <c r="J130" i="5"/>
  <c r="K130" i="5" s="1"/>
  <c r="J131" i="5"/>
  <c r="K131" i="5" s="1"/>
  <c r="J132" i="5"/>
  <c r="K132" i="5" s="1"/>
  <c r="J133" i="5"/>
  <c r="K133" i="5" s="1"/>
  <c r="J134" i="5"/>
  <c r="K134" i="5" s="1"/>
  <c r="J135" i="5"/>
  <c r="K135" i="5" s="1"/>
  <c r="J136" i="5"/>
  <c r="K136" i="5" s="1"/>
  <c r="J137" i="5"/>
  <c r="K137" i="5" s="1"/>
  <c r="J138" i="5"/>
  <c r="K138" i="5" s="1"/>
  <c r="J139" i="5"/>
  <c r="K139" i="5" s="1"/>
  <c r="J140" i="5"/>
  <c r="K140" i="5" s="1"/>
  <c r="J141" i="5"/>
  <c r="K141" i="5" s="1"/>
  <c r="J142" i="5"/>
  <c r="K142" i="5" s="1"/>
  <c r="J143" i="5"/>
  <c r="K143" i="5" s="1"/>
  <c r="J144" i="5"/>
  <c r="K144" i="5" s="1"/>
  <c r="J145" i="5"/>
  <c r="K145" i="5" s="1"/>
  <c r="J146" i="5"/>
  <c r="K146" i="5" s="1"/>
  <c r="J147" i="5"/>
  <c r="K147" i="5" s="1"/>
  <c r="J148" i="5"/>
  <c r="K148" i="5" s="1"/>
  <c r="J149" i="5"/>
  <c r="K149" i="5" s="1"/>
  <c r="J150" i="5"/>
  <c r="K150" i="5" s="1"/>
  <c r="J151" i="5"/>
  <c r="K151" i="5" s="1"/>
  <c r="J152" i="5"/>
  <c r="K152" i="5" s="1"/>
  <c r="J153" i="5"/>
  <c r="K153" i="5" s="1"/>
  <c r="J154" i="5"/>
  <c r="K154" i="5" s="1"/>
  <c r="J155" i="5"/>
  <c r="K155" i="5" s="1"/>
  <c r="J156" i="5"/>
  <c r="K156" i="5" s="1"/>
  <c r="J157" i="5"/>
  <c r="K157" i="5" s="1"/>
  <c r="J158" i="5"/>
  <c r="K158" i="5" s="1"/>
  <c r="J159" i="5"/>
  <c r="K159" i="5" s="1"/>
  <c r="J160" i="5"/>
  <c r="K160" i="5" s="1"/>
  <c r="J161" i="5"/>
  <c r="K161" i="5" s="1"/>
  <c r="J162" i="5"/>
  <c r="K162" i="5" s="1"/>
  <c r="J163" i="5"/>
  <c r="K163" i="5" s="1"/>
  <c r="J164" i="5"/>
  <c r="K164" i="5" s="1"/>
  <c r="J165" i="5"/>
  <c r="K165" i="5" s="1"/>
  <c r="J166" i="5"/>
  <c r="K166" i="5" s="1"/>
  <c r="J167" i="5"/>
  <c r="K167" i="5" s="1"/>
  <c r="J168" i="5"/>
  <c r="K168" i="5" s="1"/>
  <c r="J169" i="5"/>
  <c r="K169" i="5" s="1"/>
  <c r="J170" i="5"/>
  <c r="K170" i="5" s="1"/>
  <c r="J171" i="5"/>
  <c r="K171" i="5" s="1"/>
  <c r="J172" i="5"/>
  <c r="K172" i="5" s="1"/>
  <c r="J173" i="5"/>
  <c r="K173" i="5" s="1"/>
  <c r="J174" i="5"/>
  <c r="K174" i="5" s="1"/>
  <c r="J175" i="5"/>
  <c r="K175" i="5" s="1"/>
  <c r="J176" i="5"/>
  <c r="K176" i="5" s="1"/>
  <c r="J177" i="5"/>
  <c r="K177" i="5" s="1"/>
  <c r="J178" i="5"/>
  <c r="K178" i="5" s="1"/>
  <c r="J179" i="5"/>
  <c r="K179" i="5" s="1"/>
  <c r="J180" i="5"/>
  <c r="K180" i="5" s="1"/>
  <c r="J181" i="5"/>
  <c r="K181" i="5" s="1"/>
  <c r="J182" i="5"/>
  <c r="K182" i="5" s="1"/>
  <c r="J183" i="5"/>
  <c r="K183" i="5" s="1"/>
  <c r="J184" i="5"/>
  <c r="K184" i="5" s="1"/>
  <c r="J185" i="5"/>
  <c r="K185" i="5" s="1"/>
  <c r="J186" i="5"/>
  <c r="K186" i="5" s="1"/>
  <c r="J187" i="5"/>
  <c r="K187" i="5" s="1"/>
  <c r="J188" i="5"/>
  <c r="K188" i="5" s="1"/>
  <c r="J189" i="5"/>
  <c r="K189" i="5" s="1"/>
  <c r="J190" i="5"/>
  <c r="K190" i="5" s="1"/>
  <c r="J191" i="5"/>
  <c r="K191" i="5" s="1"/>
  <c r="J192" i="5"/>
  <c r="K192" i="5" s="1"/>
  <c r="J193" i="5"/>
  <c r="K193" i="5" s="1"/>
  <c r="J194" i="5"/>
  <c r="K194" i="5" s="1"/>
  <c r="J195" i="5"/>
  <c r="K195" i="5" s="1"/>
  <c r="J196" i="5"/>
  <c r="K196" i="5" s="1"/>
  <c r="J197" i="5"/>
  <c r="K197" i="5" s="1"/>
  <c r="J198" i="5"/>
  <c r="K198" i="5" s="1"/>
  <c r="J199" i="5"/>
  <c r="K199" i="5" s="1"/>
  <c r="J200" i="5"/>
  <c r="K200" i="5" s="1"/>
  <c r="J201" i="5"/>
  <c r="K201" i="5" s="1"/>
  <c r="J202" i="5"/>
  <c r="K202" i="5" s="1"/>
  <c r="J203" i="5"/>
  <c r="K203" i="5" s="1"/>
  <c r="J204" i="5"/>
  <c r="K204" i="5" s="1"/>
  <c r="J205" i="5"/>
  <c r="K205" i="5" s="1"/>
  <c r="J206" i="5"/>
  <c r="K206" i="5" s="1"/>
  <c r="J207" i="5"/>
  <c r="K207" i="5" s="1"/>
  <c r="J208" i="5"/>
  <c r="K208" i="5" s="1"/>
  <c r="J209" i="5"/>
  <c r="K209" i="5" s="1"/>
  <c r="J210" i="5"/>
  <c r="K210" i="5" s="1"/>
  <c r="J211" i="5"/>
  <c r="K211" i="5" s="1"/>
  <c r="J212" i="5"/>
  <c r="K212" i="5" s="1"/>
  <c r="J213" i="5"/>
  <c r="K213" i="5" s="1"/>
  <c r="J214" i="5"/>
  <c r="K214" i="5" s="1"/>
  <c r="J215" i="5"/>
  <c r="K215" i="5" s="1"/>
  <c r="J216" i="5"/>
  <c r="K216" i="5" s="1"/>
  <c r="J217" i="5"/>
  <c r="K217" i="5" s="1"/>
  <c r="J218" i="5"/>
  <c r="K218" i="5" s="1"/>
  <c r="J219" i="5"/>
  <c r="K219" i="5" s="1"/>
  <c r="J220" i="5"/>
  <c r="K220" i="5" s="1"/>
  <c r="J221" i="5"/>
  <c r="K221" i="5" s="1"/>
  <c r="J222" i="5"/>
  <c r="K222" i="5" s="1"/>
  <c r="J223" i="5"/>
  <c r="K223" i="5" s="1"/>
  <c r="J224" i="5"/>
  <c r="K224" i="5" s="1"/>
  <c r="J225" i="5"/>
  <c r="K225" i="5" s="1"/>
  <c r="J226" i="5"/>
  <c r="K226" i="5" s="1"/>
  <c r="J227" i="5"/>
  <c r="K227" i="5" s="1"/>
  <c r="J228" i="5"/>
  <c r="K228" i="5" s="1"/>
  <c r="J229" i="5"/>
  <c r="K229" i="5" s="1"/>
  <c r="J230" i="5"/>
  <c r="K230" i="5" s="1"/>
  <c r="J231" i="5"/>
  <c r="K231" i="5" s="1"/>
  <c r="J232" i="5"/>
  <c r="K232" i="5" s="1"/>
  <c r="J233" i="5"/>
  <c r="K233" i="5" s="1"/>
  <c r="J234" i="5"/>
  <c r="K234" i="5" s="1"/>
  <c r="J235" i="5"/>
  <c r="K235" i="5" s="1"/>
  <c r="J236" i="5"/>
  <c r="K236" i="5" s="1"/>
  <c r="J237" i="5"/>
  <c r="K237" i="5" s="1"/>
  <c r="J238" i="5"/>
  <c r="K238" i="5" s="1"/>
  <c r="J239" i="5"/>
  <c r="K239" i="5" s="1"/>
  <c r="J240" i="5"/>
  <c r="K240" i="5" s="1"/>
  <c r="J241" i="5"/>
  <c r="K241" i="5" s="1"/>
  <c r="J242" i="5"/>
  <c r="K242" i="5" s="1"/>
  <c r="J243" i="5"/>
  <c r="K243" i="5" s="1"/>
  <c r="J244" i="5"/>
  <c r="K244" i="5" s="1"/>
  <c r="J245" i="5"/>
  <c r="K245" i="5" s="1"/>
  <c r="J246" i="5"/>
  <c r="K246" i="5" s="1"/>
  <c r="J247" i="5"/>
  <c r="K247" i="5" s="1"/>
  <c r="J248" i="5"/>
  <c r="K248" i="5" s="1"/>
  <c r="J249" i="5"/>
  <c r="K249" i="5" s="1"/>
  <c r="J250" i="5"/>
  <c r="K250" i="5" s="1"/>
  <c r="J251" i="5"/>
  <c r="K251" i="5" s="1"/>
  <c r="J252" i="5"/>
  <c r="K252" i="5" s="1"/>
  <c r="J253" i="5"/>
  <c r="K253" i="5" s="1"/>
  <c r="J254" i="5"/>
  <c r="K254" i="5" s="1"/>
  <c r="J255" i="5"/>
  <c r="K255" i="5" s="1"/>
  <c r="J256" i="5"/>
  <c r="K256" i="5" s="1"/>
  <c r="J257" i="5"/>
  <c r="K257" i="5" s="1"/>
  <c r="J258" i="5"/>
  <c r="K258" i="5" s="1"/>
  <c r="J259" i="5"/>
  <c r="K259" i="5" s="1"/>
  <c r="J260" i="5"/>
  <c r="K260" i="5" s="1"/>
  <c r="J261" i="5"/>
  <c r="K261" i="5" s="1"/>
  <c r="J262" i="5"/>
  <c r="K262" i="5" s="1"/>
  <c r="J263" i="5"/>
  <c r="K263" i="5" s="1"/>
  <c r="J264" i="5"/>
  <c r="K264" i="5" s="1"/>
  <c r="J265" i="5"/>
  <c r="K265" i="5" s="1"/>
  <c r="J266" i="5"/>
  <c r="K266" i="5" s="1"/>
  <c r="J267" i="5"/>
  <c r="K267" i="5" s="1"/>
  <c r="J268" i="5"/>
  <c r="K268" i="5" s="1"/>
  <c r="J269" i="5"/>
  <c r="K269" i="5" s="1"/>
  <c r="J270" i="5"/>
  <c r="K270" i="5" s="1"/>
  <c r="J271" i="5"/>
  <c r="K271" i="5" s="1"/>
  <c r="J272" i="5"/>
  <c r="K272" i="5" s="1"/>
  <c r="J273" i="5"/>
  <c r="K273" i="5" s="1"/>
  <c r="J274" i="5"/>
  <c r="K274" i="5" s="1"/>
  <c r="J275" i="5"/>
  <c r="K275" i="5" s="1"/>
  <c r="J276" i="5"/>
  <c r="K276" i="5" s="1"/>
  <c r="J277" i="5"/>
  <c r="K277" i="5" s="1"/>
  <c r="J278" i="5"/>
  <c r="K278" i="5" s="1"/>
  <c r="J279" i="5"/>
  <c r="K279" i="5" s="1"/>
  <c r="J280" i="5"/>
  <c r="K280" i="5" s="1"/>
  <c r="J281" i="5"/>
  <c r="K281" i="5" s="1"/>
  <c r="J282" i="5"/>
  <c r="K282" i="5" s="1"/>
  <c r="J283" i="5"/>
  <c r="K283" i="5" s="1"/>
  <c r="J284" i="5"/>
  <c r="K284" i="5" s="1"/>
  <c r="J285" i="5"/>
  <c r="K285" i="5" s="1"/>
  <c r="J286" i="5"/>
  <c r="K286" i="5" s="1"/>
  <c r="J287" i="5"/>
  <c r="K287" i="5" s="1"/>
  <c r="J288" i="5"/>
  <c r="K288" i="5" s="1"/>
  <c r="J289" i="5"/>
  <c r="K289" i="5" s="1"/>
  <c r="J290" i="5"/>
  <c r="K290" i="5" s="1"/>
  <c r="J291" i="5"/>
  <c r="K291" i="5" s="1"/>
  <c r="J292" i="5"/>
  <c r="K292" i="5" s="1"/>
  <c r="J293" i="5"/>
  <c r="K293" i="5" s="1"/>
  <c r="J294" i="5"/>
  <c r="K294" i="5" s="1"/>
  <c r="J295" i="5"/>
  <c r="K295" i="5" s="1"/>
  <c r="J296" i="5"/>
  <c r="K296" i="5" s="1"/>
  <c r="J297" i="5"/>
  <c r="K297" i="5" s="1"/>
  <c r="J298" i="5"/>
  <c r="K298" i="5" s="1"/>
  <c r="J299" i="5"/>
  <c r="K299" i="5" s="1"/>
  <c r="J300" i="5"/>
  <c r="K300" i="5" s="1"/>
  <c r="J301" i="5"/>
  <c r="K301" i="5" s="1"/>
  <c r="J302" i="5"/>
  <c r="K302" i="5" s="1"/>
  <c r="J303" i="5"/>
  <c r="K303" i="5" s="1"/>
  <c r="J304" i="5"/>
  <c r="K304" i="5" s="1"/>
  <c r="J305" i="5"/>
  <c r="K305" i="5" s="1"/>
  <c r="J306" i="5"/>
  <c r="K306" i="5" s="1"/>
  <c r="J307" i="5"/>
  <c r="K307" i="5" s="1"/>
  <c r="J308" i="5"/>
  <c r="K308" i="5" s="1"/>
  <c r="J309" i="5"/>
  <c r="K309" i="5" s="1"/>
  <c r="J310" i="5"/>
  <c r="K310" i="5" s="1"/>
  <c r="J311" i="5"/>
  <c r="K311" i="5" s="1"/>
  <c r="J312" i="5"/>
  <c r="K312" i="5" s="1"/>
  <c r="J313" i="5"/>
  <c r="K313" i="5" s="1"/>
  <c r="J314" i="5"/>
  <c r="K314" i="5" s="1"/>
  <c r="J315" i="5"/>
  <c r="K315" i="5" s="1"/>
  <c r="J316" i="5"/>
  <c r="K316" i="5" s="1"/>
  <c r="J317" i="5"/>
  <c r="K317" i="5" s="1"/>
  <c r="J318" i="5"/>
  <c r="K318" i="5" s="1"/>
  <c r="J319" i="5"/>
  <c r="K319" i="5" s="1"/>
  <c r="J320" i="5"/>
  <c r="K320" i="5" s="1"/>
  <c r="J321" i="5"/>
  <c r="K321" i="5" s="1"/>
  <c r="J322" i="5"/>
  <c r="K322" i="5" s="1"/>
  <c r="J323" i="5"/>
  <c r="K323" i="5" s="1"/>
  <c r="J324" i="5"/>
  <c r="K324" i="5" s="1"/>
  <c r="J325" i="5"/>
  <c r="K325" i="5" s="1"/>
  <c r="J326" i="5"/>
  <c r="K326" i="5" s="1"/>
  <c r="J327" i="5"/>
  <c r="K327" i="5" s="1"/>
  <c r="J328" i="5"/>
  <c r="K328" i="5" s="1"/>
  <c r="J329" i="5"/>
  <c r="K329" i="5" s="1"/>
  <c r="J330" i="5"/>
  <c r="K330" i="5" s="1"/>
  <c r="J331" i="5"/>
  <c r="K331" i="5" s="1"/>
  <c r="J332" i="5"/>
  <c r="K332" i="5" s="1"/>
  <c r="J333" i="5"/>
  <c r="K333" i="5" s="1"/>
  <c r="J334" i="5"/>
  <c r="K334" i="5" s="1"/>
  <c r="J335" i="5"/>
  <c r="K335" i="5" s="1"/>
  <c r="J336" i="5"/>
  <c r="K336" i="5" s="1"/>
  <c r="J337" i="5"/>
  <c r="K337" i="5" s="1"/>
  <c r="J338" i="5"/>
  <c r="K338" i="5" s="1"/>
  <c r="J339" i="5"/>
  <c r="K339" i="5" s="1"/>
  <c r="J340" i="5"/>
  <c r="K340" i="5" s="1"/>
  <c r="J341" i="5"/>
  <c r="K341" i="5" s="1"/>
  <c r="J342" i="5"/>
  <c r="K342" i="5" s="1"/>
  <c r="J343" i="5"/>
  <c r="K343" i="5" s="1"/>
  <c r="J344" i="5"/>
  <c r="K344" i="5" s="1"/>
  <c r="J345" i="5"/>
  <c r="K345" i="5" s="1"/>
  <c r="J346" i="5"/>
  <c r="K346" i="5" s="1"/>
  <c r="J347" i="5"/>
  <c r="K347" i="5" s="1"/>
  <c r="J348" i="5"/>
  <c r="K348" i="5" s="1"/>
  <c r="J349" i="5"/>
  <c r="K349" i="5" s="1"/>
  <c r="J350" i="5"/>
  <c r="K350" i="5" s="1"/>
  <c r="J351" i="5"/>
  <c r="K351" i="5" s="1"/>
  <c r="J352" i="5"/>
  <c r="K352" i="5" s="1"/>
  <c r="J353" i="5"/>
  <c r="K353" i="5" s="1"/>
  <c r="J354" i="5"/>
  <c r="K354" i="5" s="1"/>
  <c r="J355" i="5"/>
  <c r="K355" i="5" s="1"/>
  <c r="J356" i="5"/>
  <c r="K356" i="5" s="1"/>
  <c r="J357" i="5"/>
  <c r="K357" i="5" s="1"/>
  <c r="J358" i="5"/>
  <c r="K358" i="5" s="1"/>
  <c r="J359" i="5"/>
  <c r="K359" i="5" s="1"/>
  <c r="J360" i="5"/>
  <c r="K360" i="5" s="1"/>
  <c r="J361" i="5"/>
  <c r="K361" i="5" s="1"/>
  <c r="J362" i="5"/>
  <c r="K362" i="5" s="1"/>
  <c r="J363" i="5"/>
  <c r="K363" i="5" s="1"/>
  <c r="J364" i="5"/>
  <c r="K364" i="5" s="1"/>
  <c r="J365" i="5"/>
  <c r="K365" i="5" s="1"/>
  <c r="J366" i="5"/>
  <c r="K366" i="5" s="1"/>
  <c r="J367" i="5"/>
  <c r="K367" i="5" s="1"/>
  <c r="J368" i="5"/>
  <c r="K368" i="5" s="1"/>
  <c r="J369" i="5"/>
  <c r="K369" i="5" s="1"/>
  <c r="J370" i="5"/>
  <c r="K370" i="5" s="1"/>
  <c r="J371" i="5"/>
  <c r="K371" i="5" s="1"/>
  <c r="J372" i="5"/>
  <c r="K372" i="5" s="1"/>
  <c r="J373" i="5"/>
  <c r="K373" i="5" s="1"/>
  <c r="J374" i="5"/>
  <c r="K374" i="5" s="1"/>
  <c r="J375" i="5"/>
  <c r="K375" i="5" s="1"/>
  <c r="J376" i="5"/>
  <c r="K376" i="5" s="1"/>
  <c r="J377" i="5"/>
  <c r="K377" i="5" s="1"/>
  <c r="J378" i="5"/>
  <c r="K378" i="5" s="1"/>
  <c r="J379" i="5"/>
  <c r="K379" i="5" s="1"/>
  <c r="J380" i="5"/>
  <c r="K380" i="5" s="1"/>
  <c r="J381" i="5"/>
  <c r="K381" i="5" s="1"/>
  <c r="J382" i="5"/>
  <c r="K382" i="5" s="1"/>
  <c r="J383" i="5"/>
  <c r="K383" i="5" s="1"/>
  <c r="J384" i="5"/>
  <c r="K384" i="5" s="1"/>
  <c r="J385" i="5"/>
  <c r="K385" i="5" s="1"/>
  <c r="J386" i="5"/>
  <c r="K386" i="5" s="1"/>
  <c r="J387" i="5"/>
  <c r="K387" i="5" s="1"/>
  <c r="J388" i="5"/>
  <c r="K388" i="5" s="1"/>
  <c r="J389" i="5"/>
  <c r="K389" i="5" s="1"/>
  <c r="J390" i="5"/>
  <c r="K390" i="5" s="1"/>
  <c r="J391" i="5"/>
  <c r="K391" i="5" s="1"/>
  <c r="J392" i="5"/>
  <c r="K392" i="5" s="1"/>
  <c r="J393" i="5"/>
  <c r="K393" i="5" s="1"/>
  <c r="J394" i="5"/>
  <c r="K394" i="5" s="1"/>
  <c r="J395" i="5"/>
  <c r="K395" i="5" s="1"/>
  <c r="J396" i="5"/>
  <c r="K396" i="5" s="1"/>
  <c r="J397" i="5"/>
  <c r="K397" i="5" s="1"/>
  <c r="J398" i="5"/>
  <c r="K398" i="5" s="1"/>
  <c r="J399" i="5"/>
  <c r="K399" i="5" s="1"/>
  <c r="J400" i="5"/>
  <c r="K400" i="5" s="1"/>
  <c r="J401" i="5"/>
  <c r="K401" i="5" s="1"/>
  <c r="J402" i="5"/>
  <c r="K402" i="5" s="1"/>
  <c r="J403" i="5"/>
  <c r="K403" i="5" s="1"/>
  <c r="J404" i="5"/>
  <c r="K404" i="5" s="1"/>
  <c r="J405" i="5"/>
  <c r="K405" i="5" s="1"/>
  <c r="J406" i="5"/>
  <c r="K406" i="5" s="1"/>
  <c r="J407" i="5"/>
  <c r="K407" i="5" s="1"/>
  <c r="J408" i="5"/>
  <c r="K408" i="5" s="1"/>
  <c r="J409" i="5"/>
  <c r="K409" i="5" s="1"/>
  <c r="J410" i="5"/>
  <c r="K410" i="5" s="1"/>
  <c r="J411" i="5"/>
  <c r="K411" i="5" s="1"/>
  <c r="J412" i="5"/>
  <c r="K412" i="5" s="1"/>
  <c r="J413" i="5"/>
  <c r="K413" i="5" s="1"/>
  <c r="J414" i="5"/>
  <c r="K414" i="5" s="1"/>
  <c r="J415" i="5"/>
  <c r="K415" i="5" s="1"/>
  <c r="J416" i="5"/>
  <c r="K416" i="5" s="1"/>
  <c r="J417" i="5"/>
  <c r="K417" i="5" s="1"/>
  <c r="J418" i="5"/>
  <c r="K418" i="5" s="1"/>
  <c r="J419" i="5"/>
  <c r="K419" i="5" s="1"/>
  <c r="J420" i="5"/>
  <c r="K420" i="5" s="1"/>
  <c r="J421" i="5"/>
  <c r="K421" i="5" s="1"/>
  <c r="J422" i="5"/>
  <c r="K422" i="5" s="1"/>
  <c r="J423" i="5"/>
  <c r="K423" i="5" s="1"/>
  <c r="J424" i="5"/>
  <c r="K424" i="5" s="1"/>
  <c r="J425" i="5"/>
  <c r="K425" i="5" s="1"/>
  <c r="J426" i="5"/>
  <c r="K426" i="5" s="1"/>
  <c r="J427" i="5"/>
  <c r="K427" i="5" s="1"/>
  <c r="J428" i="5"/>
  <c r="K428" i="5" s="1"/>
  <c r="J429" i="5"/>
  <c r="K429" i="5" s="1"/>
  <c r="J430" i="5"/>
  <c r="K430" i="5" s="1"/>
  <c r="J431" i="5"/>
  <c r="K431" i="5" s="1"/>
  <c r="J432" i="5"/>
  <c r="K432" i="5" s="1"/>
  <c r="J433" i="5"/>
  <c r="K433" i="5" s="1"/>
  <c r="J434" i="5"/>
  <c r="K434" i="5" s="1"/>
  <c r="J435" i="5"/>
  <c r="K435" i="5" s="1"/>
  <c r="J436" i="5"/>
  <c r="K436" i="5" s="1"/>
  <c r="J437" i="5"/>
  <c r="K437" i="5" s="1"/>
  <c r="J438" i="5"/>
  <c r="K438" i="5" s="1"/>
  <c r="J439" i="5"/>
  <c r="K439" i="5" s="1"/>
  <c r="J440" i="5"/>
  <c r="K440" i="5" s="1"/>
  <c r="J441" i="5"/>
  <c r="K441" i="5" s="1"/>
  <c r="J442" i="5"/>
  <c r="K442" i="5" s="1"/>
  <c r="J443" i="5"/>
  <c r="K443" i="5" s="1"/>
  <c r="J444" i="5"/>
  <c r="K444" i="5" s="1"/>
  <c r="J445" i="5"/>
  <c r="K445" i="5" s="1"/>
  <c r="J446" i="5"/>
  <c r="K446" i="5" s="1"/>
  <c r="J447" i="5"/>
  <c r="K447" i="5" s="1"/>
  <c r="J448" i="5"/>
  <c r="K448" i="5" s="1"/>
  <c r="J449" i="5"/>
  <c r="K449" i="5" s="1"/>
  <c r="J450" i="5"/>
  <c r="K450" i="5" s="1"/>
  <c r="J451" i="5"/>
  <c r="K451" i="5" s="1"/>
  <c r="J452" i="5"/>
  <c r="K452" i="5" s="1"/>
  <c r="J453" i="5"/>
  <c r="K453" i="5" s="1"/>
  <c r="J454" i="5"/>
  <c r="K454" i="5" s="1"/>
  <c r="J455" i="5"/>
  <c r="K455" i="5" s="1"/>
  <c r="J456" i="5"/>
  <c r="K456" i="5" s="1"/>
  <c r="J457" i="5"/>
  <c r="K457" i="5" s="1"/>
  <c r="J458" i="5"/>
  <c r="K458" i="5" s="1"/>
  <c r="J459" i="5"/>
  <c r="K459" i="5" s="1"/>
  <c r="J460" i="5"/>
  <c r="K460" i="5" s="1"/>
  <c r="J461" i="5"/>
  <c r="K461" i="5" s="1"/>
  <c r="J462" i="5"/>
  <c r="K462" i="5" s="1"/>
  <c r="J463" i="5"/>
  <c r="K463" i="5" s="1"/>
  <c r="J464" i="5"/>
  <c r="K464" i="5" s="1"/>
  <c r="J465" i="5"/>
  <c r="K465" i="5" s="1"/>
  <c r="J466" i="5"/>
  <c r="K466" i="5" s="1"/>
  <c r="J467" i="5"/>
  <c r="K467" i="5" s="1"/>
  <c r="J468" i="5"/>
  <c r="K468" i="5" s="1"/>
  <c r="J469" i="5"/>
  <c r="K469" i="5" s="1"/>
  <c r="J470" i="5"/>
  <c r="K470" i="5" s="1"/>
  <c r="J471" i="5"/>
  <c r="K471" i="5" s="1"/>
  <c r="J472" i="5"/>
  <c r="K472" i="5" s="1"/>
  <c r="J473" i="5"/>
  <c r="K473" i="5" s="1"/>
  <c r="J474" i="5"/>
  <c r="K474" i="5" s="1"/>
  <c r="J475" i="5"/>
  <c r="K475" i="5" s="1"/>
  <c r="J476" i="5"/>
  <c r="K476" i="5" s="1"/>
  <c r="J477" i="5"/>
  <c r="K477" i="5" s="1"/>
  <c r="J478" i="5"/>
  <c r="K478" i="5" s="1"/>
  <c r="J479" i="5"/>
  <c r="K479" i="5" s="1"/>
  <c r="J480" i="5"/>
  <c r="K480" i="5" s="1"/>
  <c r="J481" i="5"/>
  <c r="K481" i="5" s="1"/>
  <c r="J482" i="5"/>
  <c r="K482" i="5" s="1"/>
  <c r="J483" i="5"/>
  <c r="K483" i="5" s="1"/>
  <c r="J484" i="5"/>
  <c r="K484" i="5" s="1"/>
  <c r="J485" i="5"/>
  <c r="K485" i="5" s="1"/>
  <c r="J486" i="5"/>
  <c r="K486" i="5" s="1"/>
  <c r="J487" i="5"/>
  <c r="K487" i="5" s="1"/>
  <c r="J488" i="5"/>
  <c r="K488" i="5" s="1"/>
  <c r="J489" i="5"/>
  <c r="K489" i="5" s="1"/>
  <c r="J490" i="5"/>
  <c r="K490" i="5" s="1"/>
  <c r="J491" i="5"/>
  <c r="K491" i="5" s="1"/>
  <c r="J492" i="5"/>
  <c r="K492" i="5" s="1"/>
  <c r="J493" i="5"/>
  <c r="K493" i="5" s="1"/>
  <c r="J494" i="5"/>
  <c r="K494" i="5" s="1"/>
  <c r="J495" i="5"/>
  <c r="K495" i="5" s="1"/>
  <c r="J496" i="5"/>
  <c r="K496" i="5" s="1"/>
  <c r="J497" i="5"/>
  <c r="K497" i="5" s="1"/>
  <c r="J498" i="5"/>
  <c r="K498" i="5" s="1"/>
  <c r="J499" i="5"/>
  <c r="K499" i="5" s="1"/>
  <c r="J500" i="5"/>
  <c r="K500" i="5" s="1"/>
  <c r="J501" i="5"/>
  <c r="K501" i="5" s="1"/>
  <c r="J502" i="5"/>
  <c r="K502" i="5" s="1"/>
  <c r="J503" i="5"/>
  <c r="K503" i="5" s="1"/>
  <c r="J504" i="5"/>
  <c r="K504" i="5" s="1"/>
  <c r="J505" i="5"/>
  <c r="K505" i="5" s="1"/>
  <c r="J506" i="5"/>
  <c r="K506" i="5" s="1"/>
  <c r="J507" i="5"/>
  <c r="K507" i="5" s="1"/>
  <c r="J508" i="5"/>
  <c r="K508" i="5" s="1"/>
  <c r="J509" i="5"/>
  <c r="K509" i="5" s="1"/>
  <c r="J510" i="5"/>
  <c r="K510" i="5" s="1"/>
  <c r="J511" i="5"/>
  <c r="K511" i="5" s="1"/>
  <c r="J512" i="5"/>
  <c r="K512" i="5" s="1"/>
  <c r="J513" i="5"/>
  <c r="K513" i="5" s="1"/>
  <c r="J514" i="5"/>
  <c r="K514" i="5" s="1"/>
  <c r="J515" i="5"/>
  <c r="K515" i="5" s="1"/>
  <c r="J516" i="5"/>
  <c r="K516" i="5" s="1"/>
  <c r="J517" i="5"/>
  <c r="K517" i="5" s="1"/>
  <c r="J518" i="5"/>
  <c r="K518" i="5" s="1"/>
  <c r="J519" i="5"/>
  <c r="K519" i="5" s="1"/>
  <c r="J520" i="5"/>
  <c r="K520" i="5" s="1"/>
  <c r="J521" i="5"/>
  <c r="K521" i="5" s="1"/>
  <c r="J522" i="5"/>
  <c r="K522" i="5" s="1"/>
  <c r="J523" i="5"/>
  <c r="K523" i="5" s="1"/>
  <c r="J524" i="5"/>
  <c r="K524" i="5" s="1"/>
  <c r="J525" i="5"/>
  <c r="K525" i="5" s="1"/>
  <c r="J526" i="5"/>
  <c r="K526" i="5" s="1"/>
  <c r="J527" i="5"/>
  <c r="K527" i="5" s="1"/>
  <c r="J528" i="5"/>
  <c r="K528" i="5" s="1"/>
  <c r="J529" i="5"/>
  <c r="K529" i="5" s="1"/>
  <c r="J530" i="5"/>
  <c r="K530" i="5" s="1"/>
  <c r="J531" i="5"/>
  <c r="K531" i="5" s="1"/>
  <c r="J532" i="5"/>
  <c r="K532" i="5" s="1"/>
  <c r="J533" i="5"/>
  <c r="K533" i="5" s="1"/>
  <c r="J534" i="5"/>
  <c r="K534" i="5" s="1"/>
  <c r="J535" i="5"/>
  <c r="K535" i="5" s="1"/>
  <c r="J536" i="5"/>
  <c r="K536" i="5" s="1"/>
  <c r="J537" i="5"/>
  <c r="K537" i="5" s="1"/>
  <c r="J538" i="5"/>
  <c r="K538" i="5" s="1"/>
  <c r="J539" i="5"/>
  <c r="K539" i="5" s="1"/>
  <c r="J540" i="5"/>
  <c r="K540" i="5" s="1"/>
  <c r="J541" i="5"/>
  <c r="K541" i="5" s="1"/>
  <c r="J542" i="5"/>
  <c r="K542" i="5" s="1"/>
  <c r="J543" i="5"/>
  <c r="K543" i="5" s="1"/>
  <c r="J544" i="5"/>
  <c r="K544" i="5" s="1"/>
  <c r="J545" i="5"/>
  <c r="K545" i="5" s="1"/>
  <c r="J546" i="5"/>
  <c r="K546" i="5" s="1"/>
  <c r="J547" i="5"/>
  <c r="K547" i="5" s="1"/>
  <c r="J548" i="5"/>
  <c r="K548" i="5" s="1"/>
  <c r="J549" i="5"/>
  <c r="K549" i="5" s="1"/>
  <c r="J550" i="5"/>
  <c r="K550" i="5" s="1"/>
  <c r="J551" i="5"/>
  <c r="K551" i="5" s="1"/>
  <c r="J552" i="5"/>
  <c r="K552" i="5" s="1"/>
  <c r="J553" i="5"/>
  <c r="K553" i="5" s="1"/>
  <c r="J554" i="5"/>
  <c r="K554" i="5" s="1"/>
  <c r="J555" i="5"/>
  <c r="K555" i="5" s="1"/>
  <c r="J556" i="5"/>
  <c r="K556" i="5" s="1"/>
  <c r="J557" i="5"/>
  <c r="K557" i="5" s="1"/>
  <c r="J558" i="5"/>
  <c r="K558" i="5" s="1"/>
  <c r="J559" i="5"/>
  <c r="K559" i="5" s="1"/>
  <c r="J560" i="5"/>
  <c r="K560" i="5" s="1"/>
  <c r="J561" i="5"/>
  <c r="K561" i="5" s="1"/>
  <c r="J562" i="5"/>
  <c r="K562" i="5" s="1"/>
  <c r="J563" i="5"/>
  <c r="K563" i="5" s="1"/>
  <c r="J564" i="5"/>
  <c r="K564" i="5" s="1"/>
  <c r="J565" i="5"/>
  <c r="K565" i="5" s="1"/>
  <c r="J566" i="5"/>
  <c r="K566" i="5" s="1"/>
  <c r="J567" i="5"/>
  <c r="K567" i="5" s="1"/>
  <c r="J568" i="5"/>
  <c r="K568" i="5" s="1"/>
  <c r="J569" i="5"/>
  <c r="K569" i="5" s="1"/>
  <c r="J570" i="5"/>
  <c r="K570" i="5" s="1"/>
  <c r="J571" i="5"/>
  <c r="K571" i="5" s="1"/>
  <c r="J572" i="5"/>
  <c r="K572" i="5" s="1"/>
  <c r="J573" i="5"/>
  <c r="K573" i="5" s="1"/>
  <c r="J574" i="5"/>
  <c r="K574" i="5" s="1"/>
  <c r="J575" i="5"/>
  <c r="K575" i="5" s="1"/>
  <c r="J576" i="5"/>
  <c r="K576" i="5" s="1"/>
  <c r="J577" i="5"/>
  <c r="K577" i="5" s="1"/>
  <c r="J578" i="5"/>
  <c r="K578" i="5" s="1"/>
  <c r="J579" i="5"/>
  <c r="K579" i="5" s="1"/>
  <c r="J580" i="5"/>
  <c r="K580" i="5" s="1"/>
  <c r="J581" i="5"/>
  <c r="K581" i="5" s="1"/>
  <c r="J582" i="5"/>
  <c r="K582" i="5" s="1"/>
  <c r="J583" i="5"/>
  <c r="K583" i="5" s="1"/>
  <c r="J584" i="5"/>
  <c r="K584" i="5" s="1"/>
  <c r="J585" i="5"/>
  <c r="K585" i="5" s="1"/>
  <c r="J586" i="5"/>
  <c r="K586" i="5" s="1"/>
  <c r="J587" i="5"/>
  <c r="K587" i="5" s="1"/>
  <c r="J588" i="5"/>
  <c r="K588" i="5" s="1"/>
  <c r="J589" i="5"/>
  <c r="K589" i="5" s="1"/>
  <c r="J590" i="5"/>
  <c r="K590" i="5" s="1"/>
  <c r="J591" i="5"/>
  <c r="K591" i="5" s="1"/>
  <c r="J592" i="5"/>
  <c r="K592" i="5" s="1"/>
  <c r="J593" i="5"/>
  <c r="K593" i="5" s="1"/>
  <c r="J594" i="5"/>
  <c r="K594" i="5" s="1"/>
  <c r="J595" i="5"/>
  <c r="K595" i="5" s="1"/>
  <c r="J596" i="5"/>
  <c r="K596" i="5" s="1"/>
  <c r="J597" i="5"/>
  <c r="K597" i="5" s="1"/>
  <c r="J598" i="5"/>
  <c r="K598" i="5" s="1"/>
  <c r="J599" i="5"/>
  <c r="K599" i="5" s="1"/>
  <c r="J600" i="5"/>
  <c r="K600" i="5" s="1"/>
  <c r="J601" i="5"/>
  <c r="K601" i="5" s="1"/>
  <c r="J602" i="5"/>
  <c r="K602" i="5" s="1"/>
  <c r="J603" i="5"/>
  <c r="K603" i="5" s="1"/>
  <c r="J604" i="5"/>
  <c r="K604" i="5" s="1"/>
  <c r="J605" i="5"/>
  <c r="K605" i="5" s="1"/>
  <c r="J606" i="5"/>
  <c r="K606" i="5" s="1"/>
  <c r="J607" i="5"/>
  <c r="K607" i="5" s="1"/>
  <c r="J608" i="5"/>
  <c r="K608" i="5" s="1"/>
  <c r="J609" i="5"/>
  <c r="K609" i="5" s="1"/>
  <c r="J610" i="5"/>
  <c r="K610" i="5" s="1"/>
  <c r="J611" i="5"/>
  <c r="K611" i="5" s="1"/>
  <c r="J612" i="5"/>
  <c r="K612" i="5" s="1"/>
  <c r="J613" i="5"/>
  <c r="K613" i="5" s="1"/>
  <c r="J614" i="5"/>
  <c r="K614" i="5" s="1"/>
  <c r="J615" i="5"/>
  <c r="K615" i="5" s="1"/>
  <c r="J616" i="5"/>
  <c r="K616" i="5" s="1"/>
  <c r="J617" i="5"/>
  <c r="K617" i="5" s="1"/>
  <c r="J618" i="5"/>
  <c r="K618" i="5" s="1"/>
  <c r="J619" i="5"/>
  <c r="K619" i="5" s="1"/>
  <c r="J620" i="5"/>
  <c r="K620" i="5" s="1"/>
  <c r="J621" i="5"/>
  <c r="K621" i="5" s="1"/>
  <c r="J622" i="5"/>
  <c r="K622" i="5" s="1"/>
  <c r="J623" i="5"/>
  <c r="K623" i="5" s="1"/>
  <c r="J624" i="5"/>
  <c r="K624" i="5" s="1"/>
  <c r="J625" i="5"/>
  <c r="K625" i="5" s="1"/>
  <c r="J626" i="5"/>
  <c r="K626" i="5" s="1"/>
  <c r="J627" i="5"/>
  <c r="K627" i="5" s="1"/>
  <c r="J628" i="5"/>
  <c r="K628" i="5" s="1"/>
  <c r="J629" i="5"/>
  <c r="K629" i="5" s="1"/>
  <c r="J630" i="5"/>
  <c r="K630" i="5" s="1"/>
  <c r="J631" i="5"/>
  <c r="K631" i="5" s="1"/>
  <c r="J632" i="5"/>
  <c r="K632" i="5" s="1"/>
  <c r="J633" i="5"/>
  <c r="K633" i="5" s="1"/>
  <c r="J634" i="5"/>
  <c r="K634" i="5" s="1"/>
  <c r="J635" i="5"/>
  <c r="K635" i="5" s="1"/>
  <c r="J636" i="5"/>
  <c r="K636" i="5" s="1"/>
  <c r="J637" i="5"/>
  <c r="K637" i="5" s="1"/>
  <c r="J638" i="5"/>
  <c r="K638" i="5" s="1"/>
  <c r="J639" i="5"/>
  <c r="K639" i="5" s="1"/>
  <c r="J640" i="5"/>
  <c r="K640" i="5" s="1"/>
  <c r="J641" i="5"/>
  <c r="K641" i="5" s="1"/>
  <c r="J642" i="5"/>
  <c r="K642" i="5" s="1"/>
  <c r="J643" i="5"/>
  <c r="K643" i="5" s="1"/>
  <c r="J644" i="5"/>
  <c r="K644" i="5" s="1"/>
  <c r="J645" i="5"/>
  <c r="K645" i="5" s="1"/>
  <c r="J646" i="5"/>
  <c r="K646" i="5" s="1"/>
  <c r="J647" i="5"/>
  <c r="K647" i="5" s="1"/>
  <c r="J648" i="5"/>
  <c r="K648" i="5" s="1"/>
  <c r="J649" i="5"/>
  <c r="K649" i="5" s="1"/>
  <c r="J650" i="5"/>
  <c r="K650" i="5" s="1"/>
  <c r="J651" i="5"/>
  <c r="K651" i="5" s="1"/>
  <c r="J652" i="5"/>
  <c r="K652" i="5" s="1"/>
  <c r="J653" i="5"/>
  <c r="K653" i="5" s="1"/>
  <c r="J654" i="5"/>
  <c r="K654" i="5" s="1"/>
  <c r="J655" i="5"/>
  <c r="K655" i="5" s="1"/>
  <c r="J656" i="5"/>
  <c r="K656" i="5" s="1"/>
  <c r="J657" i="5"/>
  <c r="K657" i="5" s="1"/>
  <c r="J658" i="5"/>
  <c r="K658" i="5" s="1"/>
  <c r="J659" i="5"/>
  <c r="K659" i="5" s="1"/>
  <c r="J660" i="5"/>
  <c r="K660" i="5" s="1"/>
  <c r="J661" i="5"/>
  <c r="K661" i="5" s="1"/>
  <c r="J662" i="5"/>
  <c r="K662" i="5" s="1"/>
  <c r="J663" i="5"/>
  <c r="K663" i="5" s="1"/>
  <c r="J664" i="5"/>
  <c r="K664" i="5" s="1"/>
  <c r="J665" i="5"/>
  <c r="K665" i="5" s="1"/>
  <c r="J666" i="5"/>
  <c r="K666" i="5" s="1"/>
  <c r="J667" i="5"/>
  <c r="K667" i="5" s="1"/>
  <c r="J668" i="5"/>
  <c r="K668" i="5" s="1"/>
  <c r="J669" i="5"/>
  <c r="K669" i="5" s="1"/>
  <c r="J670" i="5"/>
  <c r="K670" i="5" s="1"/>
  <c r="J671" i="5"/>
  <c r="K671" i="5" s="1"/>
  <c r="J672" i="5"/>
  <c r="K672" i="5" s="1"/>
  <c r="J673" i="5"/>
  <c r="K673" i="5" s="1"/>
  <c r="J674" i="5"/>
  <c r="K674" i="5" s="1"/>
  <c r="J675" i="5"/>
  <c r="K675" i="5" s="1"/>
  <c r="J676" i="5"/>
  <c r="K676" i="5" s="1"/>
  <c r="J677" i="5"/>
  <c r="K677" i="5" s="1"/>
  <c r="J678" i="5"/>
  <c r="K678" i="5" s="1"/>
  <c r="J679" i="5"/>
  <c r="K679" i="5" s="1"/>
  <c r="J680" i="5"/>
  <c r="K680" i="5" s="1"/>
  <c r="J681" i="5"/>
  <c r="K681" i="5" s="1"/>
  <c r="J682" i="5"/>
  <c r="K682" i="5" s="1"/>
  <c r="J683" i="5"/>
  <c r="K683" i="5" s="1"/>
  <c r="J684" i="5"/>
  <c r="K684" i="5" s="1"/>
  <c r="J685" i="5"/>
  <c r="K685" i="5" s="1"/>
  <c r="J686" i="5"/>
  <c r="K686" i="5" s="1"/>
  <c r="J687" i="5"/>
  <c r="K687" i="5" s="1"/>
  <c r="J688" i="5"/>
  <c r="K688" i="5" s="1"/>
  <c r="J689" i="5"/>
  <c r="K689" i="5" s="1"/>
  <c r="J690" i="5"/>
  <c r="K690" i="5" s="1"/>
  <c r="J691" i="5"/>
  <c r="K691" i="5" s="1"/>
  <c r="J692" i="5"/>
  <c r="K692" i="5" s="1"/>
  <c r="J693" i="5"/>
  <c r="K693" i="5" s="1"/>
  <c r="J694" i="5"/>
  <c r="K694" i="5" s="1"/>
  <c r="J695" i="5"/>
  <c r="K695" i="5" s="1"/>
  <c r="J696" i="5"/>
  <c r="K696" i="5" s="1"/>
  <c r="J697" i="5"/>
  <c r="K697" i="5" s="1"/>
  <c r="J698" i="5"/>
  <c r="K698" i="5" s="1"/>
  <c r="J699" i="5"/>
  <c r="K699" i="5" s="1"/>
  <c r="J700" i="5"/>
  <c r="K700" i="5" s="1"/>
  <c r="J701" i="5"/>
  <c r="K701" i="5" s="1"/>
  <c r="J702" i="5"/>
  <c r="K702" i="5" s="1"/>
  <c r="J703" i="5"/>
  <c r="K703" i="5" s="1"/>
  <c r="J704" i="5"/>
  <c r="K704" i="5" s="1"/>
  <c r="J705" i="5"/>
  <c r="K705" i="5" s="1"/>
  <c r="J706" i="5"/>
  <c r="K706" i="5" s="1"/>
  <c r="J707" i="5"/>
  <c r="K707" i="5" s="1"/>
  <c r="J708" i="5"/>
  <c r="K708" i="5" s="1"/>
  <c r="J709" i="5"/>
  <c r="K709" i="5" s="1"/>
  <c r="J710" i="5"/>
  <c r="K710" i="5" s="1"/>
  <c r="J711" i="5"/>
  <c r="K711" i="5" s="1"/>
  <c r="J712" i="5"/>
  <c r="K712" i="5" s="1"/>
  <c r="J713" i="5"/>
  <c r="K713" i="5" s="1"/>
  <c r="J714" i="5"/>
  <c r="K714" i="5" s="1"/>
  <c r="J715" i="5"/>
  <c r="K715" i="5" s="1"/>
  <c r="J716" i="5"/>
  <c r="K716" i="5" s="1"/>
  <c r="J717" i="5"/>
  <c r="K717" i="5" s="1"/>
  <c r="J718" i="5"/>
  <c r="K718" i="5" s="1"/>
  <c r="J719" i="5"/>
  <c r="K719" i="5" s="1"/>
  <c r="J720" i="5"/>
  <c r="K720" i="5" s="1"/>
  <c r="J721" i="5"/>
  <c r="K721" i="5" s="1"/>
  <c r="J722" i="5"/>
  <c r="K722" i="5" s="1"/>
  <c r="J723" i="5"/>
  <c r="K723" i="5" s="1"/>
  <c r="J724" i="5"/>
  <c r="K724" i="5" s="1"/>
  <c r="J725" i="5"/>
  <c r="K725" i="5" s="1"/>
  <c r="J726" i="5"/>
  <c r="K726" i="5" s="1"/>
  <c r="J727" i="5"/>
  <c r="K727" i="5" s="1"/>
  <c r="J728" i="5"/>
  <c r="K728" i="5" s="1"/>
  <c r="J729" i="5"/>
  <c r="K729" i="5" s="1"/>
  <c r="J730" i="5"/>
  <c r="K730" i="5" s="1"/>
  <c r="J731" i="5"/>
  <c r="K731" i="5" s="1"/>
  <c r="J732" i="5"/>
  <c r="K732" i="5" s="1"/>
  <c r="J733" i="5"/>
  <c r="K733" i="5" s="1"/>
  <c r="J734" i="5"/>
  <c r="K734" i="5" s="1"/>
  <c r="J735" i="5"/>
  <c r="K735" i="5" s="1"/>
  <c r="J736" i="5"/>
  <c r="K736" i="5" s="1"/>
  <c r="J737" i="5"/>
  <c r="K737" i="5" s="1"/>
  <c r="J738" i="5"/>
  <c r="K738" i="5" s="1"/>
  <c r="J739" i="5"/>
  <c r="K739" i="5" s="1"/>
  <c r="J740" i="5"/>
  <c r="K740" i="5" s="1"/>
  <c r="J741" i="5"/>
  <c r="K741" i="5" s="1"/>
  <c r="J742" i="5"/>
  <c r="K742" i="5" s="1"/>
  <c r="J743" i="5"/>
  <c r="K743" i="5" s="1"/>
  <c r="J744" i="5"/>
  <c r="K744" i="5" s="1"/>
  <c r="J745" i="5"/>
  <c r="K745" i="5" s="1"/>
  <c r="J746" i="5"/>
  <c r="K746" i="5" s="1"/>
  <c r="J747" i="5"/>
  <c r="K747" i="5" s="1"/>
  <c r="J748" i="5"/>
  <c r="K748" i="5" s="1"/>
  <c r="J749" i="5"/>
  <c r="K749" i="5" s="1"/>
  <c r="J750" i="5"/>
  <c r="K750" i="5" s="1"/>
  <c r="J751" i="5"/>
  <c r="K751" i="5" s="1"/>
  <c r="J752" i="5"/>
  <c r="K752" i="5" s="1"/>
  <c r="J753" i="5"/>
  <c r="K753" i="5" s="1"/>
  <c r="J754" i="5"/>
  <c r="K754" i="5" s="1"/>
  <c r="J755" i="5"/>
  <c r="K755" i="5" s="1"/>
  <c r="J756" i="5"/>
  <c r="K756" i="5" s="1"/>
  <c r="J757" i="5"/>
  <c r="K757" i="5" s="1"/>
  <c r="J758" i="5"/>
  <c r="K758" i="5" s="1"/>
  <c r="J759" i="5"/>
  <c r="K759" i="5" s="1"/>
  <c r="J760" i="5"/>
  <c r="K760" i="5" s="1"/>
  <c r="J761" i="5"/>
  <c r="K761" i="5" s="1"/>
  <c r="J762" i="5"/>
  <c r="K762" i="5" s="1"/>
  <c r="J763" i="5"/>
  <c r="K763" i="5" s="1"/>
  <c r="J764" i="5"/>
  <c r="K764" i="5" s="1"/>
  <c r="J765" i="5"/>
  <c r="K765" i="5" s="1"/>
  <c r="J766" i="5"/>
  <c r="K766" i="5" s="1"/>
  <c r="J767" i="5"/>
  <c r="K767" i="5" s="1"/>
  <c r="J768" i="5"/>
  <c r="K768" i="5" s="1"/>
  <c r="J769" i="5"/>
  <c r="K769" i="5" s="1"/>
  <c r="J770" i="5"/>
  <c r="K770" i="5" s="1"/>
  <c r="J771" i="5"/>
  <c r="K771" i="5" s="1"/>
  <c r="J772" i="5"/>
  <c r="K772" i="5" s="1"/>
  <c r="J773" i="5"/>
  <c r="K773" i="5" s="1"/>
  <c r="J774" i="5"/>
  <c r="K774" i="5" s="1"/>
  <c r="J775" i="5"/>
  <c r="K775" i="5" s="1"/>
  <c r="J776" i="5"/>
  <c r="K776" i="5" s="1"/>
  <c r="J777" i="5"/>
  <c r="K777" i="5" s="1"/>
  <c r="J778" i="5"/>
  <c r="K778" i="5" s="1"/>
  <c r="J779" i="5"/>
  <c r="K779" i="5" s="1"/>
  <c r="J780" i="5"/>
  <c r="K780" i="5" s="1"/>
  <c r="J781" i="5"/>
  <c r="K781" i="5" s="1"/>
  <c r="J782" i="5"/>
  <c r="K782" i="5" s="1"/>
  <c r="J783" i="5"/>
  <c r="K783" i="5" s="1"/>
  <c r="J784" i="5"/>
  <c r="K784" i="5" s="1"/>
  <c r="J785" i="5"/>
  <c r="K785" i="5" s="1"/>
  <c r="J786" i="5"/>
  <c r="K786" i="5" s="1"/>
  <c r="J787" i="5"/>
  <c r="K787" i="5" s="1"/>
  <c r="J788" i="5"/>
  <c r="K788" i="5" s="1"/>
  <c r="J789" i="5"/>
  <c r="K789" i="5" s="1"/>
  <c r="J790" i="5"/>
  <c r="K790" i="5" s="1"/>
  <c r="J791" i="5"/>
  <c r="K791" i="5" s="1"/>
  <c r="J792" i="5"/>
  <c r="K792" i="5" s="1"/>
  <c r="J793" i="5"/>
  <c r="K793" i="5" s="1"/>
  <c r="J794" i="5"/>
  <c r="K794" i="5" s="1"/>
  <c r="J795" i="5"/>
  <c r="K795" i="5" s="1"/>
  <c r="J796" i="5"/>
  <c r="K796" i="5" s="1"/>
  <c r="J797" i="5"/>
  <c r="K797" i="5" s="1"/>
  <c r="J798" i="5"/>
  <c r="K798" i="5" s="1"/>
  <c r="J799" i="5"/>
  <c r="K799" i="5" s="1"/>
  <c r="J800" i="5"/>
  <c r="K800" i="5" s="1"/>
  <c r="J801" i="5"/>
  <c r="K801" i="5" s="1"/>
  <c r="J802" i="5"/>
  <c r="K802" i="5" s="1"/>
  <c r="J803" i="5"/>
  <c r="K803" i="5" s="1"/>
  <c r="J804" i="5"/>
  <c r="K804" i="5" s="1"/>
  <c r="J805" i="5"/>
  <c r="K805" i="5" s="1"/>
  <c r="J806" i="5"/>
  <c r="K806" i="5" s="1"/>
  <c r="J807" i="5"/>
  <c r="K807" i="5" s="1"/>
  <c r="J808" i="5"/>
  <c r="K808" i="5" s="1"/>
  <c r="J809" i="5"/>
  <c r="K809" i="5" s="1"/>
  <c r="J810" i="5"/>
  <c r="K810" i="5" s="1"/>
  <c r="J811" i="5"/>
  <c r="K811" i="5" s="1"/>
  <c r="J812" i="5"/>
  <c r="K812" i="5" s="1"/>
  <c r="J813" i="5"/>
  <c r="K813" i="5" s="1"/>
  <c r="J814" i="5"/>
  <c r="K814" i="5" s="1"/>
  <c r="J815" i="5"/>
  <c r="K815" i="5" s="1"/>
  <c r="J816" i="5"/>
  <c r="K816" i="5" s="1"/>
  <c r="J817" i="5"/>
  <c r="K817" i="5" s="1"/>
  <c r="J818" i="5"/>
  <c r="K818" i="5" s="1"/>
  <c r="J819" i="5"/>
  <c r="K819" i="5" s="1"/>
  <c r="J820" i="5"/>
  <c r="K820" i="5" s="1"/>
  <c r="J821" i="5"/>
  <c r="K821" i="5" s="1"/>
  <c r="J822" i="5"/>
  <c r="K822" i="5" s="1"/>
  <c r="J823" i="5"/>
  <c r="K823" i="5" s="1"/>
  <c r="J824" i="5"/>
  <c r="K824" i="5" s="1"/>
  <c r="J825" i="5"/>
  <c r="K825" i="5" s="1"/>
  <c r="J826" i="5"/>
  <c r="K826" i="5" s="1"/>
  <c r="J827" i="5"/>
  <c r="K827" i="5" s="1"/>
  <c r="J828" i="5"/>
  <c r="K828" i="5" s="1"/>
  <c r="J829" i="5"/>
  <c r="K829" i="5" s="1"/>
  <c r="J830" i="5"/>
  <c r="K830" i="5" s="1"/>
  <c r="J831" i="5"/>
  <c r="K831" i="5" s="1"/>
  <c r="J832" i="5"/>
  <c r="K832" i="5" s="1"/>
  <c r="J833" i="5"/>
  <c r="K833" i="5" s="1"/>
  <c r="J834" i="5"/>
  <c r="K834" i="5" s="1"/>
  <c r="J835" i="5"/>
  <c r="K835" i="5" s="1"/>
  <c r="J836" i="5"/>
  <c r="K836" i="5" s="1"/>
  <c r="J837" i="5"/>
  <c r="K837" i="5" s="1"/>
  <c r="J838" i="5"/>
  <c r="K838" i="5" s="1"/>
  <c r="J839" i="5"/>
  <c r="K839" i="5" s="1"/>
  <c r="J840" i="5"/>
  <c r="K840" i="5" s="1"/>
  <c r="J841" i="5"/>
  <c r="K841" i="5" s="1"/>
  <c r="J842" i="5"/>
  <c r="K842" i="5" s="1"/>
  <c r="J843" i="5"/>
  <c r="K843" i="5" s="1"/>
  <c r="J844" i="5"/>
  <c r="K844" i="5" s="1"/>
  <c r="J845" i="5"/>
  <c r="K845" i="5" s="1"/>
  <c r="J846" i="5"/>
  <c r="K846" i="5" s="1"/>
  <c r="J847" i="5"/>
  <c r="K847" i="5" s="1"/>
  <c r="J848" i="5"/>
  <c r="K848" i="5" s="1"/>
  <c r="J849" i="5"/>
  <c r="K849" i="5" s="1"/>
  <c r="J850" i="5"/>
  <c r="K850" i="5" s="1"/>
  <c r="J851" i="5"/>
  <c r="K851" i="5" s="1"/>
  <c r="J852" i="5"/>
  <c r="K852" i="5" s="1"/>
  <c r="J853" i="5"/>
  <c r="K853" i="5" s="1"/>
  <c r="J854" i="5"/>
  <c r="K854" i="5" s="1"/>
  <c r="J855" i="5"/>
  <c r="K855" i="5" s="1"/>
  <c r="J856" i="5"/>
  <c r="K856" i="5" s="1"/>
  <c r="J857" i="5"/>
  <c r="K857" i="5" s="1"/>
  <c r="J858" i="5"/>
  <c r="K858" i="5" s="1"/>
  <c r="J859" i="5"/>
  <c r="K859" i="5" s="1"/>
  <c r="J860" i="5"/>
  <c r="K860" i="5" s="1"/>
  <c r="J861" i="5"/>
  <c r="K861" i="5" s="1"/>
  <c r="J862" i="5"/>
  <c r="K862" i="5" s="1"/>
  <c r="J863" i="5"/>
  <c r="K863" i="5" s="1"/>
  <c r="J864" i="5"/>
  <c r="K864" i="5" s="1"/>
  <c r="J865" i="5"/>
  <c r="K865" i="5" s="1"/>
  <c r="J866" i="5"/>
  <c r="K866" i="5" s="1"/>
  <c r="J867" i="5"/>
  <c r="K867" i="5" s="1"/>
  <c r="J868" i="5"/>
  <c r="K868" i="5" s="1"/>
  <c r="J869" i="5"/>
  <c r="K869" i="5" s="1"/>
  <c r="J870" i="5"/>
  <c r="K870" i="5" s="1"/>
  <c r="J871" i="5"/>
  <c r="K871" i="5" s="1"/>
  <c r="J872" i="5"/>
  <c r="K872" i="5" s="1"/>
  <c r="J873" i="5"/>
  <c r="K873" i="5" s="1"/>
  <c r="J874" i="5"/>
  <c r="K874" i="5" s="1"/>
  <c r="J875" i="5"/>
  <c r="K875" i="5" s="1"/>
  <c r="J876" i="5"/>
  <c r="K876" i="5" s="1"/>
  <c r="J877" i="5"/>
  <c r="K877" i="5" s="1"/>
  <c r="J878" i="5"/>
  <c r="K878" i="5" s="1"/>
  <c r="J879" i="5"/>
  <c r="K879" i="5" s="1"/>
  <c r="J880" i="5"/>
  <c r="K880" i="5" s="1"/>
  <c r="J881" i="5"/>
  <c r="K881" i="5" s="1"/>
  <c r="J882" i="5"/>
  <c r="K882" i="5" s="1"/>
  <c r="J883" i="5"/>
  <c r="K883" i="5" s="1"/>
  <c r="J884" i="5"/>
  <c r="K884" i="5" s="1"/>
  <c r="J885" i="5"/>
  <c r="K885" i="5" s="1"/>
  <c r="J886" i="5"/>
  <c r="K886" i="5" s="1"/>
  <c r="J887" i="5"/>
  <c r="K887" i="5" s="1"/>
  <c r="J888" i="5"/>
  <c r="K888" i="5" s="1"/>
  <c r="J889" i="5"/>
  <c r="K889" i="5" s="1"/>
  <c r="J890" i="5"/>
  <c r="K890" i="5" s="1"/>
  <c r="J891" i="5"/>
  <c r="K891" i="5" s="1"/>
  <c r="J892" i="5"/>
  <c r="K892" i="5" s="1"/>
  <c r="J893" i="5"/>
  <c r="K893" i="5" s="1"/>
  <c r="J894" i="5"/>
  <c r="K894" i="5" s="1"/>
  <c r="J895" i="5"/>
  <c r="K895" i="5" s="1"/>
  <c r="J896" i="5"/>
  <c r="K896" i="5" s="1"/>
  <c r="J897" i="5"/>
  <c r="K897" i="5" s="1"/>
  <c r="J898" i="5"/>
  <c r="K898" i="5" s="1"/>
  <c r="J899" i="5"/>
  <c r="K899" i="5" s="1"/>
  <c r="J900" i="5"/>
  <c r="K900" i="5" s="1"/>
  <c r="J901" i="5"/>
  <c r="K901" i="5" s="1"/>
  <c r="J902" i="5"/>
  <c r="K902" i="5" s="1"/>
  <c r="J903" i="5"/>
  <c r="K903" i="5" s="1"/>
  <c r="J904" i="5"/>
  <c r="K904" i="5" s="1"/>
  <c r="J905" i="5"/>
  <c r="K905" i="5" s="1"/>
  <c r="J906" i="5"/>
  <c r="K906" i="5" s="1"/>
  <c r="J907" i="5"/>
  <c r="K907" i="5" s="1"/>
  <c r="J908" i="5"/>
  <c r="K908" i="5" s="1"/>
  <c r="J909" i="5"/>
  <c r="K909" i="5" s="1"/>
  <c r="J910" i="5"/>
  <c r="K910" i="5" s="1"/>
  <c r="J911" i="5"/>
  <c r="K911" i="5" s="1"/>
  <c r="J912" i="5"/>
  <c r="K912" i="5" s="1"/>
  <c r="J913" i="5"/>
  <c r="K913" i="5" s="1"/>
  <c r="J914" i="5"/>
  <c r="K914" i="5" s="1"/>
  <c r="J915" i="5"/>
  <c r="K915" i="5" s="1"/>
  <c r="J916" i="5"/>
  <c r="K916" i="5" s="1"/>
  <c r="J917" i="5"/>
  <c r="K917" i="5" s="1"/>
  <c r="J918" i="5"/>
  <c r="K918" i="5" s="1"/>
  <c r="J919" i="5"/>
  <c r="K919" i="5" s="1"/>
  <c r="J920" i="5"/>
  <c r="K920" i="5" s="1"/>
  <c r="J921" i="5"/>
  <c r="K921" i="5" s="1"/>
  <c r="J922" i="5"/>
  <c r="K922" i="5" s="1"/>
  <c r="J923" i="5"/>
  <c r="K923" i="5" s="1"/>
  <c r="J924" i="5"/>
  <c r="K924" i="5" s="1"/>
  <c r="J925" i="5"/>
  <c r="K925" i="5" s="1"/>
  <c r="J926" i="5"/>
  <c r="K926" i="5" s="1"/>
  <c r="J927" i="5"/>
  <c r="K927" i="5" s="1"/>
  <c r="J928" i="5"/>
  <c r="K928" i="5" s="1"/>
  <c r="J929" i="5"/>
  <c r="K929" i="5" s="1"/>
  <c r="J930" i="5"/>
  <c r="K930" i="5" s="1"/>
  <c r="J931" i="5"/>
  <c r="K931" i="5" s="1"/>
  <c r="J932" i="5"/>
  <c r="K932" i="5" s="1"/>
  <c r="J933" i="5"/>
  <c r="K933" i="5" s="1"/>
  <c r="J934" i="5"/>
  <c r="K934" i="5" s="1"/>
  <c r="J935" i="5"/>
  <c r="K935" i="5" s="1"/>
  <c r="J936" i="5"/>
  <c r="K936" i="5" s="1"/>
  <c r="J937" i="5"/>
  <c r="K937" i="5" s="1"/>
  <c r="J938" i="5"/>
  <c r="K938" i="5" s="1"/>
  <c r="J939" i="5"/>
  <c r="K939" i="5" s="1"/>
  <c r="J940" i="5"/>
  <c r="K940" i="5" s="1"/>
  <c r="J941" i="5"/>
  <c r="K941" i="5" s="1"/>
  <c r="J942" i="5"/>
  <c r="K942" i="5" s="1"/>
  <c r="J943" i="5"/>
  <c r="K943" i="5" s="1"/>
  <c r="J944" i="5"/>
  <c r="K944" i="5" s="1"/>
  <c r="J945" i="5"/>
  <c r="K945" i="5" s="1"/>
  <c r="J946" i="5"/>
  <c r="K946" i="5" s="1"/>
  <c r="J947" i="5"/>
  <c r="K947" i="5" s="1"/>
  <c r="J948" i="5"/>
  <c r="K948" i="5" s="1"/>
  <c r="J949" i="5"/>
  <c r="K949" i="5" s="1"/>
  <c r="J950" i="5"/>
  <c r="K950" i="5" s="1"/>
  <c r="J951" i="5"/>
  <c r="K951" i="5" s="1"/>
  <c r="J952" i="5"/>
  <c r="K952" i="5" s="1"/>
  <c r="J953" i="5"/>
  <c r="K953" i="5" s="1"/>
  <c r="J954" i="5"/>
  <c r="K954" i="5" s="1"/>
  <c r="J955" i="5"/>
  <c r="K955" i="5" s="1"/>
  <c r="J956" i="5"/>
  <c r="K956" i="5" s="1"/>
  <c r="J957" i="5"/>
  <c r="K957" i="5" s="1"/>
  <c r="J958" i="5"/>
  <c r="K958" i="5" s="1"/>
  <c r="J959" i="5"/>
  <c r="K959" i="5" s="1"/>
  <c r="J960" i="5"/>
  <c r="K960" i="5" s="1"/>
  <c r="J961" i="5"/>
  <c r="K961" i="5" s="1"/>
  <c r="J962" i="5"/>
  <c r="K962" i="5" s="1"/>
  <c r="J963" i="5"/>
  <c r="K963" i="5" s="1"/>
  <c r="J964" i="5"/>
  <c r="K964" i="5" s="1"/>
  <c r="J965" i="5"/>
  <c r="K965" i="5" s="1"/>
  <c r="J966" i="5"/>
  <c r="K966" i="5" s="1"/>
  <c r="J967" i="5"/>
  <c r="K967" i="5" s="1"/>
  <c r="J968" i="5"/>
  <c r="K968" i="5" s="1"/>
  <c r="J969" i="5"/>
  <c r="K969" i="5" s="1"/>
  <c r="J970" i="5"/>
  <c r="K970" i="5" s="1"/>
  <c r="J971" i="5"/>
  <c r="K971" i="5" s="1"/>
  <c r="J972" i="5"/>
  <c r="K972" i="5" s="1"/>
  <c r="J973" i="5"/>
  <c r="K973" i="5" s="1"/>
  <c r="J974" i="5"/>
  <c r="K974" i="5" s="1"/>
  <c r="J975" i="5"/>
  <c r="K975" i="5" s="1"/>
  <c r="J976" i="5"/>
  <c r="K976" i="5" s="1"/>
  <c r="J977" i="5"/>
  <c r="K977" i="5" s="1"/>
  <c r="J978" i="5"/>
  <c r="K978" i="5" s="1"/>
  <c r="J979" i="5"/>
  <c r="K979" i="5" s="1"/>
  <c r="J980" i="5"/>
  <c r="K980" i="5" s="1"/>
  <c r="J981" i="5"/>
  <c r="K981" i="5" s="1"/>
  <c r="J982" i="5"/>
  <c r="K982" i="5" s="1"/>
  <c r="J983" i="5"/>
  <c r="K983" i="5" s="1"/>
  <c r="J984" i="5"/>
  <c r="K984" i="5" s="1"/>
  <c r="J985" i="5"/>
  <c r="K985" i="5" s="1"/>
  <c r="J986" i="5"/>
  <c r="K986" i="5" s="1"/>
  <c r="J987" i="5"/>
  <c r="K987" i="5" s="1"/>
  <c r="J988" i="5"/>
  <c r="K988" i="5" s="1"/>
  <c r="J989" i="5"/>
  <c r="K989" i="5" s="1"/>
  <c r="J990" i="5"/>
  <c r="K990" i="5" s="1"/>
  <c r="J991" i="5"/>
  <c r="K991" i="5" s="1"/>
  <c r="J992" i="5"/>
  <c r="K992" i="5" s="1"/>
  <c r="J993" i="5"/>
  <c r="K993" i="5" s="1"/>
  <c r="J994" i="5"/>
  <c r="K994" i="5" s="1"/>
  <c r="J995" i="5"/>
  <c r="K995" i="5" s="1"/>
  <c r="J996" i="5"/>
  <c r="K996" i="5" s="1"/>
  <c r="J997" i="5"/>
  <c r="K997" i="5" s="1"/>
  <c r="J998" i="5"/>
  <c r="K998" i="5" s="1"/>
  <c r="J999" i="5"/>
  <c r="K999" i="5" s="1"/>
  <c r="J1000" i="5"/>
  <c r="K1000" i="5" s="1"/>
  <c r="J1001" i="5"/>
  <c r="K1001" i="5" s="1"/>
  <c r="H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D374" i="5"/>
  <c r="D375" i="5"/>
  <c r="D376" i="5"/>
  <c r="D377" i="5"/>
  <c r="D378" i="5"/>
  <c r="D379" i="5"/>
  <c r="D380" i="5"/>
  <c r="D381" i="5"/>
  <c r="D382" i="5"/>
  <c r="D383" i="5"/>
  <c r="D384" i="5"/>
  <c r="D385" i="5"/>
  <c r="D386" i="5"/>
  <c r="D387" i="5"/>
  <c r="D388" i="5"/>
  <c r="D389" i="5"/>
  <c r="D390" i="5"/>
  <c r="D391" i="5"/>
  <c r="D392" i="5"/>
  <c r="D393" i="5"/>
  <c r="D394" i="5"/>
  <c r="D395" i="5"/>
  <c r="D396" i="5"/>
  <c r="D397" i="5"/>
  <c r="D398" i="5"/>
  <c r="D399" i="5"/>
  <c r="D400" i="5"/>
  <c r="D401" i="5"/>
  <c r="D402" i="5"/>
  <c r="D403" i="5"/>
  <c r="D404" i="5"/>
  <c r="D405" i="5"/>
  <c r="D406" i="5"/>
  <c r="D407" i="5"/>
  <c r="D408" i="5"/>
  <c r="D409" i="5"/>
  <c r="D410" i="5"/>
  <c r="D411" i="5"/>
  <c r="D412" i="5"/>
  <c r="D413" i="5"/>
  <c r="D414" i="5"/>
  <c r="D415" i="5"/>
  <c r="D416" i="5"/>
  <c r="D417" i="5"/>
  <c r="D418" i="5"/>
  <c r="D419" i="5"/>
  <c r="D420" i="5"/>
  <c r="D421" i="5"/>
  <c r="D422" i="5"/>
  <c r="D423" i="5"/>
  <c r="D424" i="5"/>
  <c r="D425" i="5"/>
  <c r="D426" i="5"/>
  <c r="D427" i="5"/>
  <c r="D428" i="5"/>
  <c r="D429" i="5"/>
  <c r="D430" i="5"/>
  <c r="D431" i="5"/>
  <c r="D432" i="5"/>
  <c r="D433" i="5"/>
  <c r="D434" i="5"/>
  <c r="D435" i="5"/>
  <c r="D436" i="5"/>
  <c r="D437" i="5"/>
  <c r="D438" i="5"/>
  <c r="D439" i="5"/>
  <c r="D440" i="5"/>
  <c r="D441" i="5"/>
  <c r="D442" i="5"/>
  <c r="D443" i="5"/>
  <c r="D444" i="5"/>
  <c r="D445" i="5"/>
  <c r="D446" i="5"/>
  <c r="D447" i="5"/>
  <c r="D448" i="5"/>
  <c r="D449" i="5"/>
  <c r="D450" i="5"/>
  <c r="D451" i="5"/>
  <c r="D452" i="5"/>
  <c r="D453" i="5"/>
  <c r="D454" i="5"/>
  <c r="D455" i="5"/>
  <c r="D456" i="5"/>
  <c r="D457" i="5"/>
  <c r="D458" i="5"/>
  <c r="D459" i="5"/>
  <c r="D460" i="5"/>
  <c r="D461" i="5"/>
  <c r="D462" i="5"/>
  <c r="D463" i="5"/>
  <c r="D464" i="5"/>
  <c r="D465" i="5"/>
  <c r="D466" i="5"/>
  <c r="D467" i="5"/>
  <c r="D468" i="5"/>
  <c r="D469" i="5"/>
  <c r="D470" i="5"/>
  <c r="D471" i="5"/>
  <c r="D472" i="5"/>
  <c r="D473" i="5"/>
  <c r="D474" i="5"/>
  <c r="D475" i="5"/>
  <c r="D476" i="5"/>
  <c r="D477" i="5"/>
  <c r="D478" i="5"/>
  <c r="D479" i="5"/>
  <c r="D480" i="5"/>
  <c r="D481" i="5"/>
  <c r="D482" i="5"/>
  <c r="D483" i="5"/>
  <c r="D484" i="5"/>
  <c r="D485" i="5"/>
  <c r="D486" i="5"/>
  <c r="D487" i="5"/>
  <c r="D488" i="5"/>
  <c r="D489" i="5"/>
  <c r="D490" i="5"/>
  <c r="D491" i="5"/>
  <c r="D492" i="5"/>
  <c r="D493" i="5"/>
  <c r="D494" i="5"/>
  <c r="D495" i="5"/>
  <c r="D496" i="5"/>
  <c r="D497" i="5"/>
  <c r="D498" i="5"/>
  <c r="D499" i="5"/>
  <c r="D500" i="5"/>
  <c r="D501" i="5"/>
  <c r="D502" i="5"/>
  <c r="D503" i="5"/>
  <c r="D504" i="5"/>
  <c r="D505" i="5"/>
  <c r="D506" i="5"/>
  <c r="D507" i="5"/>
  <c r="D508" i="5"/>
  <c r="D509" i="5"/>
  <c r="D510" i="5"/>
  <c r="D511" i="5"/>
  <c r="D512" i="5"/>
  <c r="D513" i="5"/>
  <c r="D514" i="5"/>
  <c r="D515" i="5"/>
  <c r="D516" i="5"/>
  <c r="D517" i="5"/>
  <c r="D518" i="5"/>
  <c r="D519" i="5"/>
  <c r="D520" i="5"/>
  <c r="D521" i="5"/>
  <c r="D522" i="5"/>
  <c r="D523" i="5"/>
  <c r="D524" i="5"/>
  <c r="D525" i="5"/>
  <c r="D526" i="5"/>
  <c r="D527" i="5"/>
  <c r="D528" i="5"/>
  <c r="D529" i="5"/>
  <c r="D530" i="5"/>
  <c r="D531" i="5"/>
  <c r="D532" i="5"/>
  <c r="D533" i="5"/>
  <c r="D534" i="5"/>
  <c r="D535" i="5"/>
  <c r="D536" i="5"/>
  <c r="D537" i="5"/>
  <c r="D538" i="5"/>
  <c r="D539" i="5"/>
  <c r="D540" i="5"/>
  <c r="D541" i="5"/>
  <c r="D542" i="5"/>
  <c r="D543" i="5"/>
  <c r="D544" i="5"/>
  <c r="D545" i="5"/>
  <c r="D546" i="5"/>
  <c r="D547" i="5"/>
  <c r="D548" i="5"/>
  <c r="D549" i="5"/>
  <c r="D550" i="5"/>
  <c r="D551" i="5"/>
  <c r="D552" i="5"/>
  <c r="D553" i="5"/>
  <c r="D554" i="5"/>
  <c r="D555" i="5"/>
  <c r="D556" i="5"/>
  <c r="D557" i="5"/>
  <c r="D558" i="5"/>
  <c r="D559" i="5"/>
  <c r="D560" i="5"/>
  <c r="D561" i="5"/>
  <c r="D562" i="5"/>
  <c r="D563" i="5"/>
  <c r="D564" i="5"/>
  <c r="D565" i="5"/>
  <c r="D566" i="5"/>
  <c r="D567" i="5"/>
  <c r="D568" i="5"/>
  <c r="D569" i="5"/>
  <c r="D570" i="5"/>
  <c r="D571" i="5"/>
  <c r="D572" i="5"/>
  <c r="D573" i="5"/>
  <c r="D574" i="5"/>
  <c r="D575" i="5"/>
  <c r="D576" i="5"/>
  <c r="D577" i="5"/>
  <c r="D578" i="5"/>
  <c r="D579" i="5"/>
  <c r="D580" i="5"/>
  <c r="D581" i="5"/>
  <c r="D582" i="5"/>
  <c r="D583" i="5"/>
  <c r="D584" i="5"/>
  <c r="D585" i="5"/>
  <c r="D586" i="5"/>
  <c r="D587" i="5"/>
  <c r="D588" i="5"/>
  <c r="D589" i="5"/>
  <c r="D590" i="5"/>
  <c r="D591" i="5"/>
  <c r="D592" i="5"/>
  <c r="D593" i="5"/>
  <c r="D594" i="5"/>
  <c r="D595" i="5"/>
  <c r="D596" i="5"/>
  <c r="D597" i="5"/>
  <c r="D598" i="5"/>
  <c r="D599" i="5"/>
  <c r="D600" i="5"/>
  <c r="D601" i="5"/>
  <c r="D602" i="5"/>
  <c r="D603" i="5"/>
  <c r="D604" i="5"/>
  <c r="D605" i="5"/>
  <c r="D606" i="5"/>
  <c r="D607" i="5"/>
  <c r="D608" i="5"/>
  <c r="D609" i="5"/>
  <c r="D610" i="5"/>
  <c r="D611" i="5"/>
  <c r="D612" i="5"/>
  <c r="D613" i="5"/>
  <c r="D614" i="5"/>
  <c r="D615" i="5"/>
  <c r="D616" i="5"/>
  <c r="D617" i="5"/>
  <c r="D618" i="5"/>
  <c r="D619" i="5"/>
  <c r="D620" i="5"/>
  <c r="D621" i="5"/>
  <c r="D622" i="5"/>
  <c r="D623" i="5"/>
  <c r="D624" i="5"/>
  <c r="D625" i="5"/>
  <c r="D626" i="5"/>
  <c r="D627" i="5"/>
  <c r="D628" i="5"/>
  <c r="D629" i="5"/>
  <c r="D630" i="5"/>
  <c r="D631" i="5"/>
  <c r="D632" i="5"/>
  <c r="D633" i="5"/>
  <c r="D634" i="5"/>
  <c r="D635" i="5"/>
  <c r="D636" i="5"/>
  <c r="D637" i="5"/>
  <c r="D638" i="5"/>
  <c r="D639" i="5"/>
  <c r="D640" i="5"/>
  <c r="D641" i="5"/>
  <c r="D642" i="5"/>
  <c r="D643" i="5"/>
  <c r="D644" i="5"/>
  <c r="D645" i="5"/>
  <c r="D646" i="5"/>
  <c r="D647" i="5"/>
  <c r="D648" i="5"/>
  <c r="D649" i="5"/>
  <c r="D650" i="5"/>
  <c r="D651" i="5"/>
  <c r="D652" i="5"/>
  <c r="D653" i="5"/>
  <c r="D654" i="5"/>
  <c r="D655" i="5"/>
  <c r="D656" i="5"/>
  <c r="D657" i="5"/>
  <c r="D658" i="5"/>
  <c r="D659" i="5"/>
  <c r="D660" i="5"/>
  <c r="D661" i="5"/>
  <c r="D662" i="5"/>
  <c r="D663" i="5"/>
  <c r="D664" i="5"/>
  <c r="D665" i="5"/>
  <c r="D666" i="5"/>
  <c r="D667" i="5"/>
  <c r="D668" i="5"/>
  <c r="D669" i="5"/>
  <c r="D670" i="5"/>
  <c r="D671" i="5"/>
  <c r="D672" i="5"/>
  <c r="D673" i="5"/>
  <c r="D674" i="5"/>
  <c r="D675" i="5"/>
  <c r="D676" i="5"/>
  <c r="D677" i="5"/>
  <c r="D678" i="5"/>
  <c r="D679" i="5"/>
  <c r="D680" i="5"/>
  <c r="D681" i="5"/>
  <c r="D682" i="5"/>
  <c r="D683" i="5"/>
  <c r="D684" i="5"/>
  <c r="D685" i="5"/>
  <c r="D686" i="5"/>
  <c r="D687" i="5"/>
  <c r="D688" i="5"/>
  <c r="D689" i="5"/>
  <c r="D690" i="5"/>
  <c r="D691" i="5"/>
  <c r="D692" i="5"/>
  <c r="D693" i="5"/>
  <c r="D694" i="5"/>
  <c r="D695" i="5"/>
  <c r="D696" i="5"/>
  <c r="D697" i="5"/>
  <c r="D698" i="5"/>
  <c r="D699" i="5"/>
  <c r="D700" i="5"/>
  <c r="D701" i="5"/>
  <c r="D702" i="5"/>
  <c r="D703" i="5"/>
  <c r="D704" i="5"/>
  <c r="D705" i="5"/>
  <c r="D706" i="5"/>
  <c r="D707" i="5"/>
  <c r="D708" i="5"/>
  <c r="D709" i="5"/>
  <c r="D710" i="5"/>
  <c r="D711" i="5"/>
  <c r="D712" i="5"/>
  <c r="D713" i="5"/>
  <c r="D714" i="5"/>
  <c r="D715" i="5"/>
  <c r="D716" i="5"/>
  <c r="D717" i="5"/>
  <c r="D718" i="5"/>
  <c r="D719" i="5"/>
  <c r="D720" i="5"/>
  <c r="D721" i="5"/>
  <c r="D722" i="5"/>
  <c r="D723" i="5"/>
  <c r="D724" i="5"/>
  <c r="D725" i="5"/>
  <c r="D726" i="5"/>
  <c r="D727" i="5"/>
  <c r="D728" i="5"/>
  <c r="D729" i="5"/>
  <c r="D730" i="5"/>
  <c r="D731" i="5"/>
  <c r="D732" i="5"/>
  <c r="D733" i="5"/>
  <c r="D734" i="5"/>
  <c r="D735" i="5"/>
  <c r="D736" i="5"/>
  <c r="D737" i="5"/>
  <c r="D738" i="5"/>
  <c r="D739" i="5"/>
  <c r="D740" i="5"/>
  <c r="D741" i="5"/>
  <c r="D742" i="5"/>
  <c r="D743" i="5"/>
  <c r="D744" i="5"/>
  <c r="D745" i="5"/>
  <c r="D746" i="5"/>
  <c r="D747" i="5"/>
  <c r="D748" i="5"/>
  <c r="D749" i="5"/>
  <c r="D750" i="5"/>
  <c r="D751" i="5"/>
  <c r="D752" i="5"/>
  <c r="D753" i="5"/>
  <c r="D754" i="5"/>
  <c r="D755" i="5"/>
  <c r="D756" i="5"/>
  <c r="D757" i="5"/>
  <c r="D758" i="5"/>
  <c r="D759" i="5"/>
  <c r="D760" i="5"/>
  <c r="D761" i="5"/>
  <c r="D762" i="5"/>
  <c r="D763" i="5"/>
  <c r="D764" i="5"/>
  <c r="D765" i="5"/>
  <c r="D766" i="5"/>
  <c r="D767" i="5"/>
  <c r="D768" i="5"/>
  <c r="D769" i="5"/>
  <c r="D770" i="5"/>
  <c r="D771" i="5"/>
  <c r="D772" i="5"/>
  <c r="D773" i="5"/>
  <c r="D774" i="5"/>
  <c r="D775" i="5"/>
  <c r="D776" i="5"/>
  <c r="D777" i="5"/>
  <c r="D778" i="5"/>
  <c r="D779" i="5"/>
  <c r="D780" i="5"/>
  <c r="D781" i="5"/>
  <c r="D782" i="5"/>
  <c r="D783" i="5"/>
  <c r="D784" i="5"/>
  <c r="D785" i="5"/>
  <c r="D786" i="5"/>
  <c r="D787" i="5"/>
  <c r="D788" i="5"/>
  <c r="D789" i="5"/>
  <c r="D790" i="5"/>
  <c r="D791" i="5"/>
  <c r="D792" i="5"/>
  <c r="D793" i="5"/>
  <c r="D794" i="5"/>
  <c r="D795" i="5"/>
  <c r="D796" i="5"/>
  <c r="D797" i="5"/>
  <c r="D798" i="5"/>
  <c r="D799" i="5"/>
  <c r="D800" i="5"/>
  <c r="D801" i="5"/>
  <c r="D802" i="5"/>
  <c r="D803" i="5"/>
  <c r="D804" i="5"/>
  <c r="D805" i="5"/>
  <c r="D806" i="5"/>
  <c r="D807" i="5"/>
  <c r="D808" i="5"/>
  <c r="D809" i="5"/>
  <c r="D810" i="5"/>
  <c r="D811" i="5"/>
  <c r="D812" i="5"/>
  <c r="D813" i="5"/>
  <c r="D814" i="5"/>
  <c r="D815" i="5"/>
  <c r="D816" i="5"/>
  <c r="D817" i="5"/>
  <c r="D818" i="5"/>
  <c r="D819" i="5"/>
  <c r="D820" i="5"/>
  <c r="D821" i="5"/>
  <c r="D822" i="5"/>
  <c r="D823" i="5"/>
  <c r="D824" i="5"/>
  <c r="D825" i="5"/>
  <c r="D826" i="5"/>
  <c r="D827" i="5"/>
  <c r="D828" i="5"/>
  <c r="D829" i="5"/>
  <c r="D830" i="5"/>
  <c r="D831" i="5"/>
  <c r="D832" i="5"/>
  <c r="D833" i="5"/>
  <c r="D834" i="5"/>
  <c r="D835" i="5"/>
  <c r="D836" i="5"/>
  <c r="D837" i="5"/>
  <c r="D838" i="5"/>
  <c r="D839" i="5"/>
  <c r="D840" i="5"/>
  <c r="D841" i="5"/>
  <c r="D842" i="5"/>
  <c r="D843" i="5"/>
  <c r="D844" i="5"/>
  <c r="D845" i="5"/>
  <c r="D846" i="5"/>
  <c r="D847" i="5"/>
  <c r="D848" i="5"/>
  <c r="D849" i="5"/>
  <c r="D850" i="5"/>
  <c r="D851" i="5"/>
  <c r="D852" i="5"/>
  <c r="D853" i="5"/>
  <c r="D854" i="5"/>
  <c r="D855" i="5"/>
  <c r="D856" i="5"/>
  <c r="D857" i="5"/>
  <c r="D858" i="5"/>
  <c r="D859" i="5"/>
  <c r="D860" i="5"/>
  <c r="D861" i="5"/>
  <c r="D862" i="5"/>
  <c r="D863" i="5"/>
  <c r="D864" i="5"/>
  <c r="D865" i="5"/>
  <c r="D866" i="5"/>
  <c r="D867" i="5"/>
  <c r="D868" i="5"/>
  <c r="D869" i="5"/>
  <c r="D870" i="5"/>
  <c r="D871" i="5"/>
  <c r="D872" i="5"/>
  <c r="D873" i="5"/>
  <c r="D874" i="5"/>
  <c r="D875" i="5"/>
  <c r="D876" i="5"/>
  <c r="D877" i="5"/>
  <c r="D878" i="5"/>
  <c r="D879" i="5"/>
  <c r="D880" i="5"/>
  <c r="D881" i="5"/>
  <c r="D882" i="5"/>
  <c r="D883" i="5"/>
  <c r="D884" i="5"/>
  <c r="D885" i="5"/>
  <c r="D886" i="5"/>
  <c r="D887" i="5"/>
  <c r="D888" i="5"/>
  <c r="D889" i="5"/>
  <c r="D890" i="5"/>
  <c r="D891" i="5"/>
  <c r="D892" i="5"/>
  <c r="D893" i="5"/>
  <c r="D894" i="5"/>
  <c r="D895" i="5"/>
  <c r="D896" i="5"/>
  <c r="D897" i="5"/>
  <c r="D898" i="5"/>
  <c r="D899" i="5"/>
  <c r="D900" i="5"/>
  <c r="D901" i="5"/>
  <c r="D902" i="5"/>
  <c r="D903" i="5"/>
  <c r="D904" i="5"/>
  <c r="D905" i="5"/>
  <c r="D906" i="5"/>
  <c r="D907" i="5"/>
  <c r="D908" i="5"/>
  <c r="D909" i="5"/>
  <c r="D910" i="5"/>
  <c r="D911" i="5"/>
  <c r="D912" i="5"/>
  <c r="D913" i="5"/>
  <c r="D914" i="5"/>
  <c r="D915" i="5"/>
  <c r="D916" i="5"/>
  <c r="D917" i="5"/>
  <c r="D918" i="5"/>
  <c r="D919" i="5"/>
  <c r="D920" i="5"/>
  <c r="D921" i="5"/>
  <c r="D922" i="5"/>
  <c r="D923" i="5"/>
  <c r="D924" i="5"/>
  <c r="D925" i="5"/>
  <c r="D926" i="5"/>
  <c r="D927" i="5"/>
  <c r="D928" i="5"/>
  <c r="D929" i="5"/>
  <c r="D930" i="5"/>
  <c r="D931" i="5"/>
  <c r="D932" i="5"/>
  <c r="D933" i="5"/>
  <c r="D934" i="5"/>
  <c r="D935" i="5"/>
  <c r="D936" i="5"/>
  <c r="D937" i="5"/>
  <c r="D938" i="5"/>
  <c r="D939" i="5"/>
  <c r="D940" i="5"/>
  <c r="D941" i="5"/>
  <c r="D942" i="5"/>
  <c r="D943" i="5"/>
  <c r="D944" i="5"/>
  <c r="D945" i="5"/>
  <c r="D946" i="5"/>
  <c r="D947" i="5"/>
  <c r="D948" i="5"/>
  <c r="D949" i="5"/>
  <c r="D950" i="5"/>
  <c r="D951" i="5"/>
  <c r="D952" i="5"/>
  <c r="D953" i="5"/>
  <c r="D954" i="5"/>
  <c r="D955" i="5"/>
  <c r="D956" i="5"/>
  <c r="D957" i="5"/>
  <c r="D958" i="5"/>
  <c r="D959" i="5"/>
  <c r="D960" i="5"/>
  <c r="D961" i="5"/>
  <c r="D962" i="5"/>
  <c r="D963" i="5"/>
  <c r="D964" i="5"/>
  <c r="D965" i="5"/>
  <c r="D966" i="5"/>
  <c r="D967" i="5"/>
  <c r="D968" i="5"/>
  <c r="D969" i="5"/>
  <c r="D970" i="5"/>
  <c r="D971" i="5"/>
  <c r="D972" i="5"/>
  <c r="D973" i="5"/>
  <c r="D974" i="5"/>
  <c r="D975" i="5"/>
  <c r="D976" i="5"/>
  <c r="D977" i="5"/>
  <c r="D978" i="5"/>
  <c r="D979" i="5"/>
  <c r="D980" i="5"/>
  <c r="D981" i="5"/>
  <c r="D982" i="5"/>
  <c r="D983" i="5"/>
  <c r="D984" i="5"/>
  <c r="D985" i="5"/>
  <c r="D986" i="5"/>
  <c r="D987" i="5"/>
  <c r="D988" i="5"/>
  <c r="D989" i="5"/>
  <c r="D990" i="5"/>
  <c r="D991" i="5"/>
  <c r="D992" i="5"/>
  <c r="D993" i="5"/>
  <c r="D994" i="5"/>
  <c r="D995" i="5"/>
  <c r="D996" i="5"/>
  <c r="D997" i="5"/>
  <c r="D998" i="5"/>
  <c r="D999" i="5"/>
  <c r="D1000" i="5"/>
  <c r="D1001" i="5"/>
  <c r="D2" i="5"/>
  <c r="O71" i="5" l="1"/>
  <c r="O67" i="5"/>
  <c r="O60" i="5"/>
  <c r="O50" i="5"/>
  <c r="O45" i="5"/>
  <c r="O39" i="5"/>
  <c r="O30" i="5"/>
  <c r="O34" i="5"/>
  <c r="O25" i="5"/>
  <c r="O19" i="5"/>
  <c r="O10" i="5"/>
  <c r="K1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D22DFE8-5E0A-41DF-9B5B-95F3A1D3B67A}"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3F8AFB3D-AA25-4816-8F30-DBB2C4D456D1}" odcFile="C:\Users\Neha\OneDrive\Documents\My Data Sources\Query - Merge1.odc" keepAlive="1" name="Query - Merge1" description="Connection to the 'Merge1' query in the workbook." type="5" refreshedVersion="8" background="1" saveData="1">
    <dbPr connection="Provider=Microsoft.Mashup.OleDb.1;Data Source=$Workbook$;Location=Merge1;Extended Properties=&quot;&quot;" command="SELECT * FROM [Merge1]"/>
  </connection>
  <connection id="3" xr16:uid="{7CE9B2CA-2F51-4296-B875-40C084641527}"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4" xr16:uid="{D9404EE1-8263-4F46-9031-81255E01DA20}" keepAlive="1" name="Query - Table2" description="Connection to the 'Table2' query in the workbook." type="5" refreshedVersion="0" background="1">
    <dbPr connection="Provider=Microsoft.Mashup.OleDb.1;Data Source=$Workbook$;Location=Table2;Extended Properties=&quot;&quot;" command="SELECT * FROM [Table2]"/>
  </connection>
  <connection id="5" xr16:uid="{AB4CE080-349F-4E08-A229-2D524A9C42D7}"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<sst xmlns="http://schemas.openxmlformats.org/spreadsheetml/2006/main" count="304" uniqueCount="169">
  <si>
    <t>instant</t>
  </si>
  <si>
    <t>dteday</t>
  </si>
  <si>
    <t>season</t>
  </si>
  <si>
    <t>yr</t>
  </si>
  <si>
    <t>mnth</t>
  </si>
  <si>
    <t>hr</t>
  </si>
  <si>
    <t>holiday</t>
  </si>
  <si>
    <t>weekday</t>
  </si>
  <si>
    <t>weathersit</t>
  </si>
  <si>
    <t>temp</t>
  </si>
  <si>
    <t>Unnamed: 0</t>
  </si>
  <si>
    <t>atemp</t>
  </si>
  <si>
    <t>hum</t>
  </si>
  <si>
    <t>windspeed</t>
  </si>
  <si>
    <t>casual</t>
  </si>
  <si>
    <t>registered</t>
  </si>
  <si>
    <t>cnt</t>
  </si>
  <si>
    <t>Month name</t>
  </si>
  <si>
    <t>Holiday band</t>
  </si>
  <si>
    <t>Weekdays</t>
  </si>
  <si>
    <t>day part</t>
  </si>
  <si>
    <t xml:space="preserve">mean of casual </t>
  </si>
  <si>
    <t>st dav of casual</t>
  </si>
  <si>
    <t>Mean of registered</t>
  </si>
  <si>
    <t>st dav of registered</t>
  </si>
  <si>
    <t>Weather sit band</t>
  </si>
  <si>
    <t>Z-score for casual</t>
  </si>
  <si>
    <t>casual mean</t>
  </si>
  <si>
    <t>casual sd</t>
  </si>
  <si>
    <t>reg mean</t>
  </si>
  <si>
    <t>reg sd</t>
  </si>
  <si>
    <t>Zscore for reg.</t>
  </si>
  <si>
    <t>Anomaly flag for casual</t>
  </si>
  <si>
    <t>Anomaly flag for reg.</t>
  </si>
  <si>
    <t>temp vs casual</t>
  </si>
  <si>
    <t>temp vs registered</t>
  </si>
  <si>
    <t>casual vs registered</t>
  </si>
  <si>
    <t>Variable Pair</t>
  </si>
  <si>
    <t>Correlation Value</t>
  </si>
  <si>
    <t>Interpretation</t>
  </si>
  <si>
    <t>Temperature vs Casual</t>
  </si>
  <si>
    <t>Moderate positive correlation — warmer days tend to have more casual rentals</t>
  </si>
  <si>
    <t>Temperature vs Registered</t>
  </si>
  <si>
    <t>Weak positive correlation — registered users are less influenced by temperature</t>
  </si>
  <si>
    <t>Casual vs Registered</t>
  </si>
  <si>
    <t>Mild positive correlation — some overlap in behavior, but not strongly linked</t>
  </si>
  <si>
    <t>Max casual</t>
  </si>
  <si>
    <t>Min casual</t>
  </si>
  <si>
    <t xml:space="preserve">Min reg </t>
  </si>
  <si>
    <t>Max reg</t>
  </si>
  <si>
    <t>Sum of casual</t>
  </si>
  <si>
    <t>Sum of registered</t>
  </si>
  <si>
    <t>Row Labels</t>
  </si>
  <si>
    <t>Grand Total</t>
  </si>
  <si>
    <t>january</t>
  </si>
  <si>
    <t>Night</t>
  </si>
  <si>
    <t>Saturday</t>
  </si>
  <si>
    <t>Partly cloudy</t>
  </si>
  <si>
    <t>Early Morning</t>
  </si>
  <si>
    <t>Cloudy</t>
  </si>
  <si>
    <t>Morning</t>
  </si>
  <si>
    <t>Afternoon</t>
  </si>
  <si>
    <t>Evening</t>
  </si>
  <si>
    <t>Light rain</t>
  </si>
  <si>
    <t>Sunday</t>
  </si>
  <si>
    <t>Monday</t>
  </si>
  <si>
    <t>Tuesday</t>
  </si>
  <si>
    <t>Wednesday</t>
  </si>
  <si>
    <t>Thursday</t>
  </si>
  <si>
    <t>Friday</t>
  </si>
  <si>
    <t>Heavy rain</t>
  </si>
  <si>
    <t>february</t>
  </si>
  <si>
    <t>Sum of cnt</t>
  </si>
  <si>
    <t>Weekend/weekday</t>
  </si>
  <si>
    <t>Average of cnt</t>
  </si>
  <si>
    <t>Column Labels</t>
  </si>
  <si>
    <t>Heat map with average numbers</t>
  </si>
  <si>
    <t>Count of Anomaly flag for casual</t>
  </si>
  <si>
    <t>Count of Anomaly flag for reg.</t>
  </si>
  <si>
    <t>(All)</t>
  </si>
  <si>
    <t xml:space="preserve"> Conversion rate</t>
  </si>
  <si>
    <t>Forecast(casual)</t>
  </si>
  <si>
    <t>Lower Confidence Bound(casual)</t>
  </si>
  <si>
    <t>Upper Confidence Bound(casual)</t>
  </si>
  <si>
    <t>Forecast(registered)</t>
  </si>
  <si>
    <t>Lower Confidence Bound(registered)</t>
  </si>
  <si>
    <t>Upper Confidence Bound(registered)</t>
  </si>
  <si>
    <t>Range</t>
  </si>
  <si>
    <t>Forecast(cnt)</t>
  </si>
  <si>
    <t>Lower Confidence Bound(cnt)</t>
  </si>
  <si>
    <t>Upper Confidence Bound(cnt)</t>
  </si>
  <si>
    <t>Range band</t>
  </si>
  <si>
    <t>Range Band</t>
  </si>
  <si>
    <t>Registered Forecast</t>
  </si>
  <si>
    <t xml:space="preserve">Casual Forecast </t>
  </si>
  <si>
    <t>Forecast Casual</t>
  </si>
  <si>
    <t xml:space="preserve">Formulas - </t>
  </si>
  <si>
    <t>Correleation</t>
  </si>
  <si>
    <t>Forecast Comparison between - Registered/Casual/Count</t>
  </si>
  <si>
    <t>Correlation Table</t>
  </si>
  <si>
    <t>Day part Impact on User Type</t>
  </si>
  <si>
    <t xml:space="preserve">Weekdays Impact on user type </t>
  </si>
  <si>
    <t xml:space="preserve">Weather Impact on user type </t>
  </si>
  <si>
    <t xml:space="preserve">Holiday Impact on user type </t>
  </si>
  <si>
    <t xml:space="preserve">Weekend Impact on user type </t>
  </si>
  <si>
    <t xml:space="preserve">Month Impact on user type </t>
  </si>
  <si>
    <t>Hr Impact on Total count</t>
  </si>
  <si>
    <t>Hr Impact on user type</t>
  </si>
  <si>
    <t>📊 Forecast Insights (Feb 15–28, 2011)</t>
  </si>
  <si>
    <t>Category</t>
  </si>
  <si>
    <t>Key Insight</t>
  </si>
  <si>
    <t>Registered users</t>
  </si>
  <si>
    <t>Numbers rise on weekdays, peak around Feb 24, and dip on weekends.</t>
  </si>
  <si>
    <t>Casual users</t>
  </si>
  <si>
    <t>Stay low during weekdays but spike on weekends (Feb 19–20, 26–27).</t>
  </si>
  <si>
    <t>Total rentals</t>
  </si>
  <si>
    <t>Overall rentals steadily increase across the period, showing growing demand.</t>
  </si>
  <si>
    <t>🚲 Weather Impact on Bike Rentals</t>
  </si>
  <si>
    <t>Weather Condition</t>
  </si>
  <si>
    <t>Effect on Rentals</t>
  </si>
  <si>
    <t>Best days for bike rentals. Most people—both regular and casual—ride.</t>
  </si>
  <si>
    <t>Okay days. Fewer riders compared to partly cloudy, but still a decent number.</t>
  </si>
  <si>
    <t>Rentals drop a lot. People ride much less.</t>
  </si>
  <si>
    <t>Worst condition. Almost nobody rents bikes when it’s pouring.</t>
  </si>
  <si>
    <t>📅 Monthly Rental Comparison</t>
  </si>
  <si>
    <t>Month</t>
  </si>
  <si>
    <t>Simple Insight</t>
  </si>
  <si>
    <t>January</t>
  </si>
  <si>
    <t>Nearly double the rentals compared to February.</t>
  </si>
  <si>
    <t>February</t>
  </si>
  <si>
    <t>Lower rentals—possibly due to weather, holidays, or fewer working days.</t>
  </si>
  <si>
    <t>🚲 When do people ride bikes?</t>
  </si>
  <si>
    <t>Time of Day</t>
  </si>
  <si>
    <t>What’s happening?</t>
  </si>
  <si>
    <t>This is the busiest time. Lots of people ride—both regular and casual users.</t>
  </si>
  <si>
    <t>Regular users ride a lot (probably going to work). Casual users ride a little.</t>
  </si>
  <si>
    <t>Regular users ride the most (likely heading home). Casual users are active too.</t>
  </si>
  <si>
    <t>Very few people ride. Mostly regular users.</t>
  </si>
  <si>
    <t>Not many rides. It’s quiet—most people don’t rent bikes late at night.</t>
  </si>
  <si>
    <t>📅 Weekday Bike Usage Summary</t>
  </si>
  <si>
    <t>Day</t>
  </si>
  <si>
    <t>Casual users ride the most. It’s a weekend, so people go out for fun.</t>
  </si>
  <si>
    <t>Monday–Thursday</t>
  </si>
  <si>
    <t>Registered users ride a lot. These are workdays, so regular commuters are active.</t>
  </si>
  <si>
    <t>Registered users peak—maybe people finishing the workweek or going out.</t>
  </si>
  <si>
    <t>Casual users are active again—weekend fun rides. Registered users drop a bit.</t>
  </si>
  <si>
    <t>0 = No holiday , 1 = Holiday</t>
  </si>
  <si>
    <t>🎉 Holiday vs Non-Holiday Bike Usage</t>
  </si>
  <si>
    <t>Day Type</t>
  </si>
  <si>
    <t>Non-Holiday</t>
  </si>
  <si>
    <t>Most people ride on regular days—especially registered users.</t>
  </si>
  <si>
    <t>Holiday</t>
  </si>
  <si>
    <t>Very few people ride on holidays—both casual and regular users.</t>
  </si>
  <si>
    <t>1 = Weekend , 0 = Weekdays</t>
  </si>
  <si>
    <t>🌟 Weekday vs Weekend Insights</t>
  </si>
  <si>
    <t>Strong for building loyal users—regular riders commute often.</t>
  </si>
  <si>
    <t>Weekends</t>
  </si>
  <si>
    <t>Casual riders are active for fun trips, but few become regular users.</t>
  </si>
  <si>
    <t>⏰ Simple Peak Hour Insights</t>
  </si>
  <si>
    <t>Time Range</t>
  </si>
  <si>
    <t>What happens?</t>
  </si>
  <si>
    <t>8–9 AM</t>
  </si>
  <si>
    <t>Regular users ride the most—going to work.</t>
  </si>
  <si>
    <t>1–4 PM</t>
  </si>
  <si>
    <t>Casual users ride more—fun or short trips.</t>
  </si>
  <si>
    <t>5–6 PM</t>
  </si>
  <si>
    <t>Regular users peak again—coming back from work.</t>
  </si>
  <si>
    <t>Peak Hr analysis with the help of anomaly flag</t>
  </si>
  <si>
    <t>Weather imapact 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</si>
</sst>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2" x14ac:knownFonts="1">
    <font>
      <sz val="10"/>
      <color rgb="FF000000"/>
      <name val="Arial"/>
      <scheme val="minor"/>
    </font>
    <font>
      <sz val="10"/>
      <color theme="1"/>
      <name val="Arial"/>
      <scheme val="minor"/>
    </font>
    <font>
      <sz val="11"/>
      <color theme="1"/>
      <name val="Arial"/>
      <scheme val="minor"/>
    </font>
    <font>
      <b/>
      <sz val="10"/>
      <color rgb="FF000000"/>
      <name val="Arial"/>
      <scheme val="minor"/>
    </font>
    <font>
      <sz val="10"/>
      <color rgb="FF000000"/>
      <name val="Arial"/>
      <family val="2"/>
      <scheme val="minor"/>
    </font>
    <font>
      <b/>
      <sz val="10"/>
      <color theme="0"/>
      <name val="Arial"/>
      <scheme val="minor"/>
    </font>
    <font>
      <sz val="10"/>
      <color theme="3"/>
      <name val="Arial"/>
      <family val="2"/>
      <scheme val="minor"/>
    </font>
    <font>
      <b/>
      <sz val="10"/>
      <color rgb="FF000000"/>
      <name val="Arial"/>
      <family val="2"/>
      <scheme val="minor"/>
    </font>
    <font>
      <b/>
      <sz val="13.5"/>
      <color rgb="FF000000"/>
      <name val="Arial"/>
      <scheme val="minor"/>
    </font>
    <font>
      <b/>
      <sz val="14"/>
      <color rgb="FF000000"/>
      <name val="Arial"/>
      <family val="2"/>
      <scheme val="minor"/>
    </font>
    <font>
      <sz val="14"/>
      <color rgb="FF000000"/>
      <name val="Arial"/>
      <family val="2"/>
      <scheme val="minor"/>
    </font>
    <font>
      <b/>
      <sz val="13.5"/>
      <color rgb="FF000000"/>
      <name val="Arial"/>
      <family val="2"/>
      <scheme val="minor"/>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theme="7" tint="0.59999389629810485"/>
        <bgColor indexed="64"/>
      </patternFill>
    </fill>
    <fill>
      <patternFill patternType="solid">
        <fgColor rgb="FFFFC000"/>
        <bgColor indexed="64"/>
      </patternFill>
    </fill>
    <fill>
      <patternFill patternType="solid">
        <fgColor theme="5"/>
        <bgColor indexed="64"/>
      </patternFill>
    </fill>
    <fill>
      <patternFill patternType="solid">
        <fgColor rgb="FFFFFF00"/>
        <bgColor indexed="64"/>
      </patternFill>
    </fill>
    <fill>
      <patternFill patternType="solid">
        <fgColor theme="7"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s>
  <cellStyleXfs count="1">
    <xf numFmtId="0" fontId="0" fillId="0" borderId="0"/>
  </cellStyleXfs>
  <cellXfs count="71">
    <xf numFmtId="0" fontId="0" fillId="0" borderId="0" xfId="0"/>
    <xf numFmtId="0" fontId="1" fillId="0" borderId="0" xfId="0" applyFont="1"/>
    <xf numFmtId="164" fontId="1" fillId="0" borderId="0" xfId="0" applyNumberFormat="1" applyFont="1"/>
    <xf numFmtId="0" fontId="2" fillId="0" borderId="0" xfId="0" applyFont="1"/>
    <xf numFmtId="22" fontId="0" fillId="0" borderId="0" xfId="0" applyNumberFormat="1"/>
    <xf numFmtId="2" fontId="0" fillId="0" borderId="0" xfId="0" applyNumberFormat="1"/>
    <xf numFmtId="0" fontId="0" fillId="0" borderId="0" xfId="0" applyAlignment="1">
      <alignment horizontal="center"/>
    </xf>
    <xf numFmtId="14" fontId="0" fillId="0" borderId="0" xfId="0" applyNumberFormat="1" applyAlignment="1">
      <alignment horizontal="center"/>
    </xf>
    <xf numFmtId="2" fontId="0" fillId="0" borderId="0" xfId="0" applyNumberFormat="1" applyAlignment="1">
      <alignment horizontal="center"/>
    </xf>
    <xf numFmtId="0" fontId="3" fillId="0" borderId="0" xfId="0" applyFont="1" applyAlignment="1">
      <alignment horizontal="center" vertical="center"/>
    </xf>
    <xf numFmtId="0" fontId="0" fillId="0" borderId="0" xfId="0" applyAlignment="1">
      <alignment horizontal="center" vertical="center"/>
    </xf>
    <xf numFmtId="0" fontId="4" fillId="0" borderId="0" xfId="0" applyFont="1"/>
    <xf numFmtId="0" fontId="0" fillId="0" borderId="0" xfId="0" pivotButton="1"/>
    <xf numFmtId="0" fontId="0" fillId="0" borderId="0" xfId="0" applyAlignment="1">
      <alignment horizontal="left"/>
    </xf>
    <xf numFmtId="1" fontId="0" fillId="0" borderId="0" xfId="0" applyNumberFormat="1"/>
    <xf numFmtId="14" fontId="0" fillId="0" borderId="0" xfId="0" applyNumberFormat="1"/>
    <xf numFmtId="2" fontId="1" fillId="0" borderId="4" xfId="0" applyNumberFormat="1" applyFont="1" applyBorder="1" applyAlignment="1">
      <alignment horizontal="center"/>
    </xf>
    <xf numFmtId="2" fontId="1" fillId="2" borderId="4" xfId="0" applyNumberFormat="1" applyFont="1" applyFill="1" applyBorder="1" applyAlignment="1">
      <alignment horizontal="center"/>
    </xf>
    <xf numFmtId="14" fontId="1" fillId="2" borderId="4" xfId="0" applyNumberFormat="1" applyFont="1" applyFill="1" applyBorder="1"/>
    <xf numFmtId="0" fontId="5" fillId="3" borderId="5" xfId="0" applyFont="1" applyFill="1" applyBorder="1"/>
    <xf numFmtId="0" fontId="5" fillId="3" borderId="3" xfId="0" applyFont="1" applyFill="1" applyBorder="1"/>
    <xf numFmtId="0" fontId="5" fillId="3" borderId="3" xfId="0" applyFont="1" applyFill="1" applyBorder="1" applyAlignment="1">
      <alignment horizontal="center"/>
    </xf>
    <xf numFmtId="2" fontId="5" fillId="3" borderId="3" xfId="0" applyNumberFormat="1" applyFont="1" applyFill="1" applyBorder="1" applyAlignment="1">
      <alignment horizontal="center"/>
    </xf>
    <xf numFmtId="2" fontId="5" fillId="3" borderId="6" xfId="0" applyNumberFormat="1" applyFont="1" applyFill="1" applyBorder="1" applyAlignment="1">
      <alignment horizontal="center"/>
    </xf>
    <xf numFmtId="2" fontId="5" fillId="3" borderId="3" xfId="0" applyNumberFormat="1" applyFont="1" applyFill="1" applyBorder="1"/>
    <xf numFmtId="2" fontId="1" fillId="2" borderId="4" xfId="0" applyNumberFormat="1" applyFont="1" applyFill="1" applyBorder="1"/>
    <xf numFmtId="2" fontId="1" fillId="0" borderId="4" xfId="0" applyNumberFormat="1" applyFont="1" applyBorder="1"/>
    <xf numFmtId="14" fontId="1" fillId="0" borderId="4" xfId="0" applyNumberFormat="1" applyFont="1" applyBorder="1"/>
    <xf numFmtId="14" fontId="1" fillId="0" borderId="2" xfId="0" applyNumberFormat="1" applyFont="1" applyBorder="1"/>
    <xf numFmtId="2" fontId="1" fillId="0" borderId="2" xfId="0" applyNumberFormat="1" applyFont="1" applyBorder="1"/>
    <xf numFmtId="2" fontId="1" fillId="0" borderId="2" xfId="0" applyNumberFormat="1" applyFont="1" applyBorder="1" applyAlignment="1">
      <alignment horizontal="center"/>
    </xf>
    <xf numFmtId="0" fontId="7" fillId="0" borderId="0" xfId="0" applyFont="1" applyAlignment="1">
      <alignment horizontal="center" vertical="center"/>
    </xf>
    <xf numFmtId="0" fontId="0" fillId="0" borderId="1" xfId="0" applyBorder="1"/>
    <xf numFmtId="2" fontId="0" fillId="0" borderId="1" xfId="0" applyNumberFormat="1" applyBorder="1"/>
    <xf numFmtId="0" fontId="4" fillId="0" borderId="1" xfId="0" applyFont="1" applyBorder="1"/>
    <xf numFmtId="0" fontId="4" fillId="6" borderId="0" xfId="0" applyFont="1" applyFill="1"/>
    <xf numFmtId="0" fontId="0" fillId="4" borderId="0" xfId="0" applyFill="1" applyAlignment="1">
      <alignment horizontal="center"/>
    </xf>
    <xf numFmtId="0" fontId="6" fillId="5" borderId="0" xfId="0" applyFont="1" applyFill="1" applyAlignment="1">
      <alignment horizontal="center"/>
    </xf>
    <xf numFmtId="0" fontId="4" fillId="5" borderId="0" xfId="0" applyFont="1" applyFill="1" applyAlignment="1">
      <alignment horizontal="center"/>
    </xf>
    <xf numFmtId="0" fontId="0" fillId="0" borderId="0" xfId="0" applyAlignment="1">
      <alignment vertical="center" wrapText="1"/>
    </xf>
    <xf numFmtId="0" fontId="3" fillId="0" borderId="1" xfId="0" applyFont="1" applyBorder="1" applyAlignment="1">
      <alignment horizontal="center" vertical="center"/>
    </xf>
    <xf numFmtId="0" fontId="3" fillId="0" borderId="1" xfId="0" applyFont="1" applyBorder="1" applyAlignment="1">
      <alignment vertical="center"/>
    </xf>
    <xf numFmtId="0" fontId="0" fillId="0" borderId="1" xfId="0" applyBorder="1" applyAlignment="1">
      <alignment vertical="center" wrapText="1"/>
    </xf>
    <xf numFmtId="0" fontId="0" fillId="0" borderId="0" xfId="0" applyBorder="1" applyAlignment="1">
      <alignment horizontal="center"/>
    </xf>
    <xf numFmtId="0" fontId="3" fillId="0" borderId="1" xfId="0" applyFont="1" applyBorder="1" applyAlignment="1">
      <alignment vertical="center" wrapText="1"/>
    </xf>
    <xf numFmtId="0" fontId="8" fillId="7" borderId="0" xfId="0" applyFont="1" applyFill="1" applyAlignment="1">
      <alignment horizontal="left" vertical="center"/>
    </xf>
    <xf numFmtId="0" fontId="0" fillId="0" borderId="0" xfId="0" applyAlignment="1">
      <alignment wrapText="1"/>
    </xf>
    <xf numFmtId="0" fontId="0" fillId="7" borderId="0" xfId="0" applyFill="1"/>
    <xf numFmtId="0" fontId="8" fillId="7" borderId="0" xfId="0" applyFont="1" applyFill="1" applyAlignment="1">
      <alignment vertical="center"/>
    </xf>
    <xf numFmtId="0" fontId="3" fillId="0" borderId="1" xfId="0" applyFont="1" applyBorder="1" applyAlignment="1">
      <alignment horizontal="center" vertical="center" wrapText="1"/>
    </xf>
    <xf numFmtId="0" fontId="9" fillId="7" borderId="0" xfId="0" applyFont="1" applyFill="1"/>
    <xf numFmtId="0" fontId="0" fillId="0" borderId="0" xfId="0" applyAlignment="1">
      <alignment horizontal="left" vertical="center"/>
    </xf>
    <xf numFmtId="0" fontId="10" fillId="7" borderId="0" xfId="0" applyFont="1" applyFill="1"/>
    <xf numFmtId="0" fontId="9" fillId="7" borderId="0" xfId="0" applyFont="1" applyFill="1" applyAlignment="1"/>
    <xf numFmtId="0" fontId="4" fillId="0" borderId="0" xfId="0" applyFont="1" applyAlignment="1">
      <alignment vertical="center" wrapText="1"/>
    </xf>
    <xf numFmtId="0" fontId="7" fillId="0" borderId="0" xfId="0" applyFont="1" applyAlignment="1">
      <alignment horizontal="center" vertical="center" wrapText="1"/>
    </xf>
    <xf numFmtId="0" fontId="11" fillId="7" borderId="0" xfId="0" applyFont="1" applyFill="1" applyAlignment="1">
      <alignment horizontal="center" vertical="center" wrapText="1"/>
    </xf>
    <xf numFmtId="3" fontId="4" fillId="0" borderId="0" xfId="0" applyNumberFormat="1" applyFont="1" applyAlignment="1">
      <alignment vertical="center" wrapText="1"/>
    </xf>
    <xf numFmtId="0" fontId="7" fillId="0" borderId="1" xfId="0" applyFont="1" applyBorder="1" applyAlignment="1">
      <alignment horizontal="center" vertical="center" wrapText="1"/>
    </xf>
    <xf numFmtId="0" fontId="7" fillId="0" borderId="1" xfId="0" applyFont="1" applyBorder="1" applyAlignment="1">
      <alignment vertical="center"/>
    </xf>
    <xf numFmtId="0" fontId="4" fillId="0" borderId="1" xfId="0" applyFont="1" applyBorder="1" applyAlignment="1">
      <alignment vertical="center" wrapText="1"/>
    </xf>
    <xf numFmtId="0" fontId="7" fillId="0" borderId="1" xfId="0" applyFont="1" applyBorder="1" applyAlignment="1">
      <alignment vertical="center" wrapText="1"/>
    </xf>
    <xf numFmtId="0" fontId="9" fillId="7" borderId="0" xfId="0" applyFont="1" applyFill="1" applyAlignment="1">
      <alignment horizontal="left" vertical="center"/>
    </xf>
    <xf numFmtId="0" fontId="9" fillId="7" borderId="0" xfId="0" applyFont="1" applyFill="1" applyAlignment="1">
      <alignment horizontal="center"/>
    </xf>
    <xf numFmtId="0" fontId="9" fillId="8" borderId="0" xfId="0" applyFont="1" applyFill="1" applyAlignment="1">
      <alignment horizontal="center"/>
    </xf>
    <xf numFmtId="0" fontId="9" fillId="7" borderId="0" xfId="0" applyFont="1" applyFill="1" applyAlignment="1">
      <alignment horizontal="center" vertical="center"/>
    </xf>
    <xf numFmtId="0" fontId="0" fillId="0" borderId="0" xfId="0" pivotButton="1" applyAlignment="1">
      <alignment wrapText="1"/>
    </xf>
    <xf numFmtId="0" fontId="0" fillId="0" borderId="0" xfId="0" pivotButton="1" applyAlignment="1">
      <alignment horizontal="center" vertical="center"/>
    </xf>
    <xf numFmtId="2" fontId="0" fillId="0" borderId="0" xfId="0" applyNumberFormat="1" applyAlignment="1">
      <alignment horizontal="center" vertical="center"/>
    </xf>
    <xf numFmtId="0" fontId="0" fillId="0" borderId="0" xfId="0" applyNumberFormat="1"/>
    <xf numFmtId="0" fontId="0" fillId="7" borderId="0" xfId="0" applyFill="1" applyAlignment="1">
      <alignment horizontal="left" vertical="center"/>
    </xf>
  </cellXfs>
  <cellStyles count="1">
    <cellStyle name="Normal" xfId="0" builtinId="0"/>
  </cellStyles>
  <dxfs count="136">
    <dxf>
      <font>
        <color rgb="FF006100"/>
      </font>
      <fill>
        <patternFill>
          <bgColor rgb="FFC6EFCE"/>
        </patternFill>
      </fill>
    </dxf>
    <dxf>
      <fill>
        <patternFill>
          <bgColor rgb="FFC00000"/>
        </patternFill>
      </fill>
    </dxf>
    <dxf>
      <font>
        <color rgb="FF006100"/>
      </font>
      <fill>
        <patternFill>
          <bgColor rgb="FFC6EFCE"/>
        </patternFill>
      </fill>
    </dxf>
    <dxf>
      <font>
        <color rgb="FF9C5700"/>
      </font>
      <fill>
        <patternFill>
          <bgColor rgb="FFFFEB9C"/>
        </patternFill>
      </fill>
    </dxf>
    <dxf>
      <fill>
        <patternFill>
          <bgColor theme="5" tint="-0.24994659260841701"/>
        </patternFill>
      </fill>
    </dxf>
    <dxf>
      <font>
        <color theme="0"/>
      </font>
      <fill>
        <gradientFill degree="90">
          <stop position="0">
            <color theme="1" tint="5.0965910824915313E-2"/>
          </stop>
          <stop position="1">
            <color theme="4"/>
          </stop>
        </gradientFill>
      </fill>
    </dxf>
    <dxf>
      <font>
        <color theme="2"/>
      </font>
      <fill>
        <gradientFill degree="90">
          <stop position="0">
            <color theme="7" tint="0.59999389629810485"/>
          </stop>
          <stop position="1">
            <color rgb="FFCC99FF"/>
          </stop>
        </gradientFill>
      </fill>
    </dxf>
    <dxf>
      <numFmt numFmtId="2" formatCode="0.00"/>
    </dxf>
    <dxf>
      <numFmt numFmtId="1" formatCode="0"/>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numFmt numFmtId="2" formatCode="0.00"/>
    </dxf>
    <dxf>
      <numFmt numFmtId="2" formatCode="0.00"/>
    </dxf>
    <dxf>
      <numFmt numFmtId="2" formatCode="0.00"/>
    </dxf>
    <dxf>
      <numFmt numFmtId="2" formatCode="0.00"/>
    </dxf>
    <dxf>
      <numFmt numFmtId="2" formatCode="0.00"/>
    </dxf>
    <dxf>
      <alignment horizontal="center" vertical="center" textRotation="0" wrapText="0" indent="0" justifyLastLine="0" shrinkToFit="0" readingOrder="0"/>
    </dxf>
    <dxf>
      <font>
        <b/>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theme="1"/>
        <name val="Arial"/>
        <scheme val="minor"/>
      </font>
      <numFmt numFmtId="2" formatCode="0.0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minor"/>
      </font>
      <numFmt numFmtId="2" formatCode="0.00"/>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minor"/>
      </font>
      <numFmt numFmtId="2" formatCode="0.00"/>
      <alignment horizontal="general"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minor"/>
      </font>
      <numFmt numFmtId="19" formatCode="m/d/yyyy"/>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left style="thin">
          <color theme="4" tint="0.39997558519241921"/>
        </left>
        <top style="thin">
          <color theme="4" tint="0.39997558519241921"/>
        </top>
        <bottom style="thin">
          <color theme="4" tint="0.39997558519241921"/>
        </bottom>
      </border>
    </dxf>
    <dxf>
      <border outline="0">
        <bottom style="thin">
          <color theme="4" tint="0.39997558519241921"/>
        </bottom>
      </border>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9" formatCode="m/d/yyyy"/>
    </dxf>
    <dxf>
      <border outline="0">
        <top style="thin">
          <color theme="4" tint="0.39997558519241921"/>
        </top>
      </border>
    </dxf>
    <dxf>
      <border outline="0">
        <bottom style="thin">
          <color theme="4" tint="0.39997558519241921"/>
        </bottom>
      </border>
    </dxf>
    <dxf>
      <font>
        <b/>
        <i val="0"/>
        <strike val="0"/>
        <condense val="0"/>
        <extend val="0"/>
        <outline val="0"/>
        <shadow val="0"/>
        <u val="none"/>
        <vertAlign val="baseline"/>
        <sz val="10"/>
        <color theme="0"/>
        <name val="Arial"/>
        <scheme val="minor"/>
      </font>
      <fill>
        <patternFill patternType="solid">
          <fgColor theme="4"/>
          <bgColor theme="4"/>
        </patternFill>
      </fill>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19" formatCode="m/d/yyyy"/>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2" formatCode="0.00"/>
      <alignment horizontal="general" vertical="bottom" textRotation="0" wrapText="0" indent="0" justifyLastLine="0" shrinkToFit="0" readingOrder="0"/>
    </dxf>
    <dxf>
      <numFmt numFmtId="19" formatCode="m/d/yy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fill>
        <patternFill patternType="none">
          <fgColor indexed="64"/>
          <bgColor auto="1"/>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2" formatCode="0.00"/>
    </dxf>
    <dxf>
      <numFmt numFmtId="2" formatCode="0.00"/>
    </dxf>
    <dxf>
      <numFmt numFmtId="19" formatCode="m/d/yyyy"/>
    </dxf>
    <dxf>
      <numFmt numFmtId="2" formatCode="0.00"/>
    </dxf>
    <dxf>
      <numFmt numFmtId="2" formatCode="0.00"/>
    </dxf>
    <dxf>
      <numFmt numFmtId="19" formatCode="m/d/yyyy"/>
    </dxf>
    <dxf>
      <numFmt numFmtId="2" formatCode="0.00"/>
    </dxf>
    <dxf>
      <numFmt numFmtId="2" formatCode="0.00"/>
    </dxf>
    <dxf>
      <numFmt numFmtId="19" formatCode="m/d/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dd\-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numFmt numFmtId="27" formatCode="m/d/yyyy\ h:mm"/>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1"/>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numFmt numFmtId="164" formatCode="dd\-mm\-yyyy"/>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s>
  <tableStyles count="0" defaultTableStyle="TableStyleMedium2" defaultPivotStyle="PivotStyleLight16"/>
  <colors>
    <mruColors>
      <color rgb="FFF73F7C"/>
      <color rgb="FFBD4F79"/>
      <color rgb="FF47D17C"/>
      <color rgb="FF2C382C"/>
      <color rgb="FFCC0066"/>
      <color rgb="FFCC99FF"/>
      <color rgb="FF99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26" Type="http://schemas.openxmlformats.org/officeDocument/2006/relationships/calcChain" Target="calcChain.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5" Type="http://schemas.openxmlformats.org/officeDocument/2006/relationships/sharedStrings" Target="sharedString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onnections" Target="connections.xml"/><Relationship Id="rId10" Type="http://schemas.openxmlformats.org/officeDocument/2006/relationships/worksheet" Target="worksheets/sheet10.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theme" Target="theme/theme1.xml"/><Relationship Id="rId27"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Sheet10!$B$1</c:f>
              <c:strCache>
                <c:ptCount val="1"/>
                <c:pt idx="0">
                  <c:v>casual</c:v>
                </c:pt>
              </c:strCache>
            </c:strRef>
          </c:tx>
          <c:spPr>
            <a:ln w="28575" cap="rnd">
              <a:solidFill>
                <a:schemeClr val="accent1"/>
              </a:solidFill>
              <a:round/>
            </a:ln>
            <a:effectLst/>
          </c:spPr>
          <c:marker>
            <c:symbol val="none"/>
          </c:marker>
          <c:val>
            <c:numRef>
              <c:f>Sheet10!$B$2:$B$60</c:f>
              <c:numCache>
                <c:formatCode>General</c:formatCode>
                <c:ptCount val="59"/>
                <c:pt idx="0">
                  <c:v>13.791666666666666</c:v>
                </c:pt>
                <c:pt idx="1">
                  <c:v>5.6956521739130439</c:v>
                </c:pt>
                <c:pt idx="2">
                  <c:v>5.4545454545454541</c:v>
                </c:pt>
                <c:pt idx="3">
                  <c:v>4.6956521739130439</c:v>
                </c:pt>
                <c:pt idx="4">
                  <c:v>3.5652173913043477</c:v>
                </c:pt>
                <c:pt idx="5">
                  <c:v>3.8260869565217392</c:v>
                </c:pt>
                <c:pt idx="6">
                  <c:v>6.4347826086956523</c:v>
                </c:pt>
                <c:pt idx="7">
                  <c:v>2.8333333333333335</c:v>
                </c:pt>
                <c:pt idx="8">
                  <c:v>2.25</c:v>
                </c:pt>
                <c:pt idx="9">
                  <c:v>1.7083333333333333</c:v>
                </c:pt>
                <c:pt idx="10">
                  <c:v>1.9545454545454546</c:v>
                </c:pt>
                <c:pt idx="11">
                  <c:v>1.1363636363636365</c:v>
                </c:pt>
                <c:pt idx="12">
                  <c:v>1.5833333333333333</c:v>
                </c:pt>
                <c:pt idx="13">
                  <c:v>2.347826086956522</c:v>
                </c:pt>
                <c:pt idx="14">
                  <c:v>9.25</c:v>
                </c:pt>
                <c:pt idx="15">
                  <c:v>10.458333333333334</c:v>
                </c:pt>
                <c:pt idx="16">
                  <c:v>4.875</c:v>
                </c:pt>
                <c:pt idx="17">
                  <c:v>0.75</c:v>
                </c:pt>
                <c:pt idx="18">
                  <c:v>3.3913043478260869</c:v>
                </c:pt>
                <c:pt idx="19">
                  <c:v>3.4583333333333335</c:v>
                </c:pt>
                <c:pt idx="20">
                  <c:v>3.125</c:v>
                </c:pt>
                <c:pt idx="21">
                  <c:v>4.0434782608695654</c:v>
                </c:pt>
                <c:pt idx="22">
                  <c:v>6.5217391304347823</c:v>
                </c:pt>
                <c:pt idx="23">
                  <c:v>3.7391304347826089</c:v>
                </c:pt>
                <c:pt idx="24">
                  <c:v>8.0869565217391308</c:v>
                </c:pt>
                <c:pt idx="25">
                  <c:v>2.125</c:v>
                </c:pt>
                <c:pt idx="26">
                  <c:v>1.875</c:v>
                </c:pt>
                <c:pt idx="27">
                  <c:v>1.6521739130434783</c:v>
                </c:pt>
                <c:pt idx="28">
                  <c:v>5.3478260869565215</c:v>
                </c:pt>
                <c:pt idx="29">
                  <c:v>6.0869565217391308</c:v>
                </c:pt>
                <c:pt idx="30">
                  <c:v>1.75</c:v>
                </c:pt>
                <c:pt idx="31">
                  <c:v>2.0434782608695654</c:v>
                </c:pt>
                <c:pt idx="32">
                  <c:v>3</c:v>
                </c:pt>
                <c:pt idx="33">
                  <c:v>2.652173913043478</c:v>
                </c:pt>
                <c:pt idx="34">
                  <c:v>3.8260869565217392</c:v>
                </c:pt>
                <c:pt idx="35">
                  <c:v>4.166666666666667</c:v>
                </c:pt>
                <c:pt idx="36">
                  <c:v>14.75</c:v>
                </c:pt>
                <c:pt idx="37">
                  <c:v>5</c:v>
                </c:pt>
                <c:pt idx="38">
                  <c:v>2.6666666666666665</c:v>
                </c:pt>
                <c:pt idx="39">
                  <c:v>2.3043478260869565</c:v>
                </c:pt>
                <c:pt idx="40">
                  <c:v>2.0434782608695654</c:v>
                </c:pt>
                <c:pt idx="41">
                  <c:v>6.7727272727272725</c:v>
                </c:pt>
                <c:pt idx="42">
                  <c:v>12</c:v>
                </c:pt>
                <c:pt idx="43">
                  <c:v>17.260869565217391</c:v>
                </c:pt>
                <c:pt idx="44">
                  <c:v>1</c:v>
                </c:pt>
              </c:numCache>
            </c:numRef>
          </c:val>
          <c:smooth val="0"/>
          <c:extLst>
            <c:ext xmlns:c16="http://schemas.microsoft.com/office/drawing/2014/chart" uri="{C3380CC4-5D6E-409C-BE32-E72D297353CC}">
              <c16:uniqueId val="{00000000-DA96-4E73-A6B4-ED2A98FA7ED5}"/>
            </c:ext>
          </c:extLst>
        </c:ser>
        <c:ser>
          <c:idx val="1"/>
          <c:order val="1"/>
          <c:tx>
            <c:strRef>
              <c:f>Sheet10!$C$1</c:f>
              <c:strCache>
                <c:ptCount val="1"/>
                <c:pt idx="0">
                  <c:v>Forecast(casual)</c:v>
                </c:pt>
              </c:strCache>
            </c:strRef>
          </c:tx>
          <c:spPr>
            <a:ln w="25400" cap="rnd">
              <a:solidFill>
                <a:schemeClr val="accent2"/>
              </a:solidFill>
              <a:round/>
            </a:ln>
            <a:effectLst/>
          </c:spPr>
          <c:marker>
            <c:symbol val="none"/>
          </c:marker>
          <c:cat>
            <c:numRef>
              <c:f>Sheet10!$A$2:$A$60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Sheet10!$C$2:$C$60</c:f>
              <c:numCache>
                <c:formatCode>General</c:formatCode>
                <c:ptCount val="59"/>
                <c:pt idx="44">
                  <c:v>1</c:v>
                </c:pt>
                <c:pt idx="45">
                  <c:v>4.8565291352862721</c:v>
                </c:pt>
                <c:pt idx="46">
                  <c:v>4.9858122840924839</c:v>
                </c:pt>
                <c:pt idx="47">
                  <c:v>5.2999640566995723</c:v>
                </c:pt>
                <c:pt idx="48">
                  <c:v>6.2511965261380391</c:v>
                </c:pt>
                <c:pt idx="49">
                  <c:v>7.6676802572171017</c:v>
                </c:pt>
                <c:pt idx="50">
                  <c:v>8.7400881986367693</c:v>
                </c:pt>
                <c:pt idx="51">
                  <c:v>6.3030619770642149</c:v>
                </c:pt>
                <c:pt idx="52">
                  <c:v>4.9656241862848125</c:v>
                </c:pt>
                <c:pt idx="53">
                  <c:v>5.0949073350910226</c:v>
                </c:pt>
                <c:pt idx="54">
                  <c:v>5.4090591076981127</c:v>
                </c:pt>
                <c:pt idx="55">
                  <c:v>6.3602915771365787</c:v>
                </c:pt>
                <c:pt idx="56">
                  <c:v>7.7767753082156421</c:v>
                </c:pt>
                <c:pt idx="57">
                  <c:v>8.849183249635308</c:v>
                </c:pt>
                <c:pt idx="58">
                  <c:v>6.4121570280627553</c:v>
                </c:pt>
              </c:numCache>
            </c:numRef>
          </c:val>
          <c:smooth val="0"/>
          <c:extLst>
            <c:ext xmlns:c16="http://schemas.microsoft.com/office/drawing/2014/chart" uri="{C3380CC4-5D6E-409C-BE32-E72D297353CC}">
              <c16:uniqueId val="{00000001-DA96-4E73-A6B4-ED2A98FA7ED5}"/>
            </c:ext>
          </c:extLst>
        </c:ser>
        <c:ser>
          <c:idx val="2"/>
          <c:order val="2"/>
          <c:tx>
            <c:strRef>
              <c:f>Sheet10!$D$1</c:f>
              <c:strCache>
                <c:ptCount val="1"/>
                <c:pt idx="0">
                  <c:v>Lower Confidence Bound(casual)</c:v>
                </c:pt>
              </c:strCache>
            </c:strRef>
          </c:tx>
          <c:spPr>
            <a:ln w="12700" cap="rnd">
              <a:solidFill>
                <a:srgbClr val="EA4335"/>
              </a:solidFill>
              <a:prstDash val="solid"/>
              <a:round/>
            </a:ln>
            <a:effectLst/>
          </c:spPr>
          <c:marker>
            <c:symbol val="none"/>
          </c:marker>
          <c:cat>
            <c:numRef>
              <c:f>Sheet10!$A$2:$A$60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Sheet10!$D$2:$D$60</c:f>
              <c:numCache>
                <c:formatCode>General</c:formatCode>
                <c:ptCount val="59"/>
                <c:pt idx="44" formatCode="0.00">
                  <c:v>1</c:v>
                </c:pt>
                <c:pt idx="45" formatCode="0.00">
                  <c:v>-1.9648029938527323</c:v>
                </c:pt>
                <c:pt idx="46" formatCode="0.00">
                  <c:v>-2.6467798238581421</c:v>
                </c:pt>
                <c:pt idx="47" formatCode="0.00">
                  <c:v>-3.0683760284996673</c:v>
                </c:pt>
                <c:pt idx="48" formatCode="0.00">
                  <c:v>-2.7958264959822641</c:v>
                </c:pt>
                <c:pt idx="49" formatCode="0.00">
                  <c:v>-2.0129749216001525</c:v>
                </c:pt>
                <c:pt idx="50" formatCode="0.00">
                  <c:v>-1.5374886669408383</c:v>
                </c:pt>
                <c:pt idx="51" formatCode="0.00">
                  <c:v>-4.5407944971797614</c:v>
                </c:pt>
                <c:pt idx="52" formatCode="0.00">
                  <c:v>-6.4205257496016168</c:v>
                </c:pt>
                <c:pt idx="53" formatCode="0.00">
                  <c:v>-6.8088566700869233</c:v>
                </c:pt>
                <c:pt idx="54" formatCode="0.00">
                  <c:v>-6.9926423591304587</c:v>
                </c:pt>
                <c:pt idx="55" formatCode="0.00">
                  <c:v>-6.5219562378891105</c:v>
                </c:pt>
                <c:pt idx="56" formatCode="0.00">
                  <c:v>-5.5705097729648294</c:v>
                </c:pt>
                <c:pt idx="57" formatCode="0.00">
                  <c:v>-4.9492015524053947</c:v>
                </c:pt>
                <c:pt idx="58" formatCode="0.00">
                  <c:v>-7.8247181259003957</c:v>
                </c:pt>
              </c:numCache>
            </c:numRef>
          </c:val>
          <c:smooth val="0"/>
          <c:extLst>
            <c:ext xmlns:c16="http://schemas.microsoft.com/office/drawing/2014/chart" uri="{C3380CC4-5D6E-409C-BE32-E72D297353CC}">
              <c16:uniqueId val="{00000002-DA96-4E73-A6B4-ED2A98FA7ED5}"/>
            </c:ext>
          </c:extLst>
        </c:ser>
        <c:ser>
          <c:idx val="3"/>
          <c:order val="3"/>
          <c:tx>
            <c:strRef>
              <c:f>Sheet10!$E$1</c:f>
              <c:strCache>
                <c:ptCount val="1"/>
                <c:pt idx="0">
                  <c:v>Upper Confidence Bound(casual)</c:v>
                </c:pt>
              </c:strCache>
            </c:strRef>
          </c:tx>
          <c:spPr>
            <a:ln w="12700" cap="rnd">
              <a:solidFill>
                <a:srgbClr val="EA4335"/>
              </a:solidFill>
              <a:prstDash val="solid"/>
              <a:round/>
            </a:ln>
            <a:effectLst/>
          </c:spPr>
          <c:marker>
            <c:symbol val="none"/>
          </c:marker>
          <c:cat>
            <c:numRef>
              <c:f>Sheet10!$A$2:$A$60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Sheet10!$E$2:$E$60</c:f>
              <c:numCache>
                <c:formatCode>General</c:formatCode>
                <c:ptCount val="59"/>
                <c:pt idx="44" formatCode="0.00">
                  <c:v>1</c:v>
                </c:pt>
                <c:pt idx="45" formatCode="0.00">
                  <c:v>11.677861264425276</c:v>
                </c:pt>
                <c:pt idx="46" formatCode="0.00">
                  <c:v>12.618404392043111</c:v>
                </c:pt>
                <c:pt idx="47" formatCode="0.00">
                  <c:v>13.668304141898812</c:v>
                </c:pt>
                <c:pt idx="48" formatCode="0.00">
                  <c:v>15.298219548258341</c:v>
                </c:pt>
                <c:pt idx="49" formatCode="0.00">
                  <c:v>17.348335436034354</c:v>
                </c:pt>
                <c:pt idx="50" formatCode="0.00">
                  <c:v>19.017665064214377</c:v>
                </c:pt>
                <c:pt idx="51" formatCode="0.00">
                  <c:v>17.146918451308192</c:v>
                </c:pt>
                <c:pt idx="52" formatCode="0.00">
                  <c:v>16.351774122171243</c:v>
                </c:pt>
                <c:pt idx="53" formatCode="0.00">
                  <c:v>16.99867134026897</c:v>
                </c:pt>
                <c:pt idx="54" formatCode="0.00">
                  <c:v>17.810760574526682</c:v>
                </c:pt>
                <c:pt idx="55" formatCode="0.00">
                  <c:v>19.242539392162268</c:v>
                </c:pt>
                <c:pt idx="56" formatCode="0.00">
                  <c:v>21.124060389396114</c:v>
                </c:pt>
                <c:pt idx="57" formatCode="0.00">
                  <c:v>22.647568051676011</c:v>
                </c:pt>
                <c:pt idx="58" formatCode="0.00">
                  <c:v>20.649032182025906</c:v>
                </c:pt>
              </c:numCache>
            </c:numRef>
          </c:val>
          <c:smooth val="0"/>
          <c:extLst>
            <c:ext xmlns:c16="http://schemas.microsoft.com/office/drawing/2014/chart" uri="{C3380CC4-5D6E-409C-BE32-E72D297353CC}">
              <c16:uniqueId val="{00000003-DA96-4E73-A6B4-ED2A98FA7ED5}"/>
            </c:ext>
          </c:extLst>
        </c:ser>
        <c:dLbls>
          <c:showLegendKey val="0"/>
          <c:showVal val="0"/>
          <c:showCatName val="0"/>
          <c:showSerName val="0"/>
          <c:showPercent val="0"/>
          <c:showBubbleSize val="0"/>
        </c:dLbls>
        <c:smooth val="0"/>
        <c:axId val="1625323760"/>
        <c:axId val="1625320880"/>
      </c:lineChart>
      <c:catAx>
        <c:axId val="1625323760"/>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320880"/>
        <c:crosses val="autoZero"/>
        <c:auto val="1"/>
        <c:lblAlgn val="ctr"/>
        <c:lblOffset val="100"/>
        <c:noMultiLvlLbl val="0"/>
      </c:catAx>
      <c:valAx>
        <c:axId val="162532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53237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Sheet11!$B$1</c:f>
              <c:strCache>
                <c:ptCount val="1"/>
                <c:pt idx="0">
                  <c:v>registered</c:v>
                </c:pt>
              </c:strCache>
            </c:strRef>
          </c:tx>
          <c:spPr>
            <a:ln w="28575" cap="rnd">
              <a:solidFill>
                <a:schemeClr val="accent1"/>
              </a:solidFill>
              <a:round/>
            </a:ln>
            <a:effectLst/>
          </c:spPr>
          <c:marker>
            <c:symbol val="none"/>
          </c:marker>
          <c:val>
            <c:numRef>
              <c:f>Sheet11!$B$2:$B$60</c:f>
              <c:numCache>
                <c:formatCode>General</c:formatCode>
                <c:ptCount val="59"/>
                <c:pt idx="0">
                  <c:v>27.25</c:v>
                </c:pt>
                <c:pt idx="1">
                  <c:v>29.130434782608695</c:v>
                </c:pt>
                <c:pt idx="2">
                  <c:v>55.863636363636367</c:v>
                </c:pt>
                <c:pt idx="3">
                  <c:v>63.217391304347828</c:v>
                </c:pt>
                <c:pt idx="4">
                  <c:v>66</c:v>
                </c:pt>
                <c:pt idx="5">
                  <c:v>66</c:v>
                </c:pt>
                <c:pt idx="6">
                  <c:v>59.217391304347828</c:v>
                </c:pt>
                <c:pt idx="7">
                  <c:v>37.125</c:v>
                </c:pt>
                <c:pt idx="8">
                  <c:v>32</c:v>
                </c:pt>
                <c:pt idx="9">
                  <c:v>53.333333333333336</c:v>
                </c:pt>
                <c:pt idx="10">
                  <c:v>55.454545454545453</c:v>
                </c:pt>
                <c:pt idx="11">
                  <c:v>51.68181818181818</c:v>
                </c:pt>
                <c:pt idx="12">
                  <c:v>57</c:v>
                </c:pt>
                <c:pt idx="13">
                  <c:v>59.434782608695649</c:v>
                </c:pt>
                <c:pt idx="14">
                  <c:v>42.75</c:v>
                </c:pt>
                <c:pt idx="15">
                  <c:v>39.708333333333336</c:v>
                </c:pt>
                <c:pt idx="16">
                  <c:v>36.791666666666664</c:v>
                </c:pt>
                <c:pt idx="17">
                  <c:v>56.166666666666664</c:v>
                </c:pt>
                <c:pt idx="18">
                  <c:v>68.347826086956516</c:v>
                </c:pt>
                <c:pt idx="19">
                  <c:v>76.833333333333329</c:v>
                </c:pt>
                <c:pt idx="20">
                  <c:v>61.166666666666664</c:v>
                </c:pt>
                <c:pt idx="21">
                  <c:v>38.608695652173914</c:v>
                </c:pt>
                <c:pt idx="22">
                  <c:v>36.347826086956523</c:v>
                </c:pt>
                <c:pt idx="23">
                  <c:v>57.826086956521742</c:v>
                </c:pt>
                <c:pt idx="24">
                  <c:v>78.217391304347828</c:v>
                </c:pt>
                <c:pt idx="25">
                  <c:v>29.5</c:v>
                </c:pt>
                <c:pt idx="26">
                  <c:v>52</c:v>
                </c:pt>
                <c:pt idx="27">
                  <c:v>49.086956521739133</c:v>
                </c:pt>
                <c:pt idx="28">
                  <c:v>42.391304347826086</c:v>
                </c:pt>
                <c:pt idx="29">
                  <c:v>41.565217391304351</c:v>
                </c:pt>
                <c:pt idx="30">
                  <c:v>60.791666666666664</c:v>
                </c:pt>
                <c:pt idx="31">
                  <c:v>57.086956521739133</c:v>
                </c:pt>
                <c:pt idx="32">
                  <c:v>60.583333333333336</c:v>
                </c:pt>
                <c:pt idx="33">
                  <c:v>64.739130434782609</c:v>
                </c:pt>
                <c:pt idx="34">
                  <c:v>70.434782608695656</c:v>
                </c:pt>
                <c:pt idx="35">
                  <c:v>37.708333333333336</c:v>
                </c:pt>
                <c:pt idx="36">
                  <c:v>52.875</c:v>
                </c:pt>
                <c:pt idx="37">
                  <c:v>66.333333333333329</c:v>
                </c:pt>
                <c:pt idx="38">
                  <c:v>61.083333333333336</c:v>
                </c:pt>
                <c:pt idx="39">
                  <c:v>67.478260869565219</c:v>
                </c:pt>
                <c:pt idx="40">
                  <c:v>64.826086956521735</c:v>
                </c:pt>
                <c:pt idx="41">
                  <c:v>72.590909090909093</c:v>
                </c:pt>
                <c:pt idx="42">
                  <c:v>49.333333333333336</c:v>
                </c:pt>
                <c:pt idx="43">
                  <c:v>51.826086956521742</c:v>
                </c:pt>
                <c:pt idx="44">
                  <c:v>17.875</c:v>
                </c:pt>
              </c:numCache>
            </c:numRef>
          </c:val>
          <c:smooth val="0"/>
          <c:extLst>
            <c:ext xmlns:c16="http://schemas.microsoft.com/office/drawing/2014/chart" uri="{C3380CC4-5D6E-409C-BE32-E72D297353CC}">
              <c16:uniqueId val="{00000000-A7E4-4804-894C-590B7F254460}"/>
            </c:ext>
          </c:extLst>
        </c:ser>
        <c:ser>
          <c:idx val="1"/>
          <c:order val="1"/>
          <c:tx>
            <c:strRef>
              <c:f>Sheet11!$C$1</c:f>
              <c:strCache>
                <c:ptCount val="1"/>
                <c:pt idx="0">
                  <c:v>Forecast(registered)</c:v>
                </c:pt>
              </c:strCache>
            </c:strRef>
          </c:tx>
          <c:spPr>
            <a:ln w="25400" cap="rnd">
              <a:solidFill>
                <a:schemeClr val="accent2"/>
              </a:solidFill>
              <a:round/>
            </a:ln>
            <a:effectLst/>
          </c:spPr>
          <c:marker>
            <c:symbol val="none"/>
          </c:marker>
          <c:cat>
            <c:numRef>
              <c:f>Sheet11!$A$2:$A$60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Sheet11!$C$2:$C$60</c:f>
              <c:numCache>
                <c:formatCode>General</c:formatCode>
                <c:ptCount val="59"/>
                <c:pt idx="44">
                  <c:v>17.875</c:v>
                </c:pt>
                <c:pt idx="45">
                  <c:v>62.263210337816645</c:v>
                </c:pt>
                <c:pt idx="46">
                  <c:v>65.743016796662502</c:v>
                </c:pt>
                <c:pt idx="47">
                  <c:v>70.334537753982971</c:v>
                </c:pt>
                <c:pt idx="48">
                  <c:v>63.50128361457493</c:v>
                </c:pt>
                <c:pt idx="49">
                  <c:v>43.905158501825994</c:v>
                </c:pt>
                <c:pt idx="50">
                  <c:v>40.807977773729228</c:v>
                </c:pt>
                <c:pt idx="51">
                  <c:v>54.228588031677255</c:v>
                </c:pt>
                <c:pt idx="52">
                  <c:v>63.668219565596708</c:v>
                </c:pt>
                <c:pt idx="53">
                  <c:v>67.148026024442558</c:v>
                </c:pt>
                <c:pt idx="54">
                  <c:v>71.739546981763027</c:v>
                </c:pt>
                <c:pt idx="55">
                  <c:v>64.906292842354986</c:v>
                </c:pt>
                <c:pt idx="56">
                  <c:v>45.31016772960605</c:v>
                </c:pt>
                <c:pt idx="57">
                  <c:v>42.212987001509291</c:v>
                </c:pt>
                <c:pt idx="58">
                  <c:v>55.633597259457318</c:v>
                </c:pt>
              </c:numCache>
            </c:numRef>
          </c:val>
          <c:smooth val="0"/>
          <c:extLst>
            <c:ext xmlns:c16="http://schemas.microsoft.com/office/drawing/2014/chart" uri="{C3380CC4-5D6E-409C-BE32-E72D297353CC}">
              <c16:uniqueId val="{00000001-A7E4-4804-894C-590B7F254460}"/>
            </c:ext>
          </c:extLst>
        </c:ser>
        <c:ser>
          <c:idx val="2"/>
          <c:order val="2"/>
          <c:tx>
            <c:strRef>
              <c:f>Sheet11!$D$1</c:f>
              <c:strCache>
                <c:ptCount val="1"/>
                <c:pt idx="0">
                  <c:v>Lower Confidence Bound(registered)</c:v>
                </c:pt>
              </c:strCache>
            </c:strRef>
          </c:tx>
          <c:spPr>
            <a:ln w="12700" cap="rnd">
              <a:solidFill>
                <a:srgbClr val="EA4335"/>
              </a:solidFill>
              <a:prstDash val="solid"/>
              <a:round/>
            </a:ln>
            <a:effectLst/>
          </c:spPr>
          <c:marker>
            <c:symbol val="none"/>
          </c:marker>
          <c:cat>
            <c:numRef>
              <c:f>Sheet11!$A$2:$A$60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Sheet11!$D$2:$D$60</c:f>
              <c:numCache>
                <c:formatCode>General</c:formatCode>
                <c:ptCount val="59"/>
                <c:pt idx="44" formatCode="0.00">
                  <c:v>17.875</c:v>
                </c:pt>
                <c:pt idx="45" formatCode="0.00">
                  <c:v>39.903506226854297</c:v>
                </c:pt>
                <c:pt idx="46" formatCode="0.00">
                  <c:v>43.20371414134226</c:v>
                </c:pt>
                <c:pt idx="47" formatCode="0.00">
                  <c:v>47.614250578854936</c:v>
                </c:pt>
                <c:pt idx="48" formatCode="0.00">
                  <c:v>40.598636971904845</c:v>
                </c:pt>
                <c:pt idx="49" formatCode="0.00">
                  <c:v>20.818788370143952</c:v>
                </c:pt>
                <c:pt idx="50" formatCode="0.00">
                  <c:v>17.536530953923123</c:v>
                </c:pt>
                <c:pt idx="51" formatCode="0.00">
                  <c:v>30.770722040887037</c:v>
                </c:pt>
                <c:pt idx="52" formatCode="0.00">
                  <c:v>40.019780010640453</c:v>
                </c:pt>
                <c:pt idx="53" formatCode="0.00">
                  <c:v>43.310536434996131</c:v>
                </c:pt>
                <c:pt idx="54" formatCode="0.00">
                  <c:v>47.711696167916045</c:v>
                </c:pt>
                <c:pt idx="55" formatCode="0.00">
                  <c:v>40.686779888669967</c:v>
                </c:pt>
                <c:pt idx="56" formatCode="0.00">
                  <c:v>20.897701881531816</c:v>
                </c:pt>
                <c:pt idx="57" formatCode="0.00">
                  <c:v>17.606287550866881</c:v>
                </c:pt>
                <c:pt idx="58" formatCode="0.00">
                  <c:v>30.831393429172053</c:v>
                </c:pt>
              </c:numCache>
            </c:numRef>
          </c:val>
          <c:smooth val="0"/>
          <c:extLst>
            <c:ext xmlns:c16="http://schemas.microsoft.com/office/drawing/2014/chart" uri="{C3380CC4-5D6E-409C-BE32-E72D297353CC}">
              <c16:uniqueId val="{00000002-A7E4-4804-894C-590B7F254460}"/>
            </c:ext>
          </c:extLst>
        </c:ser>
        <c:ser>
          <c:idx val="3"/>
          <c:order val="3"/>
          <c:tx>
            <c:strRef>
              <c:f>Sheet11!$E$1</c:f>
              <c:strCache>
                <c:ptCount val="1"/>
                <c:pt idx="0">
                  <c:v>Upper Confidence Bound(registered)</c:v>
                </c:pt>
              </c:strCache>
            </c:strRef>
          </c:tx>
          <c:spPr>
            <a:ln w="12700" cap="rnd">
              <a:solidFill>
                <a:srgbClr val="EA4335"/>
              </a:solidFill>
              <a:prstDash val="solid"/>
              <a:round/>
            </a:ln>
            <a:effectLst/>
          </c:spPr>
          <c:marker>
            <c:symbol val="none"/>
          </c:marker>
          <c:cat>
            <c:numRef>
              <c:f>Sheet11!$A$2:$A$60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Sheet11!$E$2:$E$60</c:f>
              <c:numCache>
                <c:formatCode>General</c:formatCode>
                <c:ptCount val="59"/>
                <c:pt idx="44" formatCode="0.00">
                  <c:v>17.875</c:v>
                </c:pt>
                <c:pt idx="45" formatCode="0.00">
                  <c:v>84.622914448778999</c:v>
                </c:pt>
                <c:pt idx="46" formatCode="0.00">
                  <c:v>88.282319451982744</c:v>
                </c:pt>
                <c:pt idx="47" formatCode="0.00">
                  <c:v>93.054824929111007</c:v>
                </c:pt>
                <c:pt idx="48" formatCode="0.00">
                  <c:v>86.403930257245008</c:v>
                </c:pt>
                <c:pt idx="49" formatCode="0.00">
                  <c:v>66.99152863350804</c:v>
                </c:pt>
                <c:pt idx="50" formatCode="0.00">
                  <c:v>64.079424593535336</c:v>
                </c:pt>
                <c:pt idx="51" formatCode="0.00">
                  <c:v>77.686454022467473</c:v>
                </c:pt>
                <c:pt idx="52" formatCode="0.00">
                  <c:v>87.31665912055297</c:v>
                </c:pt>
                <c:pt idx="53" formatCode="0.00">
                  <c:v>90.985515613888992</c:v>
                </c:pt>
                <c:pt idx="54" formatCode="0.00">
                  <c:v>95.767397795610009</c:v>
                </c:pt>
                <c:pt idx="55" formatCode="0.00">
                  <c:v>89.125805796039998</c:v>
                </c:pt>
                <c:pt idx="56" formatCode="0.00">
                  <c:v>69.722633577680284</c:v>
                </c:pt>
                <c:pt idx="57" formatCode="0.00">
                  <c:v>66.8196864521517</c:v>
                </c:pt>
                <c:pt idx="58" formatCode="0.00">
                  <c:v>80.435801089742583</c:v>
                </c:pt>
              </c:numCache>
            </c:numRef>
          </c:val>
          <c:smooth val="0"/>
          <c:extLst>
            <c:ext xmlns:c16="http://schemas.microsoft.com/office/drawing/2014/chart" uri="{C3380CC4-5D6E-409C-BE32-E72D297353CC}">
              <c16:uniqueId val="{00000003-A7E4-4804-894C-590B7F254460}"/>
            </c:ext>
          </c:extLst>
        </c:ser>
        <c:dLbls>
          <c:showLegendKey val="0"/>
          <c:showVal val="0"/>
          <c:showCatName val="0"/>
          <c:showSerName val="0"/>
          <c:showPercent val="0"/>
          <c:showBubbleSize val="0"/>
        </c:dLbls>
        <c:smooth val="0"/>
        <c:axId val="1621082656"/>
        <c:axId val="1621086976"/>
      </c:lineChart>
      <c:catAx>
        <c:axId val="162108265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086976"/>
        <c:crosses val="autoZero"/>
        <c:auto val="1"/>
        <c:lblAlgn val="ctr"/>
        <c:lblOffset val="100"/>
        <c:noMultiLvlLbl val="0"/>
      </c:catAx>
      <c:valAx>
        <c:axId val="1621086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082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Sheet13!$B$1</c:f>
              <c:strCache>
                <c:ptCount val="1"/>
                <c:pt idx="0">
                  <c:v>cnt</c:v>
                </c:pt>
              </c:strCache>
            </c:strRef>
          </c:tx>
          <c:spPr>
            <a:ln w="28575" cap="rnd">
              <a:solidFill>
                <a:schemeClr val="accent1"/>
              </a:solidFill>
              <a:round/>
            </a:ln>
            <a:effectLst/>
          </c:spPr>
          <c:marker>
            <c:symbol val="none"/>
          </c:marker>
          <c:val>
            <c:numRef>
              <c:f>Sheet13!$B$2:$B$60</c:f>
              <c:numCache>
                <c:formatCode>General</c:formatCode>
                <c:ptCount val="59"/>
                <c:pt idx="0">
                  <c:v>41.041666666666664</c:v>
                </c:pt>
                <c:pt idx="1">
                  <c:v>34.826086956521742</c:v>
                </c:pt>
                <c:pt idx="2">
                  <c:v>61.31818181818182</c:v>
                </c:pt>
                <c:pt idx="3">
                  <c:v>67.913043478260875</c:v>
                </c:pt>
                <c:pt idx="4">
                  <c:v>69.565217391304344</c:v>
                </c:pt>
                <c:pt idx="5">
                  <c:v>69.826086956521735</c:v>
                </c:pt>
                <c:pt idx="6">
                  <c:v>65.652173913043484</c:v>
                </c:pt>
                <c:pt idx="7">
                  <c:v>39.958333333333336</c:v>
                </c:pt>
                <c:pt idx="8">
                  <c:v>34.25</c:v>
                </c:pt>
                <c:pt idx="9">
                  <c:v>55.041666666666664</c:v>
                </c:pt>
                <c:pt idx="10">
                  <c:v>57.409090909090907</c:v>
                </c:pt>
                <c:pt idx="11">
                  <c:v>52.81818181818182</c:v>
                </c:pt>
                <c:pt idx="12">
                  <c:v>58.583333333333336</c:v>
                </c:pt>
                <c:pt idx="13">
                  <c:v>61.782608695652172</c:v>
                </c:pt>
                <c:pt idx="14">
                  <c:v>52</c:v>
                </c:pt>
                <c:pt idx="15">
                  <c:v>50.166666666666664</c:v>
                </c:pt>
                <c:pt idx="16">
                  <c:v>41.666666666666664</c:v>
                </c:pt>
                <c:pt idx="17">
                  <c:v>56.916666666666664</c:v>
                </c:pt>
                <c:pt idx="18">
                  <c:v>71.739130434782609</c:v>
                </c:pt>
                <c:pt idx="19">
                  <c:v>80.291666666666671</c:v>
                </c:pt>
                <c:pt idx="20">
                  <c:v>64.291666666666671</c:v>
                </c:pt>
                <c:pt idx="21">
                  <c:v>42.652173913043477</c:v>
                </c:pt>
                <c:pt idx="22">
                  <c:v>42.869565217391305</c:v>
                </c:pt>
                <c:pt idx="23">
                  <c:v>61.565217391304351</c:v>
                </c:pt>
                <c:pt idx="24">
                  <c:v>86.304347826086953</c:v>
                </c:pt>
                <c:pt idx="25">
                  <c:v>31.625</c:v>
                </c:pt>
                <c:pt idx="26">
                  <c:v>53.875</c:v>
                </c:pt>
                <c:pt idx="27">
                  <c:v>50.739130434782609</c:v>
                </c:pt>
                <c:pt idx="28">
                  <c:v>47.739130434782609</c:v>
                </c:pt>
                <c:pt idx="29">
                  <c:v>47.652173913043477</c:v>
                </c:pt>
                <c:pt idx="30">
                  <c:v>62.541666666666664</c:v>
                </c:pt>
                <c:pt idx="31">
                  <c:v>59.130434782608695</c:v>
                </c:pt>
                <c:pt idx="32">
                  <c:v>63.583333333333336</c:v>
                </c:pt>
                <c:pt idx="33">
                  <c:v>67.391304347826093</c:v>
                </c:pt>
                <c:pt idx="34">
                  <c:v>74.260869565217391</c:v>
                </c:pt>
                <c:pt idx="35">
                  <c:v>41.875</c:v>
                </c:pt>
                <c:pt idx="36">
                  <c:v>67.625</c:v>
                </c:pt>
                <c:pt idx="37">
                  <c:v>71.333333333333329</c:v>
                </c:pt>
                <c:pt idx="38">
                  <c:v>63.75</c:v>
                </c:pt>
                <c:pt idx="39">
                  <c:v>69.782608695652172</c:v>
                </c:pt>
                <c:pt idx="40">
                  <c:v>66.869565217391298</c:v>
                </c:pt>
                <c:pt idx="41">
                  <c:v>79.36363636363636</c:v>
                </c:pt>
                <c:pt idx="42">
                  <c:v>61.333333333333336</c:v>
                </c:pt>
                <c:pt idx="43">
                  <c:v>69.086956521739125</c:v>
                </c:pt>
                <c:pt idx="44">
                  <c:v>18.875</c:v>
                </c:pt>
              </c:numCache>
            </c:numRef>
          </c:val>
          <c:smooth val="0"/>
          <c:extLst>
            <c:ext xmlns:c16="http://schemas.microsoft.com/office/drawing/2014/chart" uri="{C3380CC4-5D6E-409C-BE32-E72D297353CC}">
              <c16:uniqueId val="{00000000-761A-47AA-B02F-40F4BF7EF901}"/>
            </c:ext>
          </c:extLst>
        </c:ser>
        <c:ser>
          <c:idx val="1"/>
          <c:order val="1"/>
          <c:tx>
            <c:strRef>
              <c:f>Sheet13!$C$1</c:f>
              <c:strCache>
                <c:ptCount val="1"/>
                <c:pt idx="0">
                  <c:v>Forecast(cnt)</c:v>
                </c:pt>
              </c:strCache>
            </c:strRef>
          </c:tx>
          <c:spPr>
            <a:ln w="25400" cap="rnd">
              <a:solidFill>
                <a:schemeClr val="accent2"/>
              </a:solidFill>
              <a:round/>
            </a:ln>
            <a:effectLst/>
          </c:spPr>
          <c:marker>
            <c:symbol val="none"/>
          </c:marker>
          <c:cat>
            <c:numRef>
              <c:f>Sheet13!$A$2:$A$60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Sheet13!$C$2:$C$60</c:f>
              <c:numCache>
                <c:formatCode>General</c:formatCode>
                <c:ptCount val="59"/>
                <c:pt idx="44">
                  <c:v>18.875</c:v>
                </c:pt>
                <c:pt idx="45">
                  <c:v>61.270134143024279</c:v>
                </c:pt>
                <c:pt idx="46">
                  <c:v>61.525827765725516</c:v>
                </c:pt>
                <c:pt idx="47">
                  <c:v>61.781521388426746</c:v>
                </c:pt>
                <c:pt idx="48">
                  <c:v>62.037215011127984</c:v>
                </c:pt>
                <c:pt idx="49">
                  <c:v>62.292908633829221</c:v>
                </c:pt>
                <c:pt idx="50">
                  <c:v>62.548602256530458</c:v>
                </c:pt>
                <c:pt idx="51">
                  <c:v>62.804295879231688</c:v>
                </c:pt>
                <c:pt idx="52">
                  <c:v>63.059989501932925</c:v>
                </c:pt>
                <c:pt idx="53">
                  <c:v>63.315683124634162</c:v>
                </c:pt>
                <c:pt idx="54">
                  <c:v>63.5713767473354</c:v>
                </c:pt>
                <c:pt idx="55">
                  <c:v>63.827070370036637</c:v>
                </c:pt>
                <c:pt idx="56">
                  <c:v>64.082763992737867</c:v>
                </c:pt>
                <c:pt idx="57">
                  <c:v>64.338457615439111</c:v>
                </c:pt>
                <c:pt idx="58">
                  <c:v>64.594151238140341</c:v>
                </c:pt>
              </c:numCache>
            </c:numRef>
          </c:val>
          <c:smooth val="0"/>
          <c:extLst>
            <c:ext xmlns:c16="http://schemas.microsoft.com/office/drawing/2014/chart" uri="{C3380CC4-5D6E-409C-BE32-E72D297353CC}">
              <c16:uniqueId val="{00000001-761A-47AA-B02F-40F4BF7EF901}"/>
            </c:ext>
          </c:extLst>
        </c:ser>
        <c:ser>
          <c:idx val="2"/>
          <c:order val="2"/>
          <c:tx>
            <c:strRef>
              <c:f>Sheet13!$D$1</c:f>
              <c:strCache>
                <c:ptCount val="1"/>
                <c:pt idx="0">
                  <c:v>Lower Confidence Bound(cnt)</c:v>
                </c:pt>
              </c:strCache>
            </c:strRef>
          </c:tx>
          <c:spPr>
            <a:ln w="12700" cap="rnd">
              <a:solidFill>
                <a:srgbClr val="EA4335"/>
              </a:solidFill>
              <a:prstDash val="solid"/>
              <a:round/>
            </a:ln>
            <a:effectLst/>
          </c:spPr>
          <c:marker>
            <c:symbol val="none"/>
          </c:marker>
          <c:cat>
            <c:numRef>
              <c:f>Sheet13!$A$2:$A$60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Sheet13!$D$2:$D$60</c:f>
              <c:numCache>
                <c:formatCode>General</c:formatCode>
                <c:ptCount val="59"/>
                <c:pt idx="44" formatCode="0.00">
                  <c:v>18.875</c:v>
                </c:pt>
                <c:pt idx="45" formatCode="0.00">
                  <c:v>31.858655883675784</c:v>
                </c:pt>
                <c:pt idx="46" formatCode="0.00">
                  <c:v>31.878109408718345</c:v>
                </c:pt>
                <c:pt idx="47" formatCode="0.00">
                  <c:v>31.895739851191895</c:v>
                </c:pt>
                <c:pt idx="48" formatCode="0.00">
                  <c:v>31.911561716718598</c:v>
                </c:pt>
                <c:pt idx="49" formatCode="0.00">
                  <c:v>31.925589377473688</c:v>
                </c:pt>
                <c:pt idx="50" formatCode="0.00">
                  <c:v>31.937837068955986</c:v>
                </c:pt>
                <c:pt idx="51" formatCode="0.00">
                  <c:v>31.948318887095059</c:v>
                </c:pt>
                <c:pt idx="52" formatCode="0.00">
                  <c:v>31.95704878567814</c:v>
                </c:pt>
                <c:pt idx="53" formatCode="0.00">
                  <c:v>31.964040574080091</c:v>
                </c:pt>
                <c:pt idx="54" formatCode="0.00">
                  <c:v>31.969307915280588</c:v>
                </c:pt>
                <c:pt idx="55" formatCode="0.00">
                  <c:v>31.972864324152855</c:v>
                </c:pt>
                <c:pt idx="56" formatCode="0.00">
                  <c:v>31.974723166009028</c:v>
                </c:pt>
                <c:pt idx="57" formatCode="0.00">
                  <c:v>31.974897655387771</c:v>
                </c:pt>
                <c:pt idx="58" formatCode="0.00">
                  <c:v>31.973400855070025</c:v>
                </c:pt>
              </c:numCache>
            </c:numRef>
          </c:val>
          <c:smooth val="0"/>
          <c:extLst>
            <c:ext xmlns:c16="http://schemas.microsoft.com/office/drawing/2014/chart" uri="{C3380CC4-5D6E-409C-BE32-E72D297353CC}">
              <c16:uniqueId val="{00000002-761A-47AA-B02F-40F4BF7EF901}"/>
            </c:ext>
          </c:extLst>
        </c:ser>
        <c:ser>
          <c:idx val="3"/>
          <c:order val="3"/>
          <c:tx>
            <c:strRef>
              <c:f>Sheet13!$E$1</c:f>
              <c:strCache>
                <c:ptCount val="1"/>
                <c:pt idx="0">
                  <c:v>Upper Confidence Bound(cnt)</c:v>
                </c:pt>
              </c:strCache>
            </c:strRef>
          </c:tx>
          <c:spPr>
            <a:ln w="12700" cap="rnd">
              <a:solidFill>
                <a:srgbClr val="EA4335"/>
              </a:solidFill>
              <a:prstDash val="solid"/>
              <a:round/>
            </a:ln>
            <a:effectLst/>
          </c:spPr>
          <c:marker>
            <c:symbol val="none"/>
          </c:marker>
          <c:cat>
            <c:numRef>
              <c:f>Sheet13!$A$2:$A$60</c:f>
              <c:numCache>
                <c:formatCode>m/d/yyyy</c:formatCode>
                <c:ptCount val="59"/>
                <c:pt idx="0">
                  <c:v>40544</c:v>
                </c:pt>
                <c:pt idx="1">
                  <c:v>40545</c:v>
                </c:pt>
                <c:pt idx="2">
                  <c:v>40546</c:v>
                </c:pt>
                <c:pt idx="3">
                  <c:v>40547</c:v>
                </c:pt>
                <c:pt idx="4">
                  <c:v>40548</c:v>
                </c:pt>
                <c:pt idx="5">
                  <c:v>40549</c:v>
                </c:pt>
                <c:pt idx="6">
                  <c:v>40550</c:v>
                </c:pt>
                <c:pt idx="7">
                  <c:v>40551</c:v>
                </c:pt>
                <c:pt idx="8">
                  <c:v>40552</c:v>
                </c:pt>
                <c:pt idx="9">
                  <c:v>40553</c:v>
                </c:pt>
                <c:pt idx="10">
                  <c:v>40554</c:v>
                </c:pt>
                <c:pt idx="11">
                  <c:v>40555</c:v>
                </c:pt>
                <c:pt idx="12">
                  <c:v>40556</c:v>
                </c:pt>
                <c:pt idx="13">
                  <c:v>40557</c:v>
                </c:pt>
                <c:pt idx="14">
                  <c:v>40558</c:v>
                </c:pt>
                <c:pt idx="15">
                  <c:v>40559</c:v>
                </c:pt>
                <c:pt idx="16">
                  <c:v>40560</c:v>
                </c:pt>
                <c:pt idx="17">
                  <c:v>40561</c:v>
                </c:pt>
                <c:pt idx="18">
                  <c:v>40562</c:v>
                </c:pt>
                <c:pt idx="19">
                  <c:v>40563</c:v>
                </c:pt>
                <c:pt idx="20">
                  <c:v>40564</c:v>
                </c:pt>
                <c:pt idx="21">
                  <c:v>40565</c:v>
                </c:pt>
                <c:pt idx="22">
                  <c:v>40566</c:v>
                </c:pt>
                <c:pt idx="23">
                  <c:v>40567</c:v>
                </c:pt>
                <c:pt idx="24">
                  <c:v>40568</c:v>
                </c:pt>
                <c:pt idx="25">
                  <c:v>40569</c:v>
                </c:pt>
                <c:pt idx="26">
                  <c:v>40570</c:v>
                </c:pt>
                <c:pt idx="27">
                  <c:v>40571</c:v>
                </c:pt>
                <c:pt idx="28">
                  <c:v>40572</c:v>
                </c:pt>
                <c:pt idx="29">
                  <c:v>40573</c:v>
                </c:pt>
                <c:pt idx="30">
                  <c:v>40574</c:v>
                </c:pt>
                <c:pt idx="31">
                  <c:v>40575</c:v>
                </c:pt>
                <c:pt idx="32">
                  <c:v>40576</c:v>
                </c:pt>
                <c:pt idx="33">
                  <c:v>40577</c:v>
                </c:pt>
                <c:pt idx="34">
                  <c:v>40578</c:v>
                </c:pt>
                <c:pt idx="35">
                  <c:v>40579</c:v>
                </c:pt>
                <c:pt idx="36">
                  <c:v>40580</c:v>
                </c:pt>
                <c:pt idx="37">
                  <c:v>40581</c:v>
                </c:pt>
                <c:pt idx="38">
                  <c:v>40582</c:v>
                </c:pt>
                <c:pt idx="39">
                  <c:v>40583</c:v>
                </c:pt>
                <c:pt idx="40">
                  <c:v>40584</c:v>
                </c:pt>
                <c:pt idx="41">
                  <c:v>40585</c:v>
                </c:pt>
                <c:pt idx="42">
                  <c:v>40586</c:v>
                </c:pt>
                <c:pt idx="43">
                  <c:v>40587</c:v>
                </c:pt>
                <c:pt idx="44">
                  <c:v>40588</c:v>
                </c:pt>
                <c:pt idx="45">
                  <c:v>40589</c:v>
                </c:pt>
                <c:pt idx="46">
                  <c:v>40590</c:v>
                </c:pt>
                <c:pt idx="47">
                  <c:v>40591</c:v>
                </c:pt>
                <c:pt idx="48">
                  <c:v>40592</c:v>
                </c:pt>
                <c:pt idx="49">
                  <c:v>40593</c:v>
                </c:pt>
                <c:pt idx="50">
                  <c:v>40594</c:v>
                </c:pt>
                <c:pt idx="51">
                  <c:v>40595</c:v>
                </c:pt>
                <c:pt idx="52">
                  <c:v>40596</c:v>
                </c:pt>
                <c:pt idx="53">
                  <c:v>40597</c:v>
                </c:pt>
                <c:pt idx="54">
                  <c:v>40598</c:v>
                </c:pt>
                <c:pt idx="55">
                  <c:v>40599</c:v>
                </c:pt>
                <c:pt idx="56">
                  <c:v>40600</c:v>
                </c:pt>
                <c:pt idx="57">
                  <c:v>40601</c:v>
                </c:pt>
                <c:pt idx="58">
                  <c:v>40602</c:v>
                </c:pt>
              </c:numCache>
            </c:numRef>
          </c:cat>
          <c:val>
            <c:numRef>
              <c:f>Sheet13!$E$2:$E$60</c:f>
              <c:numCache>
                <c:formatCode>General</c:formatCode>
                <c:ptCount val="59"/>
                <c:pt idx="44" formatCode="0.00">
                  <c:v>18.875</c:v>
                </c:pt>
                <c:pt idx="45" formatCode="0.00">
                  <c:v>90.681612402372778</c:v>
                </c:pt>
                <c:pt idx="46" formatCode="0.00">
                  <c:v>91.173546122732688</c:v>
                </c:pt>
                <c:pt idx="47" formatCode="0.00">
                  <c:v>91.667302925661602</c:v>
                </c:pt>
                <c:pt idx="48" formatCode="0.00">
                  <c:v>92.162868305537373</c:v>
                </c:pt>
                <c:pt idx="49" formatCode="0.00">
                  <c:v>92.660227890184757</c:v>
                </c:pt>
                <c:pt idx="50" formatCode="0.00">
                  <c:v>93.15936744410493</c:v>
                </c:pt>
                <c:pt idx="51" formatCode="0.00">
                  <c:v>93.660272871368321</c:v>
                </c:pt>
                <c:pt idx="52" formatCode="0.00">
                  <c:v>94.162930218187711</c:v>
                </c:pt>
                <c:pt idx="53" formatCode="0.00">
                  <c:v>94.667325675188238</c:v>
                </c:pt>
                <c:pt idx="54" formatCode="0.00">
                  <c:v>95.173445579390204</c:v>
                </c:pt>
                <c:pt idx="55" formatCode="0.00">
                  <c:v>95.681276415920422</c:v>
                </c:pt>
                <c:pt idx="56" formatCode="0.00">
                  <c:v>96.190804819466706</c:v>
                </c:pt>
                <c:pt idx="57" formatCode="0.00">
                  <c:v>96.702017575490459</c:v>
                </c:pt>
                <c:pt idx="58" formatCode="0.00">
                  <c:v>97.214901621210657</c:v>
                </c:pt>
              </c:numCache>
            </c:numRef>
          </c:val>
          <c:smooth val="0"/>
          <c:extLst>
            <c:ext xmlns:c16="http://schemas.microsoft.com/office/drawing/2014/chart" uri="{C3380CC4-5D6E-409C-BE32-E72D297353CC}">
              <c16:uniqueId val="{00000003-761A-47AA-B02F-40F4BF7EF901}"/>
            </c:ext>
          </c:extLst>
        </c:ser>
        <c:dLbls>
          <c:showLegendKey val="0"/>
          <c:showVal val="0"/>
          <c:showCatName val="0"/>
          <c:showSerName val="0"/>
          <c:showPercent val="0"/>
          <c:showBubbleSize val="0"/>
        </c:dLbls>
        <c:smooth val="0"/>
        <c:axId val="1767852576"/>
        <c:axId val="1767848256"/>
      </c:lineChart>
      <c:catAx>
        <c:axId val="1767852576"/>
        <c:scaling>
          <c:orientation val="minMax"/>
        </c:scaling>
        <c:delete val="0"/>
        <c:axPos val="b"/>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48256"/>
        <c:crosses val="autoZero"/>
        <c:auto val="1"/>
        <c:lblAlgn val="ctr"/>
        <c:lblOffset val="100"/>
        <c:noMultiLvlLbl val="0"/>
      </c:catAx>
      <c:valAx>
        <c:axId val="176784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78525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[Shubham 2.xlsx]Pivot &amp; Insights!PivotTable5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Holiday</a:t>
            </a:r>
            <a:r>
              <a:rPr lang="en-US" baseline="0"/>
              <a:t> Impact on Bike Rentals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&amp; Insights'!$B$44</c:f>
              <c:strCache>
                <c:ptCount val="1"/>
                <c:pt idx="0">
                  <c:v>Sum of casual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Insights'!$A$45:$A$47</c:f>
              <c:strCache>
                <c:ptCount val="2"/>
                <c:pt idx="0">
                  <c:v>0</c:v>
                </c:pt>
                <c:pt idx="1">
                  <c:v>1</c:v>
                </c:pt>
              </c:strCache>
            </c:strRef>
          </c:cat>
          <c:val>
            <c:numRef>
              <c:f>'Pivot &amp; Insights'!$B$45:$B$47</c:f>
              <c:numCache>
                <c:formatCode>General</c:formatCode>
                <c:ptCount val="2"/>
                <c:pt idx="0">
                  <c:v>4804</c:v>
                </c:pt>
                <c:pt idx="1">
                  <c:v>117</c:v>
                </c:pt>
              </c:numCache>
            </c:numRef>
          </c:val>
          <c:extLst>
            <c:ext xmlns:c16="http://schemas.microsoft.com/office/drawing/2014/chart" uri="{C3380CC4-5D6E-409C-BE32-E72D297353CC}">
              <c16:uniqueId val="{00000000-3474-4E35-98CF-EDBCB8AA2014}"/>
            </c:ext>
          </c:extLst>
        </c:ser>
        <c:ser>
          <c:idx val="1"/>
          <c:order val="1"/>
          <c:tx>
            <c:strRef>
              <c:f>'Pivot &amp; Insights'!$C$44</c:f>
              <c:strCache>
                <c:ptCount val="1"/>
                <c:pt idx="0">
                  <c:v>Sum of registered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Insights'!$A$45:$A$47</c:f>
              <c:strCache>
                <c:ptCount val="2"/>
                <c:pt idx="0">
                  <c:v>0</c:v>
                </c:pt>
                <c:pt idx="1">
                  <c:v>1</c:v>
                </c:pt>
              </c:strCache>
            </c:strRef>
          </c:cat>
          <c:val>
            <c:numRef>
              <c:f>'Pivot &amp; Insights'!$C$45:$C$47</c:f>
              <c:numCache>
                <c:formatCode>General</c:formatCode>
                <c:ptCount val="2"/>
                <c:pt idx="0">
                  <c:v>52500</c:v>
                </c:pt>
                <c:pt idx="1">
                  <c:v>883</c:v>
                </c:pt>
              </c:numCache>
            </c:numRef>
          </c:val>
          <c:extLst>
            <c:ext xmlns:c16="http://schemas.microsoft.com/office/drawing/2014/chart" uri="{C3380CC4-5D6E-409C-BE32-E72D297353CC}">
              <c16:uniqueId val="{00000001-3474-4E35-98CF-EDBCB8AA2014}"/>
            </c:ext>
          </c:extLst>
        </c:ser>
        <c:dLbls>
          <c:showLegendKey val="0"/>
          <c:showVal val="1"/>
          <c:showCatName val="0"/>
          <c:showSerName val="0"/>
          <c:showPercent val="0"/>
          <c:showBubbleSize val="0"/>
        </c:dLbls>
        <c:gapWidth val="150"/>
        <c:shape val="box"/>
        <c:axId val="300537856"/>
        <c:axId val="300538816"/>
        <c:axId val="0"/>
      </c:bar3DChart>
      <c:catAx>
        <c:axId val="3005378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538816"/>
        <c:crosses val="autoZero"/>
        <c:auto val="1"/>
        <c:lblAlgn val="ctr"/>
        <c:lblOffset val="100"/>
        <c:noMultiLvlLbl val="0"/>
      </c:catAx>
      <c:valAx>
        <c:axId val="30053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053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rnd" cmpd="sng" algn="ctr">
      <a:solidFill>
        <a:schemeClr val="bg2">
          <a:lumMod val="75000"/>
          <a:alpha val="9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[Shubham 2.xlsx]Pivot &amp; Insights!PivotTable12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Weekday and hr wise</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Insights'!$J$4:$J$5</c:f>
              <c:strCache>
                <c:ptCount val="1"/>
                <c:pt idx="0">
                  <c:v>0</c:v>
                </c:pt>
              </c:strCache>
            </c:strRef>
          </c:tx>
          <c:spPr>
            <a:solidFill>
              <a:schemeClr val="accent1"/>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Insights'!$J$6:$J$13</c:f>
              <c:numCache>
                <c:formatCode>0</c:formatCode>
                <c:ptCount val="7"/>
                <c:pt idx="0">
                  <c:v>30.571428571428573</c:v>
                </c:pt>
                <c:pt idx="1">
                  <c:v>9.5714285714285712</c:v>
                </c:pt>
                <c:pt idx="2">
                  <c:v>8.8000000000000007</c:v>
                </c:pt>
                <c:pt idx="3">
                  <c:v>8.6666666666666661</c:v>
                </c:pt>
                <c:pt idx="4">
                  <c:v>11.8</c:v>
                </c:pt>
                <c:pt idx="5">
                  <c:v>14.666666666666666</c:v>
                </c:pt>
                <c:pt idx="6">
                  <c:v>25.571428571428573</c:v>
                </c:pt>
              </c:numCache>
            </c:numRef>
          </c:val>
          <c:extLst>
            <c:ext xmlns:c16="http://schemas.microsoft.com/office/drawing/2014/chart" uri="{C3380CC4-5D6E-409C-BE32-E72D297353CC}">
              <c16:uniqueId val="{00000000-F645-4180-A324-FA8E2C67F5E5}"/>
            </c:ext>
          </c:extLst>
        </c:ser>
        <c:ser>
          <c:idx val="1"/>
          <c:order val="1"/>
          <c:tx>
            <c:strRef>
              <c:f>'Pivot &amp; Insights'!$K$4:$K$5</c:f>
              <c:strCache>
                <c:ptCount val="1"/>
                <c:pt idx="0">
                  <c:v>1</c:v>
                </c:pt>
              </c:strCache>
            </c:strRef>
          </c:tx>
          <c:spPr>
            <a:solidFill>
              <a:schemeClr val="accent2"/>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Insights'!$K$6:$K$13</c:f>
              <c:numCache>
                <c:formatCode>0</c:formatCode>
                <c:ptCount val="7"/>
                <c:pt idx="0">
                  <c:v>23.142857142857142</c:v>
                </c:pt>
                <c:pt idx="1">
                  <c:v>5.5714285714285712</c:v>
                </c:pt>
                <c:pt idx="2">
                  <c:v>3.4</c:v>
                </c:pt>
                <c:pt idx="3">
                  <c:v>5.666666666666667</c:v>
                </c:pt>
                <c:pt idx="4">
                  <c:v>4.5999999999999996</c:v>
                </c:pt>
                <c:pt idx="5">
                  <c:v>5.833333333333333</c:v>
                </c:pt>
                <c:pt idx="6">
                  <c:v>21.428571428571427</c:v>
                </c:pt>
              </c:numCache>
            </c:numRef>
          </c:val>
          <c:extLst>
            <c:ext xmlns:c16="http://schemas.microsoft.com/office/drawing/2014/chart" uri="{C3380CC4-5D6E-409C-BE32-E72D297353CC}">
              <c16:uniqueId val="{00000001-8754-47D1-8F91-9C7E402F7827}"/>
            </c:ext>
          </c:extLst>
        </c:ser>
        <c:ser>
          <c:idx val="2"/>
          <c:order val="2"/>
          <c:tx>
            <c:strRef>
              <c:f>'Pivot &amp; Insights'!$L$4:$L$5</c:f>
              <c:strCache>
                <c:ptCount val="1"/>
                <c:pt idx="0">
                  <c:v>2</c:v>
                </c:pt>
              </c:strCache>
            </c:strRef>
          </c:tx>
          <c:spPr>
            <a:solidFill>
              <a:schemeClr val="accent3"/>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Insights'!$L$6:$L$13</c:f>
              <c:numCache>
                <c:formatCode>0</c:formatCode>
                <c:ptCount val="7"/>
                <c:pt idx="0">
                  <c:v>15</c:v>
                </c:pt>
                <c:pt idx="1">
                  <c:v>3.4</c:v>
                </c:pt>
                <c:pt idx="2">
                  <c:v>2</c:v>
                </c:pt>
                <c:pt idx="3">
                  <c:v>3.8333333333333335</c:v>
                </c:pt>
                <c:pt idx="4">
                  <c:v>2.2000000000000002</c:v>
                </c:pt>
                <c:pt idx="5">
                  <c:v>1.6666666666666667</c:v>
                </c:pt>
                <c:pt idx="6">
                  <c:v>16.857142857142858</c:v>
                </c:pt>
              </c:numCache>
            </c:numRef>
          </c:val>
          <c:extLst>
            <c:ext xmlns:c16="http://schemas.microsoft.com/office/drawing/2014/chart" uri="{C3380CC4-5D6E-409C-BE32-E72D297353CC}">
              <c16:uniqueId val="{00000002-8754-47D1-8F91-9C7E402F7827}"/>
            </c:ext>
          </c:extLst>
        </c:ser>
        <c:ser>
          <c:idx val="3"/>
          <c:order val="3"/>
          <c:tx>
            <c:strRef>
              <c:f>'Pivot &amp; Insights'!$M$4:$M$5</c:f>
              <c:strCache>
                <c:ptCount val="1"/>
                <c:pt idx="0">
                  <c:v>3</c:v>
                </c:pt>
              </c:strCache>
            </c:strRef>
          </c:tx>
          <c:spPr>
            <a:solidFill>
              <a:schemeClr val="accent4"/>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Insights'!$M$6:$M$13</c:f>
              <c:numCache>
                <c:formatCode>0</c:formatCode>
                <c:ptCount val="7"/>
                <c:pt idx="0">
                  <c:v>9</c:v>
                </c:pt>
                <c:pt idx="1">
                  <c:v>1.5</c:v>
                </c:pt>
                <c:pt idx="2">
                  <c:v>1.5</c:v>
                </c:pt>
                <c:pt idx="3">
                  <c:v>1.5</c:v>
                </c:pt>
                <c:pt idx="4">
                  <c:v>1.6666666666666667</c:v>
                </c:pt>
                <c:pt idx="5">
                  <c:v>1</c:v>
                </c:pt>
                <c:pt idx="6">
                  <c:v>9.1428571428571423</c:v>
                </c:pt>
              </c:numCache>
            </c:numRef>
          </c:val>
          <c:extLst>
            <c:ext xmlns:c16="http://schemas.microsoft.com/office/drawing/2014/chart" uri="{C3380CC4-5D6E-409C-BE32-E72D297353CC}">
              <c16:uniqueId val="{00000003-8754-47D1-8F91-9C7E402F7827}"/>
            </c:ext>
          </c:extLst>
        </c:ser>
        <c:ser>
          <c:idx val="4"/>
          <c:order val="4"/>
          <c:tx>
            <c:strRef>
              <c:f>'Pivot &amp; Insights'!$N$4:$N$5</c:f>
              <c:strCache>
                <c:ptCount val="1"/>
                <c:pt idx="0">
                  <c:v>4</c:v>
                </c:pt>
              </c:strCache>
            </c:strRef>
          </c:tx>
          <c:spPr>
            <a:solidFill>
              <a:schemeClr val="accent5"/>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Insights'!$N$6:$N$13</c:f>
              <c:numCache>
                <c:formatCode>0</c:formatCode>
                <c:ptCount val="7"/>
                <c:pt idx="0">
                  <c:v>1.6666666666666667</c:v>
                </c:pt>
                <c:pt idx="1">
                  <c:v>2</c:v>
                </c:pt>
                <c:pt idx="2">
                  <c:v>2</c:v>
                </c:pt>
                <c:pt idx="3">
                  <c:v>1.6666666666666667</c:v>
                </c:pt>
                <c:pt idx="4">
                  <c:v>1.75</c:v>
                </c:pt>
                <c:pt idx="5">
                  <c:v>1</c:v>
                </c:pt>
                <c:pt idx="6">
                  <c:v>3.5714285714285716</c:v>
                </c:pt>
              </c:numCache>
            </c:numRef>
          </c:val>
          <c:extLst>
            <c:ext xmlns:c16="http://schemas.microsoft.com/office/drawing/2014/chart" uri="{C3380CC4-5D6E-409C-BE32-E72D297353CC}">
              <c16:uniqueId val="{00000004-8754-47D1-8F91-9C7E402F7827}"/>
            </c:ext>
          </c:extLst>
        </c:ser>
        <c:ser>
          <c:idx val="5"/>
          <c:order val="5"/>
          <c:tx>
            <c:strRef>
              <c:f>'Pivot &amp; Insights'!$O$4:$O$5</c:f>
              <c:strCache>
                <c:ptCount val="1"/>
                <c:pt idx="0">
                  <c:v>5</c:v>
                </c:pt>
              </c:strCache>
            </c:strRef>
          </c:tx>
          <c:spPr>
            <a:solidFill>
              <a:schemeClr val="accent6"/>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Insights'!$O$6:$O$13</c:f>
              <c:numCache>
                <c:formatCode>0</c:formatCode>
                <c:ptCount val="7"/>
                <c:pt idx="0">
                  <c:v>2</c:v>
                </c:pt>
                <c:pt idx="1">
                  <c:v>4.7142857142857144</c:v>
                </c:pt>
                <c:pt idx="2">
                  <c:v>4.8</c:v>
                </c:pt>
                <c:pt idx="3">
                  <c:v>4.333333333333333</c:v>
                </c:pt>
                <c:pt idx="4">
                  <c:v>4.2</c:v>
                </c:pt>
                <c:pt idx="5">
                  <c:v>5.5</c:v>
                </c:pt>
                <c:pt idx="6">
                  <c:v>3.4</c:v>
                </c:pt>
              </c:numCache>
            </c:numRef>
          </c:val>
          <c:extLst>
            <c:ext xmlns:c16="http://schemas.microsoft.com/office/drawing/2014/chart" uri="{C3380CC4-5D6E-409C-BE32-E72D297353CC}">
              <c16:uniqueId val="{00000005-8754-47D1-8F91-9C7E402F7827}"/>
            </c:ext>
          </c:extLst>
        </c:ser>
        <c:ser>
          <c:idx val="6"/>
          <c:order val="6"/>
          <c:tx>
            <c:strRef>
              <c:f>'Pivot &amp; Insights'!$P$4:$P$5</c:f>
              <c:strCache>
                <c:ptCount val="1"/>
                <c:pt idx="0">
                  <c:v>6</c:v>
                </c:pt>
              </c:strCache>
            </c:strRef>
          </c:tx>
          <c:spPr>
            <a:solidFill>
              <a:schemeClr val="accent1">
                <a:lumMod val="6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Insights'!$P$6:$P$13</c:f>
              <c:numCache>
                <c:formatCode>0</c:formatCode>
                <c:ptCount val="7"/>
                <c:pt idx="0">
                  <c:v>1.8333333333333333</c:v>
                </c:pt>
                <c:pt idx="1">
                  <c:v>24.857142857142858</c:v>
                </c:pt>
                <c:pt idx="2">
                  <c:v>32</c:v>
                </c:pt>
                <c:pt idx="3">
                  <c:v>25</c:v>
                </c:pt>
                <c:pt idx="4">
                  <c:v>32.799999999999997</c:v>
                </c:pt>
                <c:pt idx="5">
                  <c:v>24.333333333333332</c:v>
                </c:pt>
                <c:pt idx="6">
                  <c:v>2.4285714285714284</c:v>
                </c:pt>
              </c:numCache>
            </c:numRef>
          </c:val>
          <c:extLst>
            <c:ext xmlns:c16="http://schemas.microsoft.com/office/drawing/2014/chart" uri="{C3380CC4-5D6E-409C-BE32-E72D297353CC}">
              <c16:uniqueId val="{00000006-8754-47D1-8F91-9C7E402F7827}"/>
            </c:ext>
          </c:extLst>
        </c:ser>
        <c:ser>
          <c:idx val="7"/>
          <c:order val="7"/>
          <c:tx>
            <c:strRef>
              <c:f>'Pivot &amp; Insights'!$Q$4:$Q$5</c:f>
              <c:strCache>
                <c:ptCount val="1"/>
                <c:pt idx="0">
                  <c:v>7</c:v>
                </c:pt>
              </c:strCache>
            </c:strRef>
          </c:tx>
          <c:spPr>
            <a:solidFill>
              <a:schemeClr val="accent2">
                <a:lumMod val="6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Insights'!$Q$6:$Q$13</c:f>
              <c:numCache>
                <c:formatCode>0</c:formatCode>
                <c:ptCount val="7"/>
                <c:pt idx="0">
                  <c:v>3.7142857142857144</c:v>
                </c:pt>
                <c:pt idx="1">
                  <c:v>71.857142857142861</c:v>
                </c:pt>
                <c:pt idx="2">
                  <c:v>90.6</c:v>
                </c:pt>
                <c:pt idx="3">
                  <c:v>68.333333333333329</c:v>
                </c:pt>
                <c:pt idx="4">
                  <c:v>90.8</c:v>
                </c:pt>
                <c:pt idx="5">
                  <c:v>73.833333333333329</c:v>
                </c:pt>
                <c:pt idx="6">
                  <c:v>7.1428571428571432</c:v>
                </c:pt>
              </c:numCache>
            </c:numRef>
          </c:val>
          <c:extLst>
            <c:ext xmlns:c16="http://schemas.microsoft.com/office/drawing/2014/chart" uri="{C3380CC4-5D6E-409C-BE32-E72D297353CC}">
              <c16:uniqueId val="{00000007-8754-47D1-8F91-9C7E402F7827}"/>
            </c:ext>
          </c:extLst>
        </c:ser>
        <c:ser>
          <c:idx val="8"/>
          <c:order val="8"/>
          <c:tx>
            <c:strRef>
              <c:f>'Pivot &amp; Insights'!$R$4:$R$5</c:f>
              <c:strCache>
                <c:ptCount val="1"/>
                <c:pt idx="0">
                  <c:v>8</c:v>
                </c:pt>
              </c:strCache>
            </c:strRef>
          </c:tx>
          <c:spPr>
            <a:solidFill>
              <a:schemeClr val="accent3">
                <a:lumMod val="6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Insights'!$R$6:$R$13</c:f>
              <c:numCache>
                <c:formatCode>0</c:formatCode>
                <c:ptCount val="7"/>
                <c:pt idx="0">
                  <c:v>14.571428571428571</c:v>
                </c:pt>
                <c:pt idx="1">
                  <c:v>161.16666666666666</c:v>
                </c:pt>
                <c:pt idx="2">
                  <c:v>202.4</c:v>
                </c:pt>
                <c:pt idx="3">
                  <c:v>157.66666666666666</c:v>
                </c:pt>
                <c:pt idx="4">
                  <c:v>207.2</c:v>
                </c:pt>
                <c:pt idx="5">
                  <c:v>196.33333333333334</c:v>
                </c:pt>
                <c:pt idx="6">
                  <c:v>21</c:v>
                </c:pt>
              </c:numCache>
            </c:numRef>
          </c:val>
          <c:extLst>
            <c:ext xmlns:c16="http://schemas.microsoft.com/office/drawing/2014/chart" uri="{C3380CC4-5D6E-409C-BE32-E72D297353CC}">
              <c16:uniqueId val="{00000008-8754-47D1-8F91-9C7E402F7827}"/>
            </c:ext>
          </c:extLst>
        </c:ser>
        <c:ser>
          <c:idx val="9"/>
          <c:order val="9"/>
          <c:tx>
            <c:strRef>
              <c:f>'Pivot &amp; Insights'!$S$4:$S$5</c:f>
              <c:strCache>
                <c:ptCount val="1"/>
                <c:pt idx="0">
                  <c:v>9</c:v>
                </c:pt>
              </c:strCache>
            </c:strRef>
          </c:tx>
          <c:spPr>
            <a:solidFill>
              <a:schemeClr val="accent4">
                <a:lumMod val="6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Insights'!$S$6:$S$13</c:f>
              <c:numCache>
                <c:formatCode>0</c:formatCode>
                <c:ptCount val="7"/>
                <c:pt idx="0">
                  <c:v>32.714285714285715</c:v>
                </c:pt>
                <c:pt idx="1">
                  <c:v>93.5</c:v>
                </c:pt>
                <c:pt idx="2">
                  <c:v>125</c:v>
                </c:pt>
                <c:pt idx="3">
                  <c:v>101.5</c:v>
                </c:pt>
                <c:pt idx="4">
                  <c:v>131.80000000000001</c:v>
                </c:pt>
                <c:pt idx="5">
                  <c:v>130.83333333333334</c:v>
                </c:pt>
                <c:pt idx="6">
                  <c:v>29.142857142857142</c:v>
                </c:pt>
              </c:numCache>
            </c:numRef>
          </c:val>
          <c:extLst>
            <c:ext xmlns:c16="http://schemas.microsoft.com/office/drawing/2014/chart" uri="{C3380CC4-5D6E-409C-BE32-E72D297353CC}">
              <c16:uniqueId val="{00000009-8754-47D1-8F91-9C7E402F7827}"/>
            </c:ext>
          </c:extLst>
        </c:ser>
        <c:ser>
          <c:idx val="10"/>
          <c:order val="10"/>
          <c:tx>
            <c:strRef>
              <c:f>'Pivot &amp; Insights'!$T$4:$T$5</c:f>
              <c:strCache>
                <c:ptCount val="1"/>
                <c:pt idx="0">
                  <c:v>10</c:v>
                </c:pt>
              </c:strCache>
            </c:strRef>
          </c:tx>
          <c:spPr>
            <a:solidFill>
              <a:schemeClr val="accent5">
                <a:lumMod val="6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Insights'!$T$6:$T$13</c:f>
              <c:numCache>
                <c:formatCode>0</c:formatCode>
                <c:ptCount val="7"/>
                <c:pt idx="0">
                  <c:v>71</c:v>
                </c:pt>
                <c:pt idx="1">
                  <c:v>49.333333333333336</c:v>
                </c:pt>
                <c:pt idx="2">
                  <c:v>49.2</c:v>
                </c:pt>
                <c:pt idx="3">
                  <c:v>48.5</c:v>
                </c:pt>
                <c:pt idx="4">
                  <c:v>45.4</c:v>
                </c:pt>
                <c:pt idx="5">
                  <c:v>52.333333333333336</c:v>
                </c:pt>
                <c:pt idx="6">
                  <c:v>54.571428571428569</c:v>
                </c:pt>
              </c:numCache>
            </c:numRef>
          </c:val>
          <c:extLst>
            <c:ext xmlns:c16="http://schemas.microsoft.com/office/drawing/2014/chart" uri="{C3380CC4-5D6E-409C-BE32-E72D297353CC}">
              <c16:uniqueId val="{0000000A-8754-47D1-8F91-9C7E402F7827}"/>
            </c:ext>
          </c:extLst>
        </c:ser>
        <c:ser>
          <c:idx val="11"/>
          <c:order val="11"/>
          <c:tx>
            <c:strRef>
              <c:f>'Pivot &amp; Insights'!$U$4:$U$5</c:f>
              <c:strCache>
                <c:ptCount val="1"/>
                <c:pt idx="0">
                  <c:v>11</c:v>
                </c:pt>
              </c:strCache>
            </c:strRef>
          </c:tx>
          <c:spPr>
            <a:solidFill>
              <a:schemeClr val="accent6">
                <a:lumMod val="6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Insights'!$U$6:$U$13</c:f>
              <c:numCache>
                <c:formatCode>0</c:formatCode>
                <c:ptCount val="7"/>
                <c:pt idx="0">
                  <c:v>85.571428571428569</c:v>
                </c:pt>
                <c:pt idx="1">
                  <c:v>47.666666666666664</c:v>
                </c:pt>
                <c:pt idx="2">
                  <c:v>50.8</c:v>
                </c:pt>
                <c:pt idx="3">
                  <c:v>44.5</c:v>
                </c:pt>
                <c:pt idx="4">
                  <c:v>54.6</c:v>
                </c:pt>
                <c:pt idx="5">
                  <c:v>56.166666666666664</c:v>
                </c:pt>
                <c:pt idx="6">
                  <c:v>68.285714285714292</c:v>
                </c:pt>
              </c:numCache>
            </c:numRef>
          </c:val>
          <c:extLst>
            <c:ext xmlns:c16="http://schemas.microsoft.com/office/drawing/2014/chart" uri="{C3380CC4-5D6E-409C-BE32-E72D297353CC}">
              <c16:uniqueId val="{0000000B-8754-47D1-8F91-9C7E402F7827}"/>
            </c:ext>
          </c:extLst>
        </c:ser>
        <c:ser>
          <c:idx val="12"/>
          <c:order val="12"/>
          <c:tx>
            <c:strRef>
              <c:f>'Pivot &amp; Insights'!$V$4:$V$5</c:f>
              <c:strCache>
                <c:ptCount val="1"/>
                <c:pt idx="0">
                  <c:v>12</c:v>
                </c:pt>
              </c:strCache>
            </c:strRef>
          </c:tx>
          <c:spPr>
            <a:solidFill>
              <a:schemeClr val="accent1">
                <a:lumMod val="80000"/>
                <a:lumOff val="2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Insights'!$V$6:$V$13</c:f>
              <c:numCache>
                <c:formatCode>0</c:formatCode>
                <c:ptCount val="7"/>
                <c:pt idx="0">
                  <c:v>117</c:v>
                </c:pt>
                <c:pt idx="1">
                  <c:v>65</c:v>
                </c:pt>
                <c:pt idx="2">
                  <c:v>60.666666666666664</c:v>
                </c:pt>
                <c:pt idx="3">
                  <c:v>62.833333333333336</c:v>
                </c:pt>
                <c:pt idx="4">
                  <c:v>71.599999999999994</c:v>
                </c:pt>
                <c:pt idx="5">
                  <c:v>64</c:v>
                </c:pt>
                <c:pt idx="6">
                  <c:v>84.428571428571431</c:v>
                </c:pt>
              </c:numCache>
            </c:numRef>
          </c:val>
          <c:extLst>
            <c:ext xmlns:c16="http://schemas.microsoft.com/office/drawing/2014/chart" uri="{C3380CC4-5D6E-409C-BE32-E72D297353CC}">
              <c16:uniqueId val="{0000000C-8754-47D1-8F91-9C7E402F7827}"/>
            </c:ext>
          </c:extLst>
        </c:ser>
        <c:ser>
          <c:idx val="13"/>
          <c:order val="13"/>
          <c:tx>
            <c:strRef>
              <c:f>'Pivot &amp; Insights'!$W$4:$W$5</c:f>
              <c:strCache>
                <c:ptCount val="1"/>
                <c:pt idx="0">
                  <c:v>13</c:v>
                </c:pt>
              </c:strCache>
            </c:strRef>
          </c:tx>
          <c:spPr>
            <a:solidFill>
              <a:schemeClr val="accent2">
                <a:lumMod val="80000"/>
                <a:lumOff val="2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Insights'!$W$6:$W$13</c:f>
              <c:numCache>
                <c:formatCode>0</c:formatCode>
                <c:ptCount val="7"/>
                <c:pt idx="0">
                  <c:v>110.71428571428571</c:v>
                </c:pt>
                <c:pt idx="1">
                  <c:v>64.333333333333329</c:v>
                </c:pt>
                <c:pt idx="2">
                  <c:v>61</c:v>
                </c:pt>
                <c:pt idx="3">
                  <c:v>64.833333333333329</c:v>
                </c:pt>
                <c:pt idx="4">
                  <c:v>72.2</c:v>
                </c:pt>
                <c:pt idx="5">
                  <c:v>74.333333333333329</c:v>
                </c:pt>
                <c:pt idx="6">
                  <c:v>93.285714285714292</c:v>
                </c:pt>
              </c:numCache>
            </c:numRef>
          </c:val>
          <c:extLst>
            <c:ext xmlns:c16="http://schemas.microsoft.com/office/drawing/2014/chart" uri="{C3380CC4-5D6E-409C-BE32-E72D297353CC}">
              <c16:uniqueId val="{0000000D-8754-47D1-8F91-9C7E402F7827}"/>
            </c:ext>
          </c:extLst>
        </c:ser>
        <c:ser>
          <c:idx val="14"/>
          <c:order val="14"/>
          <c:tx>
            <c:strRef>
              <c:f>'Pivot &amp; Insights'!$X$4:$X$5</c:f>
              <c:strCache>
                <c:ptCount val="1"/>
                <c:pt idx="0">
                  <c:v>14</c:v>
                </c:pt>
              </c:strCache>
            </c:strRef>
          </c:tx>
          <c:spPr>
            <a:solidFill>
              <a:schemeClr val="accent3">
                <a:lumMod val="80000"/>
                <a:lumOff val="2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Insights'!$X$6:$X$13</c:f>
              <c:numCache>
                <c:formatCode>0</c:formatCode>
                <c:ptCount val="7"/>
                <c:pt idx="0">
                  <c:v>110.85714285714286</c:v>
                </c:pt>
                <c:pt idx="1">
                  <c:v>66.833333333333329</c:v>
                </c:pt>
                <c:pt idx="2">
                  <c:v>56.666666666666664</c:v>
                </c:pt>
                <c:pt idx="3">
                  <c:v>56.333333333333336</c:v>
                </c:pt>
                <c:pt idx="4">
                  <c:v>57.6</c:v>
                </c:pt>
                <c:pt idx="5">
                  <c:v>64.833333333333329</c:v>
                </c:pt>
                <c:pt idx="6">
                  <c:v>95.428571428571431</c:v>
                </c:pt>
              </c:numCache>
            </c:numRef>
          </c:val>
          <c:extLst>
            <c:ext xmlns:c16="http://schemas.microsoft.com/office/drawing/2014/chart" uri="{C3380CC4-5D6E-409C-BE32-E72D297353CC}">
              <c16:uniqueId val="{0000000E-8754-47D1-8F91-9C7E402F7827}"/>
            </c:ext>
          </c:extLst>
        </c:ser>
        <c:ser>
          <c:idx val="15"/>
          <c:order val="15"/>
          <c:tx>
            <c:strRef>
              <c:f>'Pivot &amp; Insights'!$Y$4:$Y$5</c:f>
              <c:strCache>
                <c:ptCount val="1"/>
                <c:pt idx="0">
                  <c:v>15</c:v>
                </c:pt>
              </c:strCache>
            </c:strRef>
          </c:tx>
          <c:spPr>
            <a:solidFill>
              <a:schemeClr val="accent4">
                <a:lumMod val="80000"/>
                <a:lumOff val="2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Insights'!$Y$6:$Y$13</c:f>
              <c:numCache>
                <c:formatCode>0</c:formatCode>
                <c:ptCount val="7"/>
                <c:pt idx="0">
                  <c:v>114.14285714285714</c:v>
                </c:pt>
                <c:pt idx="1">
                  <c:v>60.166666666666664</c:v>
                </c:pt>
                <c:pt idx="2">
                  <c:v>55.666666666666664</c:v>
                </c:pt>
                <c:pt idx="3">
                  <c:v>62.666666666666664</c:v>
                </c:pt>
                <c:pt idx="4">
                  <c:v>60.4</c:v>
                </c:pt>
                <c:pt idx="5">
                  <c:v>68.333333333333329</c:v>
                </c:pt>
                <c:pt idx="6">
                  <c:v>110</c:v>
                </c:pt>
              </c:numCache>
            </c:numRef>
          </c:val>
          <c:extLst>
            <c:ext xmlns:c16="http://schemas.microsoft.com/office/drawing/2014/chart" uri="{C3380CC4-5D6E-409C-BE32-E72D297353CC}">
              <c16:uniqueId val="{0000000F-8754-47D1-8F91-9C7E402F7827}"/>
            </c:ext>
          </c:extLst>
        </c:ser>
        <c:ser>
          <c:idx val="16"/>
          <c:order val="16"/>
          <c:tx>
            <c:strRef>
              <c:f>'Pivot &amp; Insights'!$Z$4:$Z$5</c:f>
              <c:strCache>
                <c:ptCount val="1"/>
                <c:pt idx="0">
                  <c:v>16</c:v>
                </c:pt>
              </c:strCache>
            </c:strRef>
          </c:tx>
          <c:spPr>
            <a:solidFill>
              <a:schemeClr val="accent5">
                <a:lumMod val="80000"/>
                <a:lumOff val="2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Insights'!$Z$6:$Z$13</c:f>
              <c:numCache>
                <c:formatCode>0</c:formatCode>
                <c:ptCount val="7"/>
                <c:pt idx="0">
                  <c:v>106.57142857142857</c:v>
                </c:pt>
                <c:pt idx="1">
                  <c:v>83.666666666666671</c:v>
                </c:pt>
                <c:pt idx="2">
                  <c:v>80.5</c:v>
                </c:pt>
                <c:pt idx="3">
                  <c:v>79.833333333333329</c:v>
                </c:pt>
                <c:pt idx="4">
                  <c:v>72.833333333333329</c:v>
                </c:pt>
                <c:pt idx="5">
                  <c:v>96.333333333333329</c:v>
                </c:pt>
                <c:pt idx="6">
                  <c:v>100.42857142857143</c:v>
                </c:pt>
              </c:numCache>
            </c:numRef>
          </c:val>
          <c:extLst>
            <c:ext xmlns:c16="http://schemas.microsoft.com/office/drawing/2014/chart" uri="{C3380CC4-5D6E-409C-BE32-E72D297353CC}">
              <c16:uniqueId val="{00000010-8754-47D1-8F91-9C7E402F7827}"/>
            </c:ext>
          </c:extLst>
        </c:ser>
        <c:ser>
          <c:idx val="17"/>
          <c:order val="17"/>
          <c:tx>
            <c:strRef>
              <c:f>'Pivot &amp; Insights'!$AA$4:$AA$5</c:f>
              <c:strCache>
                <c:ptCount val="1"/>
                <c:pt idx="0">
                  <c:v>17</c:v>
                </c:pt>
              </c:strCache>
            </c:strRef>
          </c:tx>
          <c:spPr>
            <a:solidFill>
              <a:schemeClr val="accent6">
                <a:lumMod val="80000"/>
                <a:lumOff val="2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Insights'!$AA$6:$AA$13</c:f>
              <c:numCache>
                <c:formatCode>0</c:formatCode>
                <c:ptCount val="7"/>
                <c:pt idx="0">
                  <c:v>87.142857142857139</c:v>
                </c:pt>
                <c:pt idx="1">
                  <c:v>161.16666666666666</c:v>
                </c:pt>
                <c:pt idx="2">
                  <c:v>174.5</c:v>
                </c:pt>
                <c:pt idx="3">
                  <c:v>151.33333333333334</c:v>
                </c:pt>
                <c:pt idx="4">
                  <c:v>162.16666666666666</c:v>
                </c:pt>
                <c:pt idx="5">
                  <c:v>178.66666666666666</c:v>
                </c:pt>
                <c:pt idx="6">
                  <c:v>84.571428571428569</c:v>
                </c:pt>
              </c:numCache>
            </c:numRef>
          </c:val>
          <c:extLst>
            <c:ext xmlns:c16="http://schemas.microsoft.com/office/drawing/2014/chart" uri="{C3380CC4-5D6E-409C-BE32-E72D297353CC}">
              <c16:uniqueId val="{00000011-8754-47D1-8F91-9C7E402F7827}"/>
            </c:ext>
          </c:extLst>
        </c:ser>
        <c:ser>
          <c:idx val="18"/>
          <c:order val="18"/>
          <c:tx>
            <c:strRef>
              <c:f>'Pivot &amp; Insights'!$AB$4:$AB$5</c:f>
              <c:strCache>
                <c:ptCount val="1"/>
                <c:pt idx="0">
                  <c:v>18</c:v>
                </c:pt>
              </c:strCache>
            </c:strRef>
          </c:tx>
          <c:spPr>
            <a:solidFill>
              <a:schemeClr val="accent1">
                <a:lumMod val="8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Insights'!$AB$6:$AB$13</c:f>
              <c:numCache>
                <c:formatCode>0</c:formatCode>
                <c:ptCount val="7"/>
                <c:pt idx="0">
                  <c:v>65</c:v>
                </c:pt>
                <c:pt idx="1">
                  <c:v>148</c:v>
                </c:pt>
                <c:pt idx="2">
                  <c:v>159.16666666666666</c:v>
                </c:pt>
                <c:pt idx="3">
                  <c:v>163.80000000000001</c:v>
                </c:pt>
                <c:pt idx="4">
                  <c:v>150.5</c:v>
                </c:pt>
                <c:pt idx="5">
                  <c:v>136.66666666666666</c:v>
                </c:pt>
                <c:pt idx="6">
                  <c:v>63.285714285714285</c:v>
                </c:pt>
              </c:numCache>
            </c:numRef>
          </c:val>
          <c:extLst>
            <c:ext xmlns:c16="http://schemas.microsoft.com/office/drawing/2014/chart" uri="{C3380CC4-5D6E-409C-BE32-E72D297353CC}">
              <c16:uniqueId val="{00000012-8754-47D1-8F91-9C7E402F7827}"/>
            </c:ext>
          </c:extLst>
        </c:ser>
        <c:ser>
          <c:idx val="19"/>
          <c:order val="19"/>
          <c:tx>
            <c:strRef>
              <c:f>'Pivot &amp; Insights'!$AC$4:$AC$5</c:f>
              <c:strCache>
                <c:ptCount val="1"/>
                <c:pt idx="0">
                  <c:v>19</c:v>
                </c:pt>
              </c:strCache>
            </c:strRef>
          </c:tx>
          <c:spPr>
            <a:solidFill>
              <a:schemeClr val="accent2">
                <a:lumMod val="8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Insights'!$AC$6:$AC$13</c:f>
              <c:numCache>
                <c:formatCode>0</c:formatCode>
                <c:ptCount val="7"/>
                <c:pt idx="0">
                  <c:v>45.571428571428569</c:v>
                </c:pt>
                <c:pt idx="1">
                  <c:v>101.66666666666667</c:v>
                </c:pt>
                <c:pt idx="2">
                  <c:v>102.83333333333333</c:v>
                </c:pt>
                <c:pt idx="3">
                  <c:v>101.2</c:v>
                </c:pt>
                <c:pt idx="4">
                  <c:v>108.33333333333333</c:v>
                </c:pt>
                <c:pt idx="5">
                  <c:v>96</c:v>
                </c:pt>
                <c:pt idx="6">
                  <c:v>54.714285714285715</c:v>
                </c:pt>
              </c:numCache>
            </c:numRef>
          </c:val>
          <c:extLst>
            <c:ext xmlns:c16="http://schemas.microsoft.com/office/drawing/2014/chart" uri="{C3380CC4-5D6E-409C-BE32-E72D297353CC}">
              <c16:uniqueId val="{00000013-8754-47D1-8F91-9C7E402F7827}"/>
            </c:ext>
          </c:extLst>
        </c:ser>
        <c:ser>
          <c:idx val="20"/>
          <c:order val="20"/>
          <c:tx>
            <c:strRef>
              <c:f>'Pivot &amp; Insights'!$AD$4:$AD$5</c:f>
              <c:strCache>
                <c:ptCount val="1"/>
                <c:pt idx="0">
                  <c:v>20</c:v>
                </c:pt>
              </c:strCache>
            </c:strRef>
          </c:tx>
          <c:spPr>
            <a:solidFill>
              <a:schemeClr val="accent3">
                <a:lumMod val="8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Insights'!$AD$6:$AD$13</c:f>
              <c:numCache>
                <c:formatCode>0</c:formatCode>
                <c:ptCount val="7"/>
                <c:pt idx="0">
                  <c:v>36.857142857142854</c:v>
                </c:pt>
                <c:pt idx="1">
                  <c:v>67.666666666666671</c:v>
                </c:pt>
                <c:pt idx="2">
                  <c:v>69.666666666666671</c:v>
                </c:pt>
                <c:pt idx="3">
                  <c:v>76</c:v>
                </c:pt>
                <c:pt idx="4">
                  <c:v>87.333333333333329</c:v>
                </c:pt>
                <c:pt idx="5">
                  <c:v>61.333333333333336</c:v>
                </c:pt>
                <c:pt idx="6">
                  <c:v>43.142857142857146</c:v>
                </c:pt>
              </c:numCache>
            </c:numRef>
          </c:val>
          <c:extLst>
            <c:ext xmlns:c16="http://schemas.microsoft.com/office/drawing/2014/chart" uri="{C3380CC4-5D6E-409C-BE32-E72D297353CC}">
              <c16:uniqueId val="{00000014-8754-47D1-8F91-9C7E402F7827}"/>
            </c:ext>
          </c:extLst>
        </c:ser>
        <c:ser>
          <c:idx val="21"/>
          <c:order val="21"/>
          <c:tx>
            <c:strRef>
              <c:f>'Pivot &amp; Insights'!$AE$4:$AE$5</c:f>
              <c:strCache>
                <c:ptCount val="1"/>
                <c:pt idx="0">
                  <c:v>21</c:v>
                </c:pt>
              </c:strCache>
            </c:strRef>
          </c:tx>
          <c:spPr>
            <a:solidFill>
              <a:schemeClr val="accent4">
                <a:lumMod val="8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Insights'!$AE$6:$AE$13</c:f>
              <c:numCache>
                <c:formatCode>0</c:formatCode>
                <c:ptCount val="7"/>
                <c:pt idx="0">
                  <c:v>30</c:v>
                </c:pt>
                <c:pt idx="1">
                  <c:v>51.666666666666664</c:v>
                </c:pt>
                <c:pt idx="2">
                  <c:v>45.333333333333336</c:v>
                </c:pt>
                <c:pt idx="3">
                  <c:v>61</c:v>
                </c:pt>
                <c:pt idx="4">
                  <c:v>51.5</c:v>
                </c:pt>
                <c:pt idx="5">
                  <c:v>46.666666666666664</c:v>
                </c:pt>
                <c:pt idx="6">
                  <c:v>44.285714285714285</c:v>
                </c:pt>
              </c:numCache>
            </c:numRef>
          </c:val>
          <c:extLst>
            <c:ext xmlns:c16="http://schemas.microsoft.com/office/drawing/2014/chart" uri="{C3380CC4-5D6E-409C-BE32-E72D297353CC}">
              <c16:uniqueId val="{00000015-8754-47D1-8F91-9C7E402F7827}"/>
            </c:ext>
          </c:extLst>
        </c:ser>
        <c:ser>
          <c:idx val="22"/>
          <c:order val="22"/>
          <c:tx>
            <c:strRef>
              <c:f>'Pivot &amp; Insights'!$AF$4:$AF$5</c:f>
              <c:strCache>
                <c:ptCount val="1"/>
                <c:pt idx="0">
                  <c:v>22</c:v>
                </c:pt>
              </c:strCache>
            </c:strRef>
          </c:tx>
          <c:spPr>
            <a:solidFill>
              <a:schemeClr val="accent5">
                <a:lumMod val="8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Insights'!$AF$6:$AF$13</c:f>
              <c:numCache>
                <c:formatCode>0</c:formatCode>
                <c:ptCount val="7"/>
                <c:pt idx="0">
                  <c:v>27.428571428571427</c:v>
                </c:pt>
                <c:pt idx="1">
                  <c:v>27.166666666666668</c:v>
                </c:pt>
                <c:pt idx="2">
                  <c:v>35.833333333333336</c:v>
                </c:pt>
                <c:pt idx="3">
                  <c:v>44</c:v>
                </c:pt>
                <c:pt idx="4">
                  <c:v>42.833333333333336</c:v>
                </c:pt>
                <c:pt idx="5">
                  <c:v>36.833333333333336</c:v>
                </c:pt>
                <c:pt idx="6">
                  <c:v>34.285714285714285</c:v>
                </c:pt>
              </c:numCache>
            </c:numRef>
          </c:val>
          <c:extLst>
            <c:ext xmlns:c16="http://schemas.microsoft.com/office/drawing/2014/chart" uri="{C3380CC4-5D6E-409C-BE32-E72D297353CC}">
              <c16:uniqueId val="{00000016-8754-47D1-8F91-9C7E402F7827}"/>
            </c:ext>
          </c:extLst>
        </c:ser>
        <c:ser>
          <c:idx val="23"/>
          <c:order val="23"/>
          <c:tx>
            <c:strRef>
              <c:f>'Pivot &amp; Insights'!$AG$4:$AG$5</c:f>
              <c:strCache>
                <c:ptCount val="1"/>
                <c:pt idx="0">
                  <c:v>23</c:v>
                </c:pt>
              </c:strCache>
            </c:strRef>
          </c:tx>
          <c:spPr>
            <a:solidFill>
              <a:schemeClr val="accent6">
                <a:lumMod val="80000"/>
              </a:schemeClr>
            </a:solidFill>
            <a:ln>
              <a:noFill/>
            </a:ln>
            <a:effectLst/>
          </c:spPr>
          <c:invertIfNegative val="0"/>
          <c:cat>
            <c:strRef>
              <c:f>'Pivot &amp; Insights'!$I$6:$I$13</c:f>
              <c:strCache>
                <c:ptCount val="7"/>
                <c:pt idx="0">
                  <c:v>Sunday</c:v>
                </c:pt>
                <c:pt idx="1">
                  <c:v>Monday</c:v>
                </c:pt>
                <c:pt idx="2">
                  <c:v>Tuesday</c:v>
                </c:pt>
                <c:pt idx="3">
                  <c:v>Wednesday</c:v>
                </c:pt>
                <c:pt idx="4">
                  <c:v>Thursday</c:v>
                </c:pt>
                <c:pt idx="5">
                  <c:v>Friday</c:v>
                </c:pt>
                <c:pt idx="6">
                  <c:v>Saturday</c:v>
                </c:pt>
              </c:strCache>
            </c:strRef>
          </c:cat>
          <c:val>
            <c:numRef>
              <c:f>'Pivot &amp; Insights'!$AG$6:$AG$13</c:f>
              <c:numCache>
                <c:formatCode>0</c:formatCode>
                <c:ptCount val="7"/>
                <c:pt idx="0">
                  <c:v>19.142857142857142</c:v>
                </c:pt>
                <c:pt idx="1">
                  <c:v>16.666666666666668</c:v>
                </c:pt>
                <c:pt idx="2">
                  <c:v>19.666666666666668</c:v>
                </c:pt>
                <c:pt idx="3">
                  <c:v>27.2</c:v>
                </c:pt>
                <c:pt idx="4">
                  <c:v>26.166666666666668</c:v>
                </c:pt>
                <c:pt idx="5">
                  <c:v>29.333333333333332</c:v>
                </c:pt>
                <c:pt idx="6">
                  <c:v>37.428571428571431</c:v>
                </c:pt>
              </c:numCache>
            </c:numRef>
          </c:val>
          <c:extLst>
            <c:ext xmlns:c16="http://schemas.microsoft.com/office/drawing/2014/chart" uri="{C3380CC4-5D6E-409C-BE32-E72D297353CC}">
              <c16:uniqueId val="{00000017-8754-47D1-8F91-9C7E402F7827}"/>
            </c:ext>
          </c:extLst>
        </c:ser>
        <c:dLbls>
          <c:showLegendKey val="0"/>
          <c:showVal val="0"/>
          <c:showCatName val="0"/>
          <c:showSerName val="0"/>
          <c:showPercent val="0"/>
          <c:showBubbleSize val="0"/>
        </c:dLbls>
        <c:gapWidth val="219"/>
        <c:overlap val="-27"/>
        <c:axId val="1772410304"/>
        <c:axId val="1772411744"/>
      </c:barChart>
      <c:catAx>
        <c:axId val="177241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411744"/>
        <c:crosses val="autoZero"/>
        <c:auto val="1"/>
        <c:lblAlgn val="ctr"/>
        <c:lblOffset val="100"/>
        <c:noMultiLvlLbl val="0"/>
      </c:catAx>
      <c:valAx>
        <c:axId val="17724117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410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rnd" cmpd="sng" algn="ctr">
      <a:solidFill>
        <a:schemeClr val="bg2">
          <a:lumMod val="75000"/>
          <a:alpha val="90000"/>
        </a:schemeClr>
      </a:solidFill>
      <a:round/>
    </a:ln>
    <a:effectLst/>
    <a:scene3d>
      <a:camera prst="orthographicFront"/>
      <a:lightRig rig="chilly" dir="t"/>
    </a:scene3d>
    <a:sp3d>
      <a:bevelT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[Shubham 2.xlsx]Pivot &amp; Insights!PivotTable4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Weekday Impact on user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Insights'!$B$30</c:f>
              <c:strCache>
                <c:ptCount val="1"/>
                <c:pt idx="0">
                  <c:v>Sum of casual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Insights'!$A$31:$A$38</c:f>
              <c:strCache>
                <c:ptCount val="7"/>
                <c:pt idx="0">
                  <c:v>Sunday</c:v>
                </c:pt>
                <c:pt idx="1">
                  <c:v>Monday</c:v>
                </c:pt>
                <c:pt idx="2">
                  <c:v>Tuesday</c:v>
                </c:pt>
                <c:pt idx="3">
                  <c:v>Wednesday</c:v>
                </c:pt>
                <c:pt idx="4">
                  <c:v>Thursday</c:v>
                </c:pt>
                <c:pt idx="5">
                  <c:v>Friday</c:v>
                </c:pt>
                <c:pt idx="6">
                  <c:v>Saturday</c:v>
                </c:pt>
              </c:strCache>
            </c:strRef>
          </c:cat>
          <c:val>
            <c:numRef>
              <c:f>'Pivot &amp; Insights'!$B$31:$B$38</c:f>
              <c:numCache>
                <c:formatCode>General</c:formatCode>
                <c:ptCount val="7"/>
                <c:pt idx="0">
                  <c:v>1477</c:v>
                </c:pt>
                <c:pt idx="1">
                  <c:v>534</c:v>
                </c:pt>
                <c:pt idx="2">
                  <c:v>457</c:v>
                </c:pt>
                <c:pt idx="3">
                  <c:v>344</c:v>
                </c:pt>
                <c:pt idx="4">
                  <c:v>332</c:v>
                </c:pt>
                <c:pt idx="5">
                  <c:v>552</c:v>
                </c:pt>
                <c:pt idx="6">
                  <c:v>1225</c:v>
                </c:pt>
              </c:numCache>
            </c:numRef>
          </c:val>
          <c:smooth val="0"/>
          <c:extLst>
            <c:ext xmlns:c16="http://schemas.microsoft.com/office/drawing/2014/chart" uri="{C3380CC4-5D6E-409C-BE32-E72D297353CC}">
              <c16:uniqueId val="{00000000-618D-427B-BF2A-E231450E3E91}"/>
            </c:ext>
          </c:extLst>
        </c:ser>
        <c:ser>
          <c:idx val="1"/>
          <c:order val="1"/>
          <c:tx>
            <c:strRef>
              <c:f>'Pivot &amp; Insights'!$C$30</c:f>
              <c:strCache>
                <c:ptCount val="1"/>
                <c:pt idx="0">
                  <c:v>Sum of registered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Insights'!$A$31:$A$38</c:f>
              <c:strCache>
                <c:ptCount val="7"/>
                <c:pt idx="0">
                  <c:v>Sunday</c:v>
                </c:pt>
                <c:pt idx="1">
                  <c:v>Monday</c:v>
                </c:pt>
                <c:pt idx="2">
                  <c:v>Tuesday</c:v>
                </c:pt>
                <c:pt idx="3">
                  <c:v>Wednesday</c:v>
                </c:pt>
                <c:pt idx="4">
                  <c:v>Thursday</c:v>
                </c:pt>
                <c:pt idx="5">
                  <c:v>Friday</c:v>
                </c:pt>
                <c:pt idx="6">
                  <c:v>Saturday</c:v>
                </c:pt>
              </c:strCache>
            </c:strRef>
          </c:cat>
          <c:val>
            <c:numRef>
              <c:f>'Pivot &amp; Insights'!$C$31:$C$38</c:f>
              <c:numCache>
                <c:formatCode>General</c:formatCode>
                <c:ptCount val="7"/>
                <c:pt idx="0">
                  <c:v>6644</c:v>
                </c:pt>
                <c:pt idx="1">
                  <c:v>7916</c:v>
                </c:pt>
                <c:pt idx="2">
                  <c:v>7926</c:v>
                </c:pt>
                <c:pt idx="3">
                  <c:v>7705</c:v>
                </c:pt>
                <c:pt idx="4">
                  <c:v>8126</c:v>
                </c:pt>
                <c:pt idx="5">
                  <c:v>8543</c:v>
                </c:pt>
                <c:pt idx="6">
                  <c:v>6523</c:v>
                </c:pt>
              </c:numCache>
            </c:numRef>
          </c:val>
          <c:smooth val="0"/>
          <c:extLst>
            <c:ext xmlns:c16="http://schemas.microsoft.com/office/drawing/2014/chart" uri="{C3380CC4-5D6E-409C-BE32-E72D297353CC}">
              <c16:uniqueId val="{00000001-618D-427B-BF2A-E231450E3E91}"/>
            </c:ext>
          </c:extLst>
        </c:ser>
        <c:dLbls>
          <c:dLblPos val="t"/>
          <c:showLegendKey val="0"/>
          <c:showVal val="1"/>
          <c:showCatName val="0"/>
          <c:showSerName val="0"/>
          <c:showPercent val="0"/>
          <c:showBubbleSize val="0"/>
        </c:dLbls>
        <c:smooth val="0"/>
        <c:axId val="1702613600"/>
        <c:axId val="1702614080"/>
      </c:lineChart>
      <c:catAx>
        <c:axId val="1702613600"/>
        <c:scaling>
          <c:orientation val="minMax"/>
        </c:scaling>
        <c:delete val="0"/>
        <c:axPos val="b"/>
        <c:numFmt formatCode="General" sourceLinked="1"/>
        <c:majorTickMark val="out"/>
        <c:minorTickMark val="none"/>
        <c:tickLblPos val="nextTo"/>
        <c:spPr>
          <a:noFill/>
          <a:ln w="38100" cap="rnd" cmpd="sng" algn="ctr">
            <a:solidFill>
              <a:schemeClr val="bg2">
                <a:lumMod val="75000"/>
                <a:alpha val="9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2614080"/>
        <c:crosses val="autoZero"/>
        <c:auto val="1"/>
        <c:lblAlgn val="ctr"/>
        <c:lblOffset val="100"/>
        <c:noMultiLvlLbl val="0"/>
      </c:catAx>
      <c:valAx>
        <c:axId val="1702614080"/>
        <c:scaling>
          <c:orientation val="minMax"/>
        </c:scaling>
        <c:delete val="1"/>
        <c:axPos val="l"/>
        <c:numFmt formatCode="General" sourceLinked="1"/>
        <c:majorTickMark val="out"/>
        <c:minorTickMark val="none"/>
        <c:tickLblPos val="nextTo"/>
        <c:crossAx val="17026136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rnd" cmpd="sng" algn="ctr">
      <a:solidFill>
        <a:schemeClr val="bg2">
          <a:lumMod val="75000"/>
          <a:alpha val="9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[Shubham 2.xlsx]Pivot &amp; Insights!PivotTable1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 Part Impact on Rentals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Insights'!$B$19</c:f>
              <c:strCache>
                <c:ptCount val="1"/>
                <c:pt idx="0">
                  <c:v>Sum of casual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Insights'!$A$20:$A$25</c:f>
              <c:strCache>
                <c:ptCount val="5"/>
                <c:pt idx="0">
                  <c:v>Afternoon</c:v>
                </c:pt>
                <c:pt idx="1">
                  <c:v>Early Morning</c:v>
                </c:pt>
                <c:pt idx="2">
                  <c:v>Evening</c:v>
                </c:pt>
                <c:pt idx="3">
                  <c:v>Morning</c:v>
                </c:pt>
                <c:pt idx="4">
                  <c:v>Night</c:v>
                </c:pt>
              </c:strCache>
            </c:strRef>
          </c:cat>
          <c:val>
            <c:numRef>
              <c:f>'Pivot &amp; Insights'!$B$20:$B$25</c:f>
              <c:numCache>
                <c:formatCode>General</c:formatCode>
                <c:ptCount val="5"/>
                <c:pt idx="0">
                  <c:v>2490</c:v>
                </c:pt>
                <c:pt idx="1">
                  <c:v>88</c:v>
                </c:pt>
                <c:pt idx="2">
                  <c:v>944</c:v>
                </c:pt>
                <c:pt idx="3">
                  <c:v>882</c:v>
                </c:pt>
                <c:pt idx="4">
                  <c:v>517</c:v>
                </c:pt>
              </c:numCache>
            </c:numRef>
          </c:val>
          <c:extLst>
            <c:ext xmlns:c16="http://schemas.microsoft.com/office/drawing/2014/chart" uri="{C3380CC4-5D6E-409C-BE32-E72D297353CC}">
              <c16:uniqueId val="{00000000-D3BF-44A4-B883-5BDEAC12B446}"/>
            </c:ext>
          </c:extLst>
        </c:ser>
        <c:dLbls>
          <c:showLegendKey val="0"/>
          <c:showVal val="1"/>
          <c:showCatName val="0"/>
          <c:showSerName val="0"/>
          <c:showPercent val="0"/>
          <c:showBubbleSize val="0"/>
        </c:dLbls>
        <c:gapWidth val="219"/>
        <c:overlap val="-27"/>
        <c:axId val="613539056"/>
        <c:axId val="1722581712"/>
      </c:barChart>
      <c:lineChart>
        <c:grouping val="standard"/>
        <c:varyColors val="0"/>
        <c:ser>
          <c:idx val="1"/>
          <c:order val="1"/>
          <c:tx>
            <c:strRef>
              <c:f>'Pivot &amp; Insights'!$C$19</c:f>
              <c:strCache>
                <c:ptCount val="1"/>
                <c:pt idx="0">
                  <c:v>Sum of registered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Insights'!$A$20:$A$25</c:f>
              <c:strCache>
                <c:ptCount val="5"/>
                <c:pt idx="0">
                  <c:v>Afternoon</c:v>
                </c:pt>
                <c:pt idx="1">
                  <c:v>Early Morning</c:v>
                </c:pt>
                <c:pt idx="2">
                  <c:v>Evening</c:v>
                </c:pt>
                <c:pt idx="3">
                  <c:v>Morning</c:v>
                </c:pt>
                <c:pt idx="4">
                  <c:v>Night</c:v>
                </c:pt>
              </c:strCache>
            </c:strRef>
          </c:cat>
          <c:val>
            <c:numRef>
              <c:f>'Pivot &amp; Insights'!$C$20:$C$25</c:f>
              <c:numCache>
                <c:formatCode>General</c:formatCode>
                <c:ptCount val="5"/>
                <c:pt idx="0">
                  <c:v>14649</c:v>
                </c:pt>
                <c:pt idx="1">
                  <c:v>3237</c:v>
                </c:pt>
                <c:pt idx="2">
                  <c:v>16825</c:v>
                </c:pt>
                <c:pt idx="3">
                  <c:v>12925</c:v>
                </c:pt>
                <c:pt idx="4">
                  <c:v>5747</c:v>
                </c:pt>
              </c:numCache>
            </c:numRef>
          </c:val>
          <c:smooth val="0"/>
          <c:extLst>
            <c:ext xmlns:c16="http://schemas.microsoft.com/office/drawing/2014/chart" uri="{C3380CC4-5D6E-409C-BE32-E72D297353CC}">
              <c16:uniqueId val="{00000001-D3BF-44A4-B883-5BDEAC12B446}"/>
            </c:ext>
          </c:extLst>
        </c:ser>
        <c:dLbls>
          <c:showLegendKey val="0"/>
          <c:showVal val="1"/>
          <c:showCatName val="0"/>
          <c:showSerName val="0"/>
          <c:showPercent val="0"/>
          <c:showBubbleSize val="0"/>
        </c:dLbls>
        <c:marker val="1"/>
        <c:smooth val="0"/>
        <c:axId val="1722588432"/>
        <c:axId val="1722587952"/>
      </c:lineChart>
      <c:catAx>
        <c:axId val="61353905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581712"/>
        <c:crosses val="autoZero"/>
        <c:auto val="1"/>
        <c:lblAlgn val="ctr"/>
        <c:lblOffset val="100"/>
        <c:noMultiLvlLbl val="0"/>
      </c:catAx>
      <c:valAx>
        <c:axId val="172258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3539056"/>
        <c:crosses val="autoZero"/>
        <c:crossBetween val="between"/>
      </c:valAx>
      <c:valAx>
        <c:axId val="1722587952"/>
        <c:scaling>
          <c:orientation val="minMax"/>
        </c:scaling>
        <c:delete val="1"/>
        <c:axPos val="r"/>
        <c:numFmt formatCode="General" sourceLinked="1"/>
        <c:majorTickMark val="out"/>
        <c:minorTickMark val="none"/>
        <c:tickLblPos val="nextTo"/>
        <c:crossAx val="1722588432"/>
        <c:crosses val="max"/>
        <c:crossBetween val="between"/>
      </c:valAx>
      <c:catAx>
        <c:axId val="1722588432"/>
        <c:scaling>
          <c:orientation val="minMax"/>
        </c:scaling>
        <c:delete val="1"/>
        <c:axPos val="t"/>
        <c:numFmt formatCode="General" sourceLinked="1"/>
        <c:majorTickMark val="out"/>
        <c:minorTickMark val="none"/>
        <c:tickLblPos val="nextTo"/>
        <c:crossAx val="1722587952"/>
        <c:crosses val="max"/>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rnd" cmpd="sng" algn="ctr">
      <a:solidFill>
        <a:schemeClr val="bg2">
          <a:lumMod val="75000"/>
          <a:alpha val="9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[Shubham 2.xlsx]Pivot &amp; Insights!PivotTable3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Count month 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&amp; Insights'!$B$12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76D-448A-8FD1-4AA8A85B5F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76D-448A-8FD1-4AA8A85B5F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&amp; Insights'!$A$13:$A$15</c:f>
              <c:strCache>
                <c:ptCount val="2"/>
                <c:pt idx="0">
                  <c:v>january</c:v>
                </c:pt>
                <c:pt idx="1">
                  <c:v>february</c:v>
                </c:pt>
              </c:strCache>
            </c:strRef>
          </c:cat>
          <c:val>
            <c:numRef>
              <c:f>'Pivot &amp; Insights'!$B$13:$B$15</c:f>
              <c:numCache>
                <c:formatCode>General</c:formatCode>
                <c:ptCount val="2"/>
                <c:pt idx="0">
                  <c:v>38189</c:v>
                </c:pt>
                <c:pt idx="1">
                  <c:v>20115</c:v>
                </c:pt>
              </c:numCache>
            </c:numRef>
          </c:val>
          <c:extLst>
            <c:ext xmlns:c16="http://schemas.microsoft.com/office/drawing/2014/chart" uri="{C3380CC4-5D6E-409C-BE32-E72D297353CC}">
              <c16:uniqueId val="{00000004-576D-448A-8FD1-4AA8A85B5F5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w="38100" cap="rnd" cmpd="sng">
          <a:solidFill>
            <a:schemeClr val="bg1">
              <a:alpha val="90000"/>
            </a:schemeClr>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[Shubham 2.xlsx]Pivot &amp; Insights!PivotTable6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Weather</a:t>
            </a:r>
            <a:r>
              <a:rPr lang="en-US" baseline="0"/>
              <a:t> wise average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'Pivot &amp; Insights'!$G$69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A7F-4B7C-85CD-5EA79208D0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A7F-4B7C-85CD-5EA79208D0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A7F-4B7C-85CD-5EA79208D0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A7F-4B7C-85CD-5EA79208D0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&amp; Insights'!$F$70:$F$74</c:f>
              <c:strCache>
                <c:ptCount val="4"/>
                <c:pt idx="0">
                  <c:v>Cloudy</c:v>
                </c:pt>
                <c:pt idx="1">
                  <c:v>Heavy rain</c:v>
                </c:pt>
                <c:pt idx="2">
                  <c:v>Light rain</c:v>
                </c:pt>
                <c:pt idx="3">
                  <c:v>Partly cloudy</c:v>
                </c:pt>
              </c:strCache>
            </c:strRef>
          </c:cat>
          <c:val>
            <c:numRef>
              <c:f>'Pivot &amp; Insights'!$G$70:$G$74</c:f>
              <c:numCache>
                <c:formatCode>0.00</c:formatCode>
                <c:ptCount val="4"/>
                <c:pt idx="0">
                  <c:v>58.595469255663431</c:v>
                </c:pt>
                <c:pt idx="1">
                  <c:v>36</c:v>
                </c:pt>
                <c:pt idx="2">
                  <c:v>33.202380952380949</c:v>
                </c:pt>
                <c:pt idx="3">
                  <c:v>61.671617161716171</c:v>
                </c:pt>
              </c:numCache>
            </c:numRef>
          </c:val>
          <c:extLst>
            <c:ext xmlns:c16="http://schemas.microsoft.com/office/drawing/2014/chart" uri="{C3380CC4-5D6E-409C-BE32-E72D297353CC}">
              <c16:uniqueId val="{00000008-9A7F-4B7C-85CD-5EA79208D0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rnd" cmpd="sng" algn="ctr">
      <a:solidFill>
        <a:schemeClr val="bg2">
          <a:lumMod val="75000"/>
          <a:alpha val="9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[Shubham 2.xlsx]Pivot &amp; Insights!PivotTable2</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Weather</a:t>
            </a:r>
            <a:r>
              <a:rPr lang="en-US" baseline="0"/>
              <a:t> Impact on Bike Rentals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&amp; Insights'!$B$3</c:f>
              <c:strCache>
                <c:ptCount val="1"/>
                <c:pt idx="0">
                  <c:v>Sum of casual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Insights'!$A$4:$A$8</c:f>
              <c:strCache>
                <c:ptCount val="4"/>
                <c:pt idx="0">
                  <c:v>Cloudy</c:v>
                </c:pt>
                <c:pt idx="1">
                  <c:v>Heavy rain</c:v>
                </c:pt>
                <c:pt idx="2">
                  <c:v>Light rain</c:v>
                </c:pt>
                <c:pt idx="3">
                  <c:v>Partly cloudy</c:v>
                </c:pt>
              </c:strCache>
            </c:strRef>
          </c:cat>
          <c:val>
            <c:numRef>
              <c:f>'Pivot &amp; Insights'!$B$4:$B$8</c:f>
              <c:numCache>
                <c:formatCode>General</c:formatCode>
                <c:ptCount val="4"/>
                <c:pt idx="0">
                  <c:v>1538</c:v>
                </c:pt>
                <c:pt idx="1">
                  <c:v>1</c:v>
                </c:pt>
                <c:pt idx="2">
                  <c:v>171</c:v>
                </c:pt>
                <c:pt idx="3">
                  <c:v>3211</c:v>
                </c:pt>
              </c:numCache>
            </c:numRef>
          </c:val>
          <c:extLst>
            <c:ext xmlns:c16="http://schemas.microsoft.com/office/drawing/2014/chart" uri="{C3380CC4-5D6E-409C-BE32-E72D297353CC}">
              <c16:uniqueId val="{00000000-E237-4BF9-80F0-CAFCEF117A65}"/>
            </c:ext>
          </c:extLst>
        </c:ser>
        <c:ser>
          <c:idx val="1"/>
          <c:order val="1"/>
          <c:tx>
            <c:strRef>
              <c:f>'Pivot &amp; Insights'!$C$3</c:f>
              <c:strCache>
                <c:ptCount val="1"/>
                <c:pt idx="0">
                  <c:v>Sum of registered</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Insights'!$A$4:$A$8</c:f>
              <c:strCache>
                <c:ptCount val="4"/>
                <c:pt idx="0">
                  <c:v>Cloudy</c:v>
                </c:pt>
                <c:pt idx="1">
                  <c:v>Heavy rain</c:v>
                </c:pt>
                <c:pt idx="2">
                  <c:v>Light rain</c:v>
                </c:pt>
                <c:pt idx="3">
                  <c:v>Partly cloudy</c:v>
                </c:pt>
              </c:strCache>
            </c:strRef>
          </c:cat>
          <c:val>
            <c:numRef>
              <c:f>'Pivot &amp; Insights'!$C$4:$C$8</c:f>
              <c:numCache>
                <c:formatCode>General</c:formatCode>
                <c:ptCount val="4"/>
                <c:pt idx="0">
                  <c:v>16568</c:v>
                </c:pt>
                <c:pt idx="1">
                  <c:v>35</c:v>
                </c:pt>
                <c:pt idx="2">
                  <c:v>2618</c:v>
                </c:pt>
                <c:pt idx="3">
                  <c:v>34162</c:v>
                </c:pt>
              </c:numCache>
            </c:numRef>
          </c:val>
          <c:extLst>
            <c:ext xmlns:c16="http://schemas.microsoft.com/office/drawing/2014/chart" uri="{C3380CC4-5D6E-409C-BE32-E72D297353CC}">
              <c16:uniqueId val="{00000001-E237-4BF9-80F0-CAFCEF117A65}"/>
            </c:ext>
          </c:extLst>
        </c:ser>
        <c:dLbls>
          <c:showLegendKey val="0"/>
          <c:showVal val="1"/>
          <c:showCatName val="0"/>
          <c:showSerName val="0"/>
          <c:showPercent val="0"/>
          <c:showBubbleSize val="0"/>
        </c:dLbls>
        <c:gapWidth val="150"/>
        <c:shape val="box"/>
        <c:axId val="231726672"/>
        <c:axId val="231727152"/>
        <c:axId val="0"/>
      </c:bar3DChart>
      <c:catAx>
        <c:axId val="231726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27152"/>
        <c:crosses val="autoZero"/>
        <c:auto val="1"/>
        <c:lblAlgn val="ctr"/>
        <c:lblOffset val="100"/>
        <c:noMultiLvlLbl val="0"/>
      </c:catAx>
      <c:valAx>
        <c:axId val="231727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726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rnd" cmpd="sng" algn="ctr">
      <a:solidFill>
        <a:schemeClr val="bg2">
          <a:lumMod val="75000"/>
          <a:alpha val="90000"/>
        </a:schemeClr>
      </a:solidFill>
      <a:round/>
    </a:ln>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[Shubham 2.xlsx]Pivot &amp; Insights!PivotTable8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Bike</a:t>
            </a:r>
            <a:r>
              <a:rPr lang="en-US" baseline="0"/>
              <a:t> Rentals Per Hr</a:t>
            </a:r>
            <a:endParaRPr lang="en-US"/>
          </a:p>
        </c:rich>
      </c:tx>
      <c:layout>
        <c:manualLayout>
          <c:xMode val="edge"/>
          <c:yMode val="edge"/>
          <c:x val="0.28113188976377951"/>
          <c:y val="2.75718931686835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pivotFmt>
      <c:pivotFmt>
        <c:idx val="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Insights'!$G$79</c:f>
              <c:strCache>
                <c:ptCount val="1"/>
                <c:pt idx="0">
                  <c:v>Total</c:v>
                </c:pt>
              </c:strCache>
            </c:strRef>
          </c:tx>
          <c:spPr>
            <a:solidFill>
              <a:schemeClr val="accent2">
                <a:lumMod val="75000"/>
              </a:schemeClr>
            </a:solidFill>
            <a:ln>
              <a:noFill/>
            </a:ln>
            <a:effectLst/>
          </c:spPr>
          <c:invertIfNegative val="0"/>
          <c:cat>
            <c:strRef>
              <c:f>'Pivot &amp; Insights'!$F$80:$F$104</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&amp; Insights'!$G$80:$G$104</c:f>
              <c:numCache>
                <c:formatCode>0.00</c:formatCode>
                <c:ptCount val="24"/>
                <c:pt idx="0">
                  <c:v>16.348837209302324</c:v>
                </c:pt>
                <c:pt idx="1">
                  <c:v>10.697674418604651</c:v>
                </c:pt>
                <c:pt idx="2">
                  <c:v>7.1707317073170733</c:v>
                </c:pt>
                <c:pt idx="3">
                  <c:v>4.870967741935484</c:v>
                </c:pt>
                <c:pt idx="4">
                  <c:v>2.15625</c:v>
                </c:pt>
                <c:pt idx="5">
                  <c:v>4.2051282051282053</c:v>
                </c:pt>
                <c:pt idx="6">
                  <c:v>19.571428571428573</c:v>
                </c:pt>
                <c:pt idx="7">
                  <c:v>54.395348837209305</c:v>
                </c:pt>
                <c:pt idx="8">
                  <c:v>128.28571428571428</c:v>
                </c:pt>
                <c:pt idx="9">
                  <c:v>87.428571428571431</c:v>
                </c:pt>
                <c:pt idx="10">
                  <c:v>53.642857142857146</c:v>
                </c:pt>
                <c:pt idx="11">
                  <c:v>59.38095238095238</c:v>
                </c:pt>
                <c:pt idx="12">
                  <c:v>76.348837209302332</c:v>
                </c:pt>
                <c:pt idx="13">
                  <c:v>78.511627906976742</c:v>
                </c:pt>
                <c:pt idx="14">
                  <c:v>74.418604651162795</c:v>
                </c:pt>
                <c:pt idx="15">
                  <c:v>77.95348837209302</c:v>
                </c:pt>
                <c:pt idx="16">
                  <c:v>89.272727272727266</c:v>
                </c:pt>
                <c:pt idx="17">
                  <c:v>140.20454545454547</c:v>
                </c:pt>
                <c:pt idx="18">
                  <c:v>122.86046511627907</c:v>
                </c:pt>
                <c:pt idx="19">
                  <c:v>85.139534883720927</c:v>
                </c:pt>
                <c:pt idx="20">
                  <c:v>61.767441860465119</c:v>
                </c:pt>
                <c:pt idx="21">
                  <c:v>46.418604651162788</c:v>
                </c:pt>
                <c:pt idx="22">
                  <c:v>35.069767441860463</c:v>
                </c:pt>
                <c:pt idx="23">
                  <c:v>25.186046511627907</c:v>
                </c:pt>
              </c:numCache>
            </c:numRef>
          </c:val>
          <c:extLst>
            <c:ext xmlns:c16="http://schemas.microsoft.com/office/drawing/2014/chart" uri="{C3380CC4-5D6E-409C-BE32-E72D297353CC}">
              <c16:uniqueId val="{00000000-AAAE-4107-9D39-197246154FF3}"/>
            </c:ext>
          </c:extLst>
        </c:ser>
        <c:dLbls>
          <c:showLegendKey val="0"/>
          <c:showVal val="0"/>
          <c:showCatName val="0"/>
          <c:showSerName val="0"/>
          <c:showPercent val="0"/>
          <c:showBubbleSize val="0"/>
        </c:dLbls>
        <c:gapWidth val="219"/>
        <c:overlap val="-27"/>
        <c:axId val="850167552"/>
        <c:axId val="850163712"/>
      </c:barChart>
      <c:catAx>
        <c:axId val="85016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163712"/>
        <c:crosses val="autoZero"/>
        <c:auto val="1"/>
        <c:lblAlgn val="ctr"/>
        <c:lblOffset val="100"/>
        <c:noMultiLvlLbl val="0"/>
      </c:catAx>
      <c:valAx>
        <c:axId val="85016371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167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rnd" cmpd="sng" algn="ctr">
      <a:solidFill>
        <a:schemeClr val="bg2">
          <a:lumMod val="75000"/>
          <a:alpha val="8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[Shubham 2.xlsx]Pivot &amp; Insights!PivotTable9</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Peak</a:t>
            </a:r>
            <a:r>
              <a:rPr lang="en-US" baseline="0"/>
              <a:t> Hr Analysis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&amp; Insights'!$B$92</c:f>
              <c:strCache>
                <c:ptCount val="1"/>
                <c:pt idx="0">
                  <c:v>Count of Anomaly flag for reg.</c:v>
                </c:pt>
              </c:strCache>
            </c:strRef>
          </c:tx>
          <c:spPr>
            <a:solidFill>
              <a:schemeClr val="accent6">
                <a:lumMod val="75000"/>
              </a:schemeClr>
            </a:solidFill>
            <a:ln>
              <a:noFill/>
            </a:ln>
            <a:effectLst/>
          </c:spPr>
          <c:invertIfNegative val="0"/>
          <c:cat>
            <c:strRef>
              <c:f>'Pivot &amp; Insights'!$A$93:$A$117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&amp; Insights'!$B$93:$B$117</c:f>
              <c:numCache>
                <c:formatCode>0.00</c:formatCode>
                <c:ptCount val="24"/>
                <c:pt idx="0">
                  <c:v>43</c:v>
                </c:pt>
                <c:pt idx="1">
                  <c:v>43</c:v>
                </c:pt>
                <c:pt idx="2">
                  <c:v>41</c:v>
                </c:pt>
                <c:pt idx="3">
                  <c:v>31</c:v>
                </c:pt>
                <c:pt idx="4">
                  <c:v>32</c:v>
                </c:pt>
                <c:pt idx="5">
                  <c:v>39</c:v>
                </c:pt>
                <c:pt idx="6">
                  <c:v>42</c:v>
                </c:pt>
                <c:pt idx="7">
                  <c:v>43</c:v>
                </c:pt>
                <c:pt idx="8">
                  <c:v>42</c:v>
                </c:pt>
                <c:pt idx="9">
                  <c:v>42</c:v>
                </c:pt>
                <c:pt idx="10">
                  <c:v>42</c:v>
                </c:pt>
                <c:pt idx="11">
                  <c:v>42</c:v>
                </c:pt>
                <c:pt idx="12">
                  <c:v>43</c:v>
                </c:pt>
                <c:pt idx="13">
                  <c:v>43</c:v>
                </c:pt>
                <c:pt idx="14">
                  <c:v>43</c:v>
                </c:pt>
                <c:pt idx="15">
                  <c:v>43</c:v>
                </c:pt>
                <c:pt idx="16">
                  <c:v>44</c:v>
                </c:pt>
                <c:pt idx="17">
                  <c:v>44</c:v>
                </c:pt>
                <c:pt idx="18">
                  <c:v>43</c:v>
                </c:pt>
                <c:pt idx="19">
                  <c:v>43</c:v>
                </c:pt>
                <c:pt idx="20">
                  <c:v>43</c:v>
                </c:pt>
                <c:pt idx="21">
                  <c:v>43</c:v>
                </c:pt>
                <c:pt idx="22">
                  <c:v>43</c:v>
                </c:pt>
                <c:pt idx="23">
                  <c:v>43</c:v>
                </c:pt>
              </c:numCache>
            </c:numRef>
          </c:val>
          <c:extLst>
            <c:ext xmlns:c16="http://schemas.microsoft.com/office/drawing/2014/chart" uri="{C3380CC4-5D6E-409C-BE32-E72D297353CC}">
              <c16:uniqueId val="{00000000-5067-497D-80DD-12094EAAD6EE}"/>
            </c:ext>
          </c:extLst>
        </c:ser>
        <c:dLbls>
          <c:showLegendKey val="0"/>
          <c:showVal val="0"/>
          <c:showCatName val="0"/>
          <c:showSerName val="0"/>
          <c:showPercent val="0"/>
          <c:showBubbleSize val="0"/>
        </c:dLbls>
        <c:gapWidth val="219"/>
        <c:overlap val="-27"/>
        <c:axId val="589808032"/>
        <c:axId val="589807552"/>
      </c:barChart>
      <c:lineChart>
        <c:grouping val="standard"/>
        <c:varyColors val="0"/>
        <c:ser>
          <c:idx val="1"/>
          <c:order val="1"/>
          <c:tx>
            <c:strRef>
              <c:f>'Pivot &amp; Insights'!$C$92</c:f>
              <c:strCache>
                <c:ptCount val="1"/>
                <c:pt idx="0">
                  <c:v>Count of Anomaly flag for casual</c:v>
                </c:pt>
              </c:strCache>
            </c:strRef>
          </c:tx>
          <c:spPr>
            <a:ln w="28575" cap="rnd">
              <a:solidFill>
                <a:schemeClr val="accent2"/>
              </a:solidFill>
              <a:round/>
            </a:ln>
            <a:effectLst/>
          </c:spPr>
          <c:marker>
            <c:symbol val="none"/>
          </c:marker>
          <c:cat>
            <c:strRef>
              <c:f>'Pivot &amp; Insights'!$A$93:$A$117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&amp; Insights'!$C$93:$C$117</c:f>
              <c:numCache>
                <c:formatCode>0.00</c:formatCode>
                <c:ptCount val="24"/>
                <c:pt idx="0">
                  <c:v>43</c:v>
                </c:pt>
                <c:pt idx="1">
                  <c:v>43</c:v>
                </c:pt>
                <c:pt idx="2">
                  <c:v>41</c:v>
                </c:pt>
                <c:pt idx="3">
                  <c:v>31</c:v>
                </c:pt>
                <c:pt idx="4">
                  <c:v>32</c:v>
                </c:pt>
                <c:pt idx="5">
                  <c:v>39</c:v>
                </c:pt>
                <c:pt idx="6">
                  <c:v>42</c:v>
                </c:pt>
                <c:pt idx="7">
                  <c:v>43</c:v>
                </c:pt>
                <c:pt idx="8">
                  <c:v>42</c:v>
                </c:pt>
                <c:pt idx="9">
                  <c:v>42</c:v>
                </c:pt>
                <c:pt idx="10">
                  <c:v>42</c:v>
                </c:pt>
                <c:pt idx="11">
                  <c:v>42</c:v>
                </c:pt>
                <c:pt idx="12">
                  <c:v>43</c:v>
                </c:pt>
                <c:pt idx="13">
                  <c:v>43</c:v>
                </c:pt>
                <c:pt idx="14">
                  <c:v>43</c:v>
                </c:pt>
                <c:pt idx="15">
                  <c:v>43</c:v>
                </c:pt>
                <c:pt idx="16">
                  <c:v>44</c:v>
                </c:pt>
                <c:pt idx="17">
                  <c:v>44</c:v>
                </c:pt>
                <c:pt idx="18">
                  <c:v>43</c:v>
                </c:pt>
                <c:pt idx="19">
                  <c:v>43</c:v>
                </c:pt>
                <c:pt idx="20">
                  <c:v>43</c:v>
                </c:pt>
                <c:pt idx="21">
                  <c:v>43</c:v>
                </c:pt>
                <c:pt idx="22">
                  <c:v>43</c:v>
                </c:pt>
                <c:pt idx="23">
                  <c:v>43</c:v>
                </c:pt>
              </c:numCache>
            </c:numRef>
          </c:val>
          <c:smooth val="0"/>
          <c:extLst>
            <c:ext xmlns:c16="http://schemas.microsoft.com/office/drawing/2014/chart" uri="{C3380CC4-5D6E-409C-BE32-E72D297353CC}">
              <c16:uniqueId val="{00000001-5067-497D-80DD-12094EAAD6EE}"/>
            </c:ext>
          </c:extLst>
        </c:ser>
        <c:dLbls>
          <c:showLegendKey val="0"/>
          <c:showVal val="0"/>
          <c:showCatName val="0"/>
          <c:showSerName val="0"/>
          <c:showPercent val="0"/>
          <c:showBubbleSize val="0"/>
        </c:dLbls>
        <c:marker val="1"/>
        <c:smooth val="0"/>
        <c:axId val="589808032"/>
        <c:axId val="589807552"/>
      </c:lineChart>
      <c:catAx>
        <c:axId val="58980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807552"/>
        <c:crosses val="autoZero"/>
        <c:auto val="1"/>
        <c:lblAlgn val="ctr"/>
        <c:lblOffset val="100"/>
        <c:noMultiLvlLbl val="0"/>
      </c:catAx>
      <c:valAx>
        <c:axId val="589807552"/>
        <c:scaling>
          <c:orientation val="minMax"/>
        </c:scaling>
        <c:delete val="1"/>
        <c:axPos val="l"/>
        <c:numFmt formatCode="0.00" sourceLinked="1"/>
        <c:majorTickMark val="none"/>
        <c:minorTickMark val="none"/>
        <c:tickLblPos val="nextTo"/>
        <c:crossAx val="5898080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rnd" cmpd="sng" algn="ctr">
      <a:solidFill>
        <a:schemeClr val="bg2">
          <a:lumMod val="75000"/>
          <a:alpha val="89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6">
                    <a:lumMod val="50000"/>
                    <a:alpha val="93000"/>
                  </a:schemeClr>
                </a:solidFill>
                <a:latin typeface="+mn-lt"/>
                <a:ea typeface="+mn-ea"/>
                <a:cs typeface="+mn-cs"/>
              </a:defRPr>
            </a:pPr>
            <a:r>
              <a:rPr lang="en-US" sz="1400" b="0" i="0" u="none" strike="noStrike" baseline="0">
                <a:solidFill>
                  <a:schemeClr val="accent6">
                    <a:lumMod val="50000"/>
                    <a:alpha val="93000"/>
                  </a:schemeClr>
                </a:solidFill>
              </a:rPr>
              <a:t>Casual vs Registered vs Total Forecast (Feb 2011)</a:t>
            </a:r>
            <a:endParaRPr lang="en-US">
              <a:solidFill>
                <a:schemeClr val="accent6">
                  <a:lumMod val="50000"/>
                  <a:alpha val="93000"/>
                </a:schemeClr>
              </a:solidFill>
            </a:endParaRPr>
          </a:p>
        </c:rich>
      </c:tx>
      <c:overlay val="0"/>
      <c:spPr>
        <a:solidFill>
          <a:schemeClr val="bg2"/>
        </a:solidFill>
        <a:ln>
          <a:noFill/>
        </a:ln>
        <a:effectLst/>
      </c:spPr>
      <c:txPr>
        <a:bodyPr rot="0" spcFirstLastPara="1" vertOverflow="ellipsis" vert="horz" wrap="square" anchor="ctr" anchorCtr="1"/>
        <a:lstStyle/>
        <a:p>
          <a:pPr>
            <a:defRPr sz="1400" b="0" i="0" u="none" strike="noStrike" kern="1200" spc="0" baseline="0">
              <a:solidFill>
                <a:schemeClr val="accent6">
                  <a:lumMod val="50000"/>
                  <a:alpha val="93000"/>
                </a:schemeClr>
              </a:solidFill>
              <a:latin typeface="+mn-lt"/>
              <a:ea typeface="+mn-ea"/>
              <a:cs typeface="+mn-cs"/>
            </a:defRPr>
          </a:pPr>
          <a:endParaRPr lang="en-US"/>
        </a:p>
      </c:txPr>
    </c:title>
    <c:autoTitleDeleted val="0"/>
    <c:plotArea>
      <c:layout/>
      <c:lineChart>
        <c:grouping val="standard"/>
        <c:varyColors val="0"/>
        <c:ser>
          <c:idx val="0"/>
          <c:order val="0"/>
          <c:tx>
            <c:strRef>
              <c:f>'Forecast summary'!$B$38</c:f>
              <c:strCache>
                <c:ptCount val="1"/>
                <c:pt idx="0">
                  <c:v>Forecast(registered)</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'Forecast summary'!$A$39:$A$52</c:f>
              <c:numCache>
                <c:formatCode>m/d/yyyy</c:formatCode>
                <c:ptCount val="14"/>
                <c:pt idx="0">
                  <c:v>40589</c:v>
                </c:pt>
                <c:pt idx="1">
                  <c:v>40590</c:v>
                </c:pt>
                <c:pt idx="2">
                  <c:v>40591</c:v>
                </c:pt>
                <c:pt idx="3">
                  <c:v>40592</c:v>
                </c:pt>
                <c:pt idx="4">
                  <c:v>40593</c:v>
                </c:pt>
                <c:pt idx="5">
                  <c:v>40594</c:v>
                </c:pt>
                <c:pt idx="6">
                  <c:v>40595</c:v>
                </c:pt>
                <c:pt idx="7">
                  <c:v>40596</c:v>
                </c:pt>
                <c:pt idx="8">
                  <c:v>40597</c:v>
                </c:pt>
                <c:pt idx="9">
                  <c:v>40598</c:v>
                </c:pt>
                <c:pt idx="10">
                  <c:v>40599</c:v>
                </c:pt>
                <c:pt idx="11">
                  <c:v>40600</c:v>
                </c:pt>
                <c:pt idx="12">
                  <c:v>40601</c:v>
                </c:pt>
                <c:pt idx="13">
                  <c:v>40602</c:v>
                </c:pt>
              </c:numCache>
            </c:numRef>
          </c:cat>
          <c:val>
            <c:numRef>
              <c:f>'Forecast summary'!$B$39:$B$52</c:f>
              <c:numCache>
                <c:formatCode>0.00</c:formatCode>
                <c:ptCount val="14"/>
                <c:pt idx="0">
                  <c:v>62.263210337816645</c:v>
                </c:pt>
                <c:pt idx="1">
                  <c:v>65.743016796662502</c:v>
                </c:pt>
                <c:pt idx="2">
                  <c:v>70.334537753982971</c:v>
                </c:pt>
                <c:pt idx="3">
                  <c:v>63.50128361457493</c:v>
                </c:pt>
                <c:pt idx="4">
                  <c:v>43.905158501825994</c:v>
                </c:pt>
                <c:pt idx="5">
                  <c:v>40.807977773729228</c:v>
                </c:pt>
                <c:pt idx="6">
                  <c:v>54.228588031677255</c:v>
                </c:pt>
                <c:pt idx="7">
                  <c:v>63.668219565596708</c:v>
                </c:pt>
                <c:pt idx="8">
                  <c:v>67.148026024442558</c:v>
                </c:pt>
                <c:pt idx="9">
                  <c:v>71.739546981763027</c:v>
                </c:pt>
                <c:pt idx="10">
                  <c:v>64.906292842354986</c:v>
                </c:pt>
                <c:pt idx="11">
                  <c:v>45.31016772960605</c:v>
                </c:pt>
                <c:pt idx="12">
                  <c:v>42.212987001509291</c:v>
                </c:pt>
                <c:pt idx="13">
                  <c:v>55.633597259457318</c:v>
                </c:pt>
              </c:numCache>
            </c:numRef>
          </c:val>
          <c:smooth val="0"/>
          <c:extLst>
            <c:ext xmlns:c16="http://schemas.microsoft.com/office/drawing/2014/chart" uri="{C3380CC4-5D6E-409C-BE32-E72D297353CC}">
              <c16:uniqueId val="{00000000-3773-4EDA-A2B2-038CBB36F284}"/>
            </c:ext>
          </c:extLst>
        </c:ser>
        <c:ser>
          <c:idx val="1"/>
          <c:order val="1"/>
          <c:tx>
            <c:strRef>
              <c:f>'Forecast summary'!$C$38</c:f>
              <c:strCache>
                <c:ptCount val="1"/>
                <c:pt idx="0">
                  <c:v>Forecast(casual)</c:v>
                </c:pt>
              </c:strCache>
            </c:strRef>
          </c:tx>
          <c:spPr>
            <a:ln w="28575" cap="rnd">
              <a:solidFill>
                <a:schemeClr val="accent2">
                  <a:lumMod val="75000"/>
                </a:schemeClr>
              </a:solidFill>
              <a:round/>
            </a:ln>
            <a:effectLst/>
          </c:spPr>
          <c:marker>
            <c:symbol val="circle"/>
            <c:size val="5"/>
            <c:spPr>
              <a:solidFill>
                <a:schemeClr val="accent2">
                  <a:lumMod val="75000"/>
                </a:schemeClr>
              </a:solidFill>
              <a:ln w="9525">
                <a:solidFill>
                  <a:schemeClr val="accent2">
                    <a:lumMod val="75000"/>
                  </a:schemeClr>
                </a:solidFill>
              </a:ln>
              <a:effectLst/>
            </c:spPr>
          </c:marker>
          <c:cat>
            <c:numRef>
              <c:f>'Forecast summary'!$A$39:$A$52</c:f>
              <c:numCache>
                <c:formatCode>m/d/yyyy</c:formatCode>
                <c:ptCount val="14"/>
                <c:pt idx="0">
                  <c:v>40589</c:v>
                </c:pt>
                <c:pt idx="1">
                  <c:v>40590</c:v>
                </c:pt>
                <c:pt idx="2">
                  <c:v>40591</c:v>
                </c:pt>
                <c:pt idx="3">
                  <c:v>40592</c:v>
                </c:pt>
                <c:pt idx="4">
                  <c:v>40593</c:v>
                </c:pt>
                <c:pt idx="5">
                  <c:v>40594</c:v>
                </c:pt>
                <c:pt idx="6">
                  <c:v>40595</c:v>
                </c:pt>
                <c:pt idx="7">
                  <c:v>40596</c:v>
                </c:pt>
                <c:pt idx="8">
                  <c:v>40597</c:v>
                </c:pt>
                <c:pt idx="9">
                  <c:v>40598</c:v>
                </c:pt>
                <c:pt idx="10">
                  <c:v>40599</c:v>
                </c:pt>
                <c:pt idx="11">
                  <c:v>40600</c:v>
                </c:pt>
                <c:pt idx="12">
                  <c:v>40601</c:v>
                </c:pt>
                <c:pt idx="13">
                  <c:v>40602</c:v>
                </c:pt>
              </c:numCache>
            </c:numRef>
          </c:cat>
          <c:val>
            <c:numRef>
              <c:f>'Forecast summary'!$C$39:$C$52</c:f>
              <c:numCache>
                <c:formatCode>0.00</c:formatCode>
                <c:ptCount val="14"/>
                <c:pt idx="0">
                  <c:v>4.8565291352862721</c:v>
                </c:pt>
                <c:pt idx="1">
                  <c:v>4.9858122840924839</c:v>
                </c:pt>
                <c:pt idx="2">
                  <c:v>5.2999640566995723</c:v>
                </c:pt>
                <c:pt idx="3">
                  <c:v>6.2511965261380391</c:v>
                </c:pt>
                <c:pt idx="4">
                  <c:v>7.6676802572171017</c:v>
                </c:pt>
                <c:pt idx="5">
                  <c:v>8.7400881986367693</c:v>
                </c:pt>
                <c:pt idx="6">
                  <c:v>6.3030619770642149</c:v>
                </c:pt>
                <c:pt idx="7">
                  <c:v>4.9656241862848125</c:v>
                </c:pt>
                <c:pt idx="8">
                  <c:v>5.0949073350910226</c:v>
                </c:pt>
                <c:pt idx="9">
                  <c:v>5.4090591076981127</c:v>
                </c:pt>
                <c:pt idx="10">
                  <c:v>6.3602915771365787</c:v>
                </c:pt>
                <c:pt idx="11">
                  <c:v>7.7767753082156421</c:v>
                </c:pt>
                <c:pt idx="12">
                  <c:v>8.849183249635308</c:v>
                </c:pt>
                <c:pt idx="13">
                  <c:v>6.4121570280627553</c:v>
                </c:pt>
              </c:numCache>
            </c:numRef>
          </c:val>
          <c:smooth val="0"/>
          <c:extLst>
            <c:ext xmlns:c16="http://schemas.microsoft.com/office/drawing/2014/chart" uri="{C3380CC4-5D6E-409C-BE32-E72D297353CC}">
              <c16:uniqueId val="{00000001-3773-4EDA-A2B2-038CBB36F284}"/>
            </c:ext>
          </c:extLst>
        </c:ser>
        <c:ser>
          <c:idx val="2"/>
          <c:order val="2"/>
          <c:tx>
            <c:strRef>
              <c:f>'Forecast summary'!$D$38</c:f>
              <c:strCache>
                <c:ptCount val="1"/>
                <c:pt idx="0">
                  <c:v>Forecast(cnt)</c:v>
                </c:pt>
              </c:strCache>
            </c:strRef>
          </c:tx>
          <c:spPr>
            <a:ln w="28575" cap="rnd">
              <a:solidFill>
                <a:srgbClr val="00B050"/>
              </a:solidFill>
              <a:round/>
            </a:ln>
            <a:effectLst/>
          </c:spPr>
          <c:marker>
            <c:symbol val="circle"/>
            <c:size val="5"/>
            <c:spPr>
              <a:solidFill>
                <a:srgbClr val="00B050"/>
              </a:solidFill>
              <a:ln w="9525">
                <a:solidFill>
                  <a:srgbClr val="00B050"/>
                </a:solidFill>
              </a:ln>
              <a:effectLst/>
            </c:spPr>
          </c:marker>
          <c:cat>
            <c:numRef>
              <c:f>'Forecast summary'!$A$39:$A$52</c:f>
              <c:numCache>
                <c:formatCode>m/d/yyyy</c:formatCode>
                <c:ptCount val="14"/>
                <c:pt idx="0">
                  <c:v>40589</c:v>
                </c:pt>
                <c:pt idx="1">
                  <c:v>40590</c:v>
                </c:pt>
                <c:pt idx="2">
                  <c:v>40591</c:v>
                </c:pt>
                <c:pt idx="3">
                  <c:v>40592</c:v>
                </c:pt>
                <c:pt idx="4">
                  <c:v>40593</c:v>
                </c:pt>
                <c:pt idx="5">
                  <c:v>40594</c:v>
                </c:pt>
                <c:pt idx="6">
                  <c:v>40595</c:v>
                </c:pt>
                <c:pt idx="7">
                  <c:v>40596</c:v>
                </c:pt>
                <c:pt idx="8">
                  <c:v>40597</c:v>
                </c:pt>
                <c:pt idx="9">
                  <c:v>40598</c:v>
                </c:pt>
                <c:pt idx="10">
                  <c:v>40599</c:v>
                </c:pt>
                <c:pt idx="11">
                  <c:v>40600</c:v>
                </c:pt>
                <c:pt idx="12">
                  <c:v>40601</c:v>
                </c:pt>
                <c:pt idx="13">
                  <c:v>40602</c:v>
                </c:pt>
              </c:numCache>
            </c:numRef>
          </c:cat>
          <c:val>
            <c:numRef>
              <c:f>'Forecast summary'!$D$39:$D$52</c:f>
              <c:numCache>
                <c:formatCode>0.00</c:formatCode>
                <c:ptCount val="14"/>
                <c:pt idx="0">
                  <c:v>61.270134143024279</c:v>
                </c:pt>
                <c:pt idx="1">
                  <c:v>61.525827765725516</c:v>
                </c:pt>
                <c:pt idx="2">
                  <c:v>61.781521388426746</c:v>
                </c:pt>
                <c:pt idx="3">
                  <c:v>62.037215011127984</c:v>
                </c:pt>
                <c:pt idx="4">
                  <c:v>62.292908633829221</c:v>
                </c:pt>
                <c:pt idx="5">
                  <c:v>62.548602256530458</c:v>
                </c:pt>
                <c:pt idx="6">
                  <c:v>62.804295879231688</c:v>
                </c:pt>
                <c:pt idx="7">
                  <c:v>63.059989501932925</c:v>
                </c:pt>
                <c:pt idx="8">
                  <c:v>63.315683124634162</c:v>
                </c:pt>
                <c:pt idx="9">
                  <c:v>63.5713767473354</c:v>
                </c:pt>
                <c:pt idx="10">
                  <c:v>63.827070370036637</c:v>
                </c:pt>
                <c:pt idx="11">
                  <c:v>64.082763992737867</c:v>
                </c:pt>
                <c:pt idx="12">
                  <c:v>64.338457615439111</c:v>
                </c:pt>
                <c:pt idx="13">
                  <c:v>64.594151238140341</c:v>
                </c:pt>
              </c:numCache>
            </c:numRef>
          </c:val>
          <c:smooth val="0"/>
          <c:extLst>
            <c:ext xmlns:c16="http://schemas.microsoft.com/office/drawing/2014/chart" uri="{C3380CC4-5D6E-409C-BE32-E72D297353CC}">
              <c16:uniqueId val="{00000002-3773-4EDA-A2B2-038CBB36F284}"/>
            </c:ext>
          </c:extLst>
        </c:ser>
        <c:dLbls>
          <c:showLegendKey val="0"/>
          <c:showVal val="0"/>
          <c:showCatName val="0"/>
          <c:showSerName val="0"/>
          <c:showPercent val="0"/>
          <c:showBubbleSize val="0"/>
        </c:dLbls>
        <c:marker val="1"/>
        <c:smooth val="0"/>
        <c:axId val="1624007744"/>
        <c:axId val="1624008224"/>
      </c:lineChart>
      <c:dateAx>
        <c:axId val="1624007744"/>
        <c:scaling>
          <c:orientation val="minMax"/>
        </c:scaling>
        <c:delete val="0"/>
        <c:axPos val="b"/>
        <c:numFmt formatCode="m/d/yyyy"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0"/>
          <a:lstStyle/>
          <a:p>
            <a:pPr>
              <a:defRPr sz="900" b="0" i="0" u="none" strike="noStrike" kern="1200" baseline="0">
                <a:solidFill>
                  <a:schemeClr val="tx1">
                    <a:lumMod val="65000"/>
                    <a:lumOff val="35000"/>
                  </a:schemeClr>
                </a:solidFill>
                <a:latin typeface="+mn-lt"/>
                <a:ea typeface="+mn-ea"/>
                <a:cs typeface="+mn-cs"/>
              </a:defRPr>
            </a:pPr>
            <a:endParaRPr lang="en-US"/>
          </a:p>
        </c:txPr>
        <c:crossAx val="1624008224"/>
        <c:crosses val="autoZero"/>
        <c:auto val="1"/>
        <c:lblOffset val="100"/>
        <c:baseTimeUnit val="days"/>
      </c:dateAx>
      <c:valAx>
        <c:axId val="16240082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4007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8100" cap="rnd" cmpd="sng" algn="ctr">
      <a:solidFill>
        <a:schemeClr val="bg2">
          <a:lumMod val="75000"/>
          <a:alpha val="90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3.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image" Target="../media/image2.svg"/><Relationship Id="rId5" Type="http://schemas.openxmlformats.org/officeDocument/2006/relationships/chart" Target="../charts/chart8.xml"/><Relationship Id="rId10" Type="http://schemas.openxmlformats.org/officeDocument/2006/relationships/image" Target="../media/image1.png"/><Relationship Id="rId4" Type="http://schemas.openxmlformats.org/officeDocument/2006/relationships/chart" Target="../charts/chart7.xml"/><Relationship Id="rId9"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1146175</xdr:colOff>
      <xdr:row>2</xdr:row>
      <xdr:rowOff>146050</xdr:rowOff>
    </xdr:from>
    <xdr:to>
      <xdr:col>14</xdr:col>
      <xdr:colOff>485775</xdr:colOff>
      <xdr:row>30</xdr:row>
      <xdr:rowOff>101600</xdr:rowOff>
    </xdr:to>
    <xdr:graphicFrame macro="">
      <xdr:nvGraphicFramePr>
        <xdr:cNvPr id="2" name="Chart 1">
          <a:extLst>
            <a:ext uri="{FF2B5EF4-FFF2-40B4-BE49-F238E27FC236}">
              <a16:creationId xmlns:a16="http://schemas.microsoft.com/office/drawing/2014/main" id="{AAB18785-68FA-2A6F-959F-08ABED9704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733425</xdr:colOff>
      <xdr:row>2</xdr:row>
      <xdr:rowOff>146050</xdr:rowOff>
    </xdr:from>
    <xdr:to>
      <xdr:col>13</xdr:col>
      <xdr:colOff>238125</xdr:colOff>
      <xdr:row>30</xdr:row>
      <xdr:rowOff>101600</xdr:rowOff>
    </xdr:to>
    <xdr:graphicFrame macro="">
      <xdr:nvGraphicFramePr>
        <xdr:cNvPr id="2" name="Chart 1">
          <a:extLst>
            <a:ext uri="{FF2B5EF4-FFF2-40B4-BE49-F238E27FC236}">
              <a16:creationId xmlns:a16="http://schemas.microsoft.com/office/drawing/2014/main" id="{D3AEB7EC-B2BC-5C62-673D-2C337BCB15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1343025</xdr:colOff>
      <xdr:row>2</xdr:row>
      <xdr:rowOff>146050</xdr:rowOff>
    </xdr:from>
    <xdr:to>
      <xdr:col>15</xdr:col>
      <xdr:colOff>466725</xdr:colOff>
      <xdr:row>30</xdr:row>
      <xdr:rowOff>101600</xdr:rowOff>
    </xdr:to>
    <xdr:graphicFrame macro="">
      <xdr:nvGraphicFramePr>
        <xdr:cNvPr id="2" name="Chart 1">
          <a:extLst>
            <a:ext uri="{FF2B5EF4-FFF2-40B4-BE49-F238E27FC236}">
              <a16:creationId xmlns:a16="http://schemas.microsoft.com/office/drawing/2014/main" id="{209FB8BF-262E-0A45-C0FB-3186E9531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8</xdr:col>
      <xdr:colOff>137917</xdr:colOff>
      <xdr:row>6</xdr:row>
      <xdr:rowOff>102490</xdr:rowOff>
    </xdr:from>
    <xdr:to>
      <xdr:col>17</xdr:col>
      <xdr:colOff>74082</xdr:colOff>
      <xdr:row>23</xdr:row>
      <xdr:rowOff>53806</xdr:rowOff>
    </xdr:to>
    <xdr:graphicFrame macro="">
      <xdr:nvGraphicFramePr>
        <xdr:cNvPr id="4" name="Chart 3">
          <a:extLst>
            <a:ext uri="{FF2B5EF4-FFF2-40B4-BE49-F238E27FC236}">
              <a16:creationId xmlns:a16="http://schemas.microsoft.com/office/drawing/2014/main" id="{F43FAA6D-E035-4D7F-B993-9BA7D93C06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40</xdr:row>
      <xdr:rowOff>150283</xdr:rowOff>
    </xdr:from>
    <xdr:to>
      <xdr:col>11</xdr:col>
      <xdr:colOff>101600</xdr:colOff>
      <xdr:row>58</xdr:row>
      <xdr:rowOff>61383</xdr:rowOff>
    </xdr:to>
    <xdr:graphicFrame macro="">
      <xdr:nvGraphicFramePr>
        <xdr:cNvPr id="5" name="Chart 4">
          <a:extLst>
            <a:ext uri="{FF2B5EF4-FFF2-40B4-BE49-F238E27FC236}">
              <a16:creationId xmlns:a16="http://schemas.microsoft.com/office/drawing/2014/main" id="{2C874D5D-8A20-4D63-B02A-1829BD7534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99483</xdr:colOff>
      <xdr:row>41</xdr:row>
      <xdr:rowOff>42333</xdr:rowOff>
    </xdr:from>
    <xdr:to>
      <xdr:col>18</xdr:col>
      <xdr:colOff>457473</xdr:colOff>
      <xdr:row>58</xdr:row>
      <xdr:rowOff>67552</xdr:rowOff>
    </xdr:to>
    <xdr:graphicFrame macro="">
      <xdr:nvGraphicFramePr>
        <xdr:cNvPr id="7" name="Chart 6">
          <a:extLst>
            <a:ext uri="{FF2B5EF4-FFF2-40B4-BE49-F238E27FC236}">
              <a16:creationId xmlns:a16="http://schemas.microsoft.com/office/drawing/2014/main" id="{DB333AAF-CDC3-4683-8773-81268272E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52917</xdr:colOff>
      <xdr:row>23</xdr:row>
      <xdr:rowOff>67733</xdr:rowOff>
    </xdr:from>
    <xdr:to>
      <xdr:col>7</xdr:col>
      <xdr:colOff>357717</xdr:colOff>
      <xdr:row>40</xdr:row>
      <xdr:rowOff>112183</xdr:rowOff>
    </xdr:to>
    <xdr:graphicFrame macro="">
      <xdr:nvGraphicFramePr>
        <xdr:cNvPr id="10" name="Chart 9">
          <a:extLst>
            <a:ext uri="{FF2B5EF4-FFF2-40B4-BE49-F238E27FC236}">
              <a16:creationId xmlns:a16="http://schemas.microsoft.com/office/drawing/2014/main" id="{67D5DFCC-FC17-454B-9C00-698CB505D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465665</xdr:colOff>
      <xdr:row>59</xdr:row>
      <xdr:rowOff>0</xdr:rowOff>
    </xdr:from>
    <xdr:to>
      <xdr:col>24</xdr:col>
      <xdr:colOff>7056</xdr:colOff>
      <xdr:row>75</xdr:row>
      <xdr:rowOff>136071</xdr:rowOff>
    </xdr:to>
    <xdr:graphicFrame macro="">
      <xdr:nvGraphicFramePr>
        <xdr:cNvPr id="11" name="Chart 10">
          <a:extLst>
            <a:ext uri="{FF2B5EF4-FFF2-40B4-BE49-F238E27FC236}">
              <a16:creationId xmlns:a16="http://schemas.microsoft.com/office/drawing/2014/main" id="{04BBA92A-E2AD-469A-AE84-DFD062C7C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482600</xdr:colOff>
      <xdr:row>41</xdr:row>
      <xdr:rowOff>84665</xdr:rowOff>
    </xdr:from>
    <xdr:to>
      <xdr:col>23</xdr:col>
      <xdr:colOff>691445</xdr:colOff>
      <xdr:row>58</xdr:row>
      <xdr:rowOff>116415</xdr:rowOff>
    </xdr:to>
    <xdr:graphicFrame macro="">
      <xdr:nvGraphicFramePr>
        <xdr:cNvPr id="12" name="Chart 11">
          <a:extLst>
            <a:ext uri="{FF2B5EF4-FFF2-40B4-BE49-F238E27FC236}">
              <a16:creationId xmlns:a16="http://schemas.microsoft.com/office/drawing/2014/main" id="{176E49FE-4BC2-467D-A631-2DC15163C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40216</xdr:colOff>
      <xdr:row>6</xdr:row>
      <xdr:rowOff>116417</xdr:rowOff>
    </xdr:from>
    <xdr:to>
      <xdr:col>8</xdr:col>
      <xdr:colOff>116416</xdr:colOff>
      <xdr:row>23</xdr:row>
      <xdr:rowOff>76200</xdr:rowOff>
    </xdr:to>
    <xdr:graphicFrame macro="">
      <xdr:nvGraphicFramePr>
        <xdr:cNvPr id="13" name="Chart 12">
          <a:extLst>
            <a:ext uri="{FF2B5EF4-FFF2-40B4-BE49-F238E27FC236}">
              <a16:creationId xmlns:a16="http://schemas.microsoft.com/office/drawing/2014/main" id="{FF56FC59-B7D4-4ACD-926F-05EA63E88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127001</xdr:colOff>
      <xdr:row>0</xdr:row>
      <xdr:rowOff>0</xdr:rowOff>
    </xdr:from>
    <xdr:to>
      <xdr:col>23</xdr:col>
      <xdr:colOff>677335</xdr:colOff>
      <xdr:row>10</xdr:row>
      <xdr:rowOff>137583</xdr:rowOff>
    </xdr:to>
    <xdr:sp macro="" textlink="">
      <xdr:nvSpPr>
        <xdr:cNvPr id="2" name="Rectangle: Rounded Corners 1">
          <a:extLst>
            <a:ext uri="{FF2B5EF4-FFF2-40B4-BE49-F238E27FC236}">
              <a16:creationId xmlns:a16="http://schemas.microsoft.com/office/drawing/2014/main" id="{B5376C75-E67C-493E-9648-C3714DA9DBEF}"/>
            </a:ext>
          </a:extLst>
        </xdr:cNvPr>
        <xdr:cNvSpPr/>
      </xdr:nvSpPr>
      <xdr:spPr>
        <a:xfrm>
          <a:off x="10562168" y="0"/>
          <a:ext cx="4233334" cy="1725083"/>
        </a:xfrm>
        <a:prstGeom prst="roundRect">
          <a:avLst/>
        </a:prstGeom>
        <a:solidFill>
          <a:schemeClr val="tx1">
            <a:lumMod val="75000"/>
            <a:lumOff val="25000"/>
          </a:schemeClr>
        </a:solidFill>
        <a:ln>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200" b="1" i="1">
              <a:latin typeface="Algerian" panose="04020705040A02060702" pitchFamily="82" charset="0"/>
            </a:rPr>
            <a:t>Idol</a:t>
          </a:r>
          <a:r>
            <a:rPr lang="en-US" sz="3200" b="1" i="1" baseline="0">
              <a:latin typeface="Algerian" panose="04020705040A02060702" pitchFamily="82" charset="0"/>
            </a:rPr>
            <a:t> Dashboard - Bike rental 2011</a:t>
          </a:r>
          <a:endParaRPr lang="en-US" sz="3200" b="1" i="1">
            <a:latin typeface="Algerian" panose="04020705040A02060702" pitchFamily="82" charset="0"/>
          </a:endParaRPr>
        </a:p>
      </xdr:txBody>
    </xdr:sp>
    <xdr:clientData/>
  </xdr:twoCellAnchor>
  <xdr:twoCellAnchor>
    <xdr:from>
      <xdr:col>0</xdr:col>
      <xdr:colOff>63726</xdr:colOff>
      <xdr:row>0</xdr:row>
      <xdr:rowOff>31751</xdr:rowOff>
    </xdr:from>
    <xdr:to>
      <xdr:col>3</xdr:col>
      <xdr:colOff>279626</xdr:colOff>
      <xdr:row>6</xdr:row>
      <xdr:rowOff>42333</xdr:rowOff>
    </xdr:to>
    <xdr:grpSp>
      <xdr:nvGrpSpPr>
        <xdr:cNvPr id="3" name="Group 2">
          <a:extLst>
            <a:ext uri="{FF2B5EF4-FFF2-40B4-BE49-F238E27FC236}">
              <a16:creationId xmlns:a16="http://schemas.microsoft.com/office/drawing/2014/main" id="{F6642E55-40BC-47FB-8C3B-9E3E244D8BE0}"/>
            </a:ext>
          </a:extLst>
        </xdr:cNvPr>
        <xdr:cNvGrpSpPr/>
      </xdr:nvGrpSpPr>
      <xdr:grpSpPr>
        <a:xfrm>
          <a:off x="63726" y="31751"/>
          <a:ext cx="2039257" cy="990296"/>
          <a:chOff x="952500" y="22218650"/>
          <a:chExt cx="1555750" cy="762000"/>
        </a:xfrm>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83C86685-E9D8-CCAD-FB96-B52191C58F21}"/>
              </a:ext>
            </a:extLst>
          </xdr:cNvPr>
          <xdr:cNvSpPr/>
        </xdr:nvSpPr>
        <xdr:spPr>
          <a:xfrm>
            <a:off x="952500" y="22218650"/>
            <a:ext cx="1555750" cy="762000"/>
          </a:xfrm>
          <a:prstGeom prst="roundRect">
            <a:avLst/>
          </a:prstGeom>
          <a:solidFill>
            <a:schemeClr val="tx2"/>
          </a:solidFill>
          <a:ln>
            <a:solidFill>
              <a:schemeClr val="tx2"/>
            </a:solidFill>
          </a:ln>
          <a:effectLst>
            <a:glow rad="63500">
              <a:schemeClr val="bg2">
                <a:alpha val="40000"/>
              </a:schemeClr>
            </a:glow>
            <a:outerShdw blurRad="50800" dist="38100" dir="13500000" algn="b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2"/>
                </a:solidFill>
                <a:latin typeface="Algerian" panose="04020705040A02060702" pitchFamily="82" charset="0"/>
              </a:rPr>
              <a:t>Total Registered</a:t>
            </a:r>
          </a:p>
        </xdr:txBody>
      </xdr:sp>
      <xdr:sp macro="" textlink="">
        <xdr:nvSpPr>
          <xdr:cNvPr id="8" name="Wave 7">
            <a:extLst>
              <a:ext uri="{FF2B5EF4-FFF2-40B4-BE49-F238E27FC236}">
                <a16:creationId xmlns:a16="http://schemas.microsoft.com/office/drawing/2014/main" id="{C58FEF7A-F2A2-9AFC-0BAB-C8E5C809EB6D}"/>
              </a:ext>
            </a:extLst>
          </xdr:cNvPr>
          <xdr:cNvSpPr/>
        </xdr:nvSpPr>
        <xdr:spPr>
          <a:xfrm>
            <a:off x="1060450" y="22593300"/>
            <a:ext cx="1320800" cy="266700"/>
          </a:xfrm>
          <a:prstGeom prst="wave">
            <a:avLst>
              <a:gd name="adj1" fmla="val 8095"/>
              <a:gd name="adj2" fmla="val 2804"/>
            </a:avLst>
          </a:prstGeom>
          <a:solidFill>
            <a:srgbClr val="BD4F79"/>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0" cap="none" spc="0">
                <a:ln w="0"/>
                <a:solidFill>
                  <a:schemeClr val="bg1"/>
                </a:solidFill>
                <a:effectLst>
                  <a:outerShdw blurRad="38100" dist="25400" dir="5400000" algn="ctr" rotWithShape="0">
                    <a:srgbClr val="6E747A">
                      <a:alpha val="43000"/>
                    </a:srgbClr>
                  </a:outerShdw>
                </a:effectLst>
                <a:latin typeface="Algerian" panose="04020705040A02060702" pitchFamily="82" charset="0"/>
              </a:rPr>
              <a:t>53383</a:t>
            </a:r>
          </a:p>
        </xdr:txBody>
      </xdr:sp>
    </xdr:grpSp>
    <xdr:clientData/>
  </xdr:twoCellAnchor>
  <xdr:twoCellAnchor>
    <xdr:from>
      <xdr:col>3</xdr:col>
      <xdr:colOff>344972</xdr:colOff>
      <xdr:row>0</xdr:row>
      <xdr:rowOff>38504</xdr:rowOff>
    </xdr:from>
    <xdr:to>
      <xdr:col>6</xdr:col>
      <xdr:colOff>560917</xdr:colOff>
      <xdr:row>6</xdr:row>
      <xdr:rowOff>46124</xdr:rowOff>
    </xdr:to>
    <xdr:grpSp>
      <xdr:nvGrpSpPr>
        <xdr:cNvPr id="22" name="Group 21">
          <a:extLst>
            <a:ext uri="{FF2B5EF4-FFF2-40B4-BE49-F238E27FC236}">
              <a16:creationId xmlns:a16="http://schemas.microsoft.com/office/drawing/2014/main" id="{365F1911-B192-09D9-CD26-6180D6EC5EB6}"/>
            </a:ext>
          </a:extLst>
        </xdr:cNvPr>
        <xdr:cNvGrpSpPr/>
      </xdr:nvGrpSpPr>
      <xdr:grpSpPr>
        <a:xfrm>
          <a:off x="2168329" y="38504"/>
          <a:ext cx="2039302" cy="987334"/>
          <a:chOff x="3837022" y="20265"/>
          <a:chExt cx="1555750" cy="844415"/>
        </a:xfrm>
        <a:effectLst>
          <a:outerShdw blurRad="50800" dist="38100" dir="2700000" algn="tl" rotWithShape="0">
            <a:prstClr val="black">
              <a:alpha val="40000"/>
            </a:prstClr>
          </a:outerShdw>
        </a:effectLst>
      </xdr:grpSpPr>
      <xdr:sp macro="" textlink="">
        <xdr:nvSpPr>
          <xdr:cNvPr id="20" name="Rectangle: Rounded Corners 19">
            <a:extLst>
              <a:ext uri="{FF2B5EF4-FFF2-40B4-BE49-F238E27FC236}">
                <a16:creationId xmlns:a16="http://schemas.microsoft.com/office/drawing/2014/main" id="{4C569D3E-7F48-FA22-A0C6-BDE2929CEA1A}"/>
              </a:ext>
            </a:extLst>
          </xdr:cNvPr>
          <xdr:cNvSpPr/>
        </xdr:nvSpPr>
        <xdr:spPr>
          <a:xfrm>
            <a:off x="3837022" y="20265"/>
            <a:ext cx="1555750" cy="844415"/>
          </a:xfrm>
          <a:prstGeom prst="roundRect">
            <a:avLst/>
          </a:prstGeom>
          <a:solidFill>
            <a:schemeClr val="tx2"/>
          </a:solidFill>
          <a:ln>
            <a:solidFill>
              <a:schemeClr val="tx2"/>
            </a:solidFill>
          </a:ln>
          <a:effectLst>
            <a:glow rad="63500">
              <a:schemeClr val="bg2">
                <a:alpha val="40000"/>
              </a:schemeClr>
            </a:glow>
            <a:outerShdw blurRad="50800" dist="38100" dir="13500000" algn="b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2"/>
                </a:solidFill>
                <a:latin typeface="Algerian" panose="04020705040A02060702" pitchFamily="82" charset="0"/>
              </a:rPr>
              <a:t>Total Casual</a:t>
            </a:r>
          </a:p>
        </xdr:txBody>
      </xdr:sp>
      <xdr:sp macro="" textlink="">
        <xdr:nvSpPr>
          <xdr:cNvPr id="21" name="Wave 20">
            <a:extLst>
              <a:ext uri="{FF2B5EF4-FFF2-40B4-BE49-F238E27FC236}">
                <a16:creationId xmlns:a16="http://schemas.microsoft.com/office/drawing/2014/main" id="{B7D7C49C-A185-0091-8EE7-61D6A231033A}"/>
              </a:ext>
            </a:extLst>
          </xdr:cNvPr>
          <xdr:cNvSpPr/>
        </xdr:nvSpPr>
        <xdr:spPr>
          <a:xfrm>
            <a:off x="3952131" y="466117"/>
            <a:ext cx="1320800" cy="258277"/>
          </a:xfrm>
          <a:prstGeom prst="wave">
            <a:avLst>
              <a:gd name="adj1" fmla="val 8095"/>
              <a:gd name="adj2" fmla="val 2804"/>
            </a:avLst>
          </a:prstGeom>
          <a:solidFill>
            <a:srgbClr val="BD4F79"/>
          </a:solid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lt1"/>
                </a:solidFill>
                <a:effectLst/>
                <a:latin typeface="Algerian" panose="04020705040A02060702" pitchFamily="82" charset="0"/>
                <a:ea typeface="+mn-ea"/>
                <a:cs typeface="+mn-cs"/>
              </a:rPr>
              <a:t>4921</a:t>
            </a:r>
            <a:r>
              <a:rPr lang="en-US" sz="1400">
                <a:effectLst/>
                <a:latin typeface="Algerian" panose="04020705040A02060702" pitchFamily="82" charset="0"/>
              </a:rPr>
              <a:t> </a:t>
            </a:r>
            <a:endParaRPr lang="en-US" sz="1400" b="0" cap="none" spc="0">
              <a:ln w="0"/>
              <a:solidFill>
                <a:schemeClr val="bg1"/>
              </a:solidFill>
              <a:effectLst>
                <a:outerShdw blurRad="38100" dist="25400" dir="5400000" algn="ctr" rotWithShape="0">
                  <a:srgbClr val="6E747A">
                    <a:alpha val="43000"/>
                  </a:srgbClr>
                </a:outerShdw>
              </a:effectLst>
              <a:latin typeface="Algerian" panose="04020705040A02060702" pitchFamily="82" charset="0"/>
            </a:endParaRPr>
          </a:p>
        </xdr:txBody>
      </xdr:sp>
    </xdr:grpSp>
    <xdr:clientData/>
  </xdr:twoCellAnchor>
  <xdr:twoCellAnchor>
    <xdr:from>
      <xdr:col>7</xdr:col>
      <xdr:colOff>31525</xdr:colOff>
      <xdr:row>0</xdr:row>
      <xdr:rowOff>34690</xdr:rowOff>
    </xdr:from>
    <xdr:to>
      <xdr:col>10</xdr:col>
      <xdr:colOff>247425</xdr:colOff>
      <xdr:row>6</xdr:row>
      <xdr:rowOff>42310</xdr:rowOff>
    </xdr:to>
    <xdr:grpSp>
      <xdr:nvGrpSpPr>
        <xdr:cNvPr id="23" name="Group 22">
          <a:extLst>
            <a:ext uri="{FF2B5EF4-FFF2-40B4-BE49-F238E27FC236}">
              <a16:creationId xmlns:a16="http://schemas.microsoft.com/office/drawing/2014/main" id="{25A69F29-734D-4130-9B6C-12F9DB70BC6D}"/>
            </a:ext>
          </a:extLst>
        </xdr:cNvPr>
        <xdr:cNvGrpSpPr/>
      </xdr:nvGrpSpPr>
      <xdr:grpSpPr>
        <a:xfrm>
          <a:off x="4286025" y="34690"/>
          <a:ext cx="2039257" cy="987334"/>
          <a:chOff x="4599053" y="24050379"/>
          <a:chExt cx="1555750" cy="786189"/>
        </a:xfrm>
      </xdr:grpSpPr>
      <xdr:sp macro="" textlink="">
        <xdr:nvSpPr>
          <xdr:cNvPr id="24" name="Rectangle: Rounded Corners 23">
            <a:extLst>
              <a:ext uri="{FF2B5EF4-FFF2-40B4-BE49-F238E27FC236}">
                <a16:creationId xmlns:a16="http://schemas.microsoft.com/office/drawing/2014/main" id="{40D4CDF3-5C62-CC7C-FABF-1C77E95F1D3D}"/>
              </a:ext>
            </a:extLst>
          </xdr:cNvPr>
          <xdr:cNvSpPr/>
        </xdr:nvSpPr>
        <xdr:spPr>
          <a:xfrm>
            <a:off x="4599053" y="24050379"/>
            <a:ext cx="1555750" cy="786189"/>
          </a:xfrm>
          <a:prstGeom prst="roundRect">
            <a:avLst/>
          </a:prstGeom>
          <a:solidFill>
            <a:schemeClr val="tx2"/>
          </a:solidFill>
          <a:ln>
            <a:solidFill>
              <a:srgbClr val="00B050"/>
            </a:solidFill>
          </a:ln>
          <a:effectLst>
            <a:glow rad="63500">
              <a:schemeClr val="bg2">
                <a:alpha val="40000"/>
              </a:schemeClr>
            </a:glow>
            <a:outerShdw blurRad="50800" dist="38100" dir="13500000" algn="b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2"/>
                </a:solidFill>
                <a:latin typeface="Algerian" panose="04020705040A02060702" pitchFamily="82" charset="0"/>
              </a:rPr>
              <a:t>Total  count</a:t>
            </a:r>
          </a:p>
        </xdr:txBody>
      </xdr:sp>
      <xdr:sp macro="" textlink="">
        <xdr:nvSpPr>
          <xdr:cNvPr id="25" name="Wave 24">
            <a:extLst>
              <a:ext uri="{FF2B5EF4-FFF2-40B4-BE49-F238E27FC236}">
                <a16:creationId xmlns:a16="http://schemas.microsoft.com/office/drawing/2014/main" id="{99FFC998-3892-3C10-5E40-9DE2355EB4C2}"/>
              </a:ext>
            </a:extLst>
          </xdr:cNvPr>
          <xdr:cNvSpPr/>
        </xdr:nvSpPr>
        <xdr:spPr>
          <a:xfrm>
            <a:off x="4705350" y="24453850"/>
            <a:ext cx="1320800" cy="266700"/>
          </a:xfrm>
          <a:prstGeom prst="wave">
            <a:avLst>
              <a:gd name="adj1" fmla="val 8095"/>
              <a:gd name="adj2" fmla="val 2804"/>
            </a:avLst>
          </a:prstGeom>
          <a:solidFill>
            <a:srgbClr val="BD4F79"/>
          </a:solidFill>
          <a:ln>
            <a:solidFill>
              <a:srgbClr val="BD4F7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lt1"/>
                </a:solidFill>
                <a:effectLst/>
                <a:latin typeface="Algerian" panose="04020705040A02060702" pitchFamily="82" charset="0"/>
                <a:ea typeface="+mn-ea"/>
                <a:cs typeface="+mn-cs"/>
              </a:rPr>
              <a:t>58304</a:t>
            </a:r>
            <a:r>
              <a:rPr lang="en-US" sz="1400">
                <a:effectLst/>
              </a:rPr>
              <a:t> </a:t>
            </a:r>
            <a:endParaRPr lang="en-US" sz="1400" b="0" cap="none" spc="0">
              <a:ln w="0"/>
              <a:solidFill>
                <a:schemeClr val="bg1"/>
              </a:solidFill>
              <a:effectLst>
                <a:outerShdw blurRad="38100" dist="25400" dir="5400000" algn="ctr" rotWithShape="0">
                  <a:srgbClr val="6E747A">
                    <a:alpha val="43000"/>
                  </a:srgbClr>
                </a:outerShdw>
              </a:effectLst>
              <a:latin typeface="Algerian" panose="04020705040A02060702" pitchFamily="82" charset="0"/>
            </a:endParaRPr>
          </a:p>
        </xdr:txBody>
      </xdr:sp>
    </xdr:grpSp>
    <xdr:clientData/>
  </xdr:twoCellAnchor>
  <xdr:twoCellAnchor>
    <xdr:from>
      <xdr:col>20</xdr:col>
      <xdr:colOff>504584</xdr:colOff>
      <xdr:row>32</xdr:row>
      <xdr:rowOff>63501</xdr:rowOff>
    </xdr:from>
    <xdr:to>
      <xdr:col>23</xdr:col>
      <xdr:colOff>677333</xdr:colOff>
      <xdr:row>41</xdr:row>
      <xdr:rowOff>28337</xdr:rowOff>
    </xdr:to>
    <xdr:sp macro="" textlink="">
      <xdr:nvSpPr>
        <xdr:cNvPr id="27" name="Rectangle 26">
          <a:extLst>
            <a:ext uri="{FF2B5EF4-FFF2-40B4-BE49-F238E27FC236}">
              <a16:creationId xmlns:a16="http://schemas.microsoft.com/office/drawing/2014/main" id="{703B76AC-B53F-DEDD-5D4F-B05E141AA97F}"/>
            </a:ext>
          </a:extLst>
        </xdr:cNvPr>
        <xdr:cNvSpPr/>
      </xdr:nvSpPr>
      <xdr:spPr>
        <a:xfrm>
          <a:off x="12640140" y="5256390"/>
          <a:ext cx="1993082" cy="1425336"/>
        </a:xfrm>
        <a:prstGeom prst="rect">
          <a:avLst/>
        </a:prstGeom>
        <a:ln w="38100">
          <a:solidFill>
            <a:schemeClr val="accent6">
              <a:lumMod val="60000"/>
              <a:lumOff val="40000"/>
              <a:alpha val="89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165918</xdr:colOff>
      <xdr:row>30</xdr:row>
      <xdr:rowOff>2048</xdr:rowOff>
    </xdr:from>
    <xdr:to>
      <xdr:col>20</xdr:col>
      <xdr:colOff>482191</xdr:colOff>
      <xdr:row>41</xdr:row>
      <xdr:rowOff>44724</xdr:rowOff>
    </xdr:to>
    <xdr:sp macro="" textlink="">
      <xdr:nvSpPr>
        <xdr:cNvPr id="28" name="Rectangle 27">
          <a:extLst>
            <a:ext uri="{FF2B5EF4-FFF2-40B4-BE49-F238E27FC236}">
              <a16:creationId xmlns:a16="http://schemas.microsoft.com/office/drawing/2014/main" id="{F19ACFAA-3919-926C-D6C2-91894502D1C0}"/>
            </a:ext>
          </a:extLst>
        </xdr:cNvPr>
        <xdr:cNvSpPr/>
      </xdr:nvSpPr>
      <xdr:spPr>
        <a:xfrm>
          <a:off x="10601085" y="5717048"/>
          <a:ext cx="2157773" cy="1788926"/>
        </a:xfrm>
        <a:prstGeom prst="rect">
          <a:avLst/>
        </a:prstGeom>
        <a:ln w="38100">
          <a:solidFill>
            <a:schemeClr val="accent6">
              <a:lumMod val="60000"/>
              <a:lumOff val="40000"/>
              <a:alpha val="89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17</xdr:col>
      <xdr:colOff>197877</xdr:colOff>
      <xdr:row>30</xdr:row>
      <xdr:rowOff>15567</xdr:rowOff>
    </xdr:from>
    <xdr:to>
      <xdr:col>20</xdr:col>
      <xdr:colOff>477061</xdr:colOff>
      <xdr:row>41</xdr:row>
      <xdr:rowOff>850</xdr:rowOff>
    </xdr:to>
    <mc:AlternateContent xmlns:mc="http://schemas.openxmlformats.org/markup-compatibility/2006" xmlns:a14="http://schemas.microsoft.com/office/drawing/2010/main">
      <mc:Choice Requires="a14">
        <xdr:graphicFrame macro="">
          <xdr:nvGraphicFramePr>
            <xdr:cNvPr id="16" name="hr">
              <a:extLst>
                <a:ext uri="{FF2B5EF4-FFF2-40B4-BE49-F238E27FC236}">
                  <a16:creationId xmlns:a16="http://schemas.microsoft.com/office/drawing/2014/main" id="{130D2A3C-878B-4762-813F-89B247D6CAE4}"/>
                </a:ext>
              </a:extLst>
            </xdr:cNvPr>
            <xdr:cNvGraphicFramePr/>
          </xdr:nvGraphicFramePr>
          <xdr:xfrm>
            <a:off x="0" y="0"/>
            <a:ext cx="0" cy="0"/>
          </xdr:xfrm>
          <a:graphic>
            <a:graphicData uri="http://schemas.microsoft.com/office/drawing/2010/slicer">
              <sle:slicer xmlns:sle="http://schemas.microsoft.com/office/drawing/2010/slicer" name="hr"/>
            </a:graphicData>
          </a:graphic>
        </xdr:graphicFrame>
      </mc:Choice>
      <mc:Fallback xmlns="">
        <xdr:sp macro="" textlink="">
          <xdr:nvSpPr>
            <xdr:cNvPr id="0" name=""/>
            <xdr:cNvSpPr>
              <a:spLocks noTextEdit="1"/>
            </xdr:cNvSpPr>
          </xdr:nvSpPr>
          <xdr:spPr>
            <a:xfrm>
              <a:off x="10530234" y="4914138"/>
              <a:ext cx="2102541" cy="178142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185515</xdr:colOff>
      <xdr:row>22</xdr:row>
      <xdr:rowOff>63500</xdr:rowOff>
    </xdr:from>
    <xdr:to>
      <xdr:col>20</xdr:col>
      <xdr:colOff>499602</xdr:colOff>
      <xdr:row>29</xdr:row>
      <xdr:rowOff>126319</xdr:rowOff>
    </xdr:to>
    <xdr:sp macro="" textlink="">
      <xdr:nvSpPr>
        <xdr:cNvPr id="29" name="Rectangle 28">
          <a:extLst>
            <a:ext uri="{FF2B5EF4-FFF2-40B4-BE49-F238E27FC236}">
              <a16:creationId xmlns:a16="http://schemas.microsoft.com/office/drawing/2014/main" id="{DB2AD987-281D-58E6-1DB9-EA20F35EAF38}"/>
            </a:ext>
          </a:extLst>
        </xdr:cNvPr>
        <xdr:cNvSpPr/>
      </xdr:nvSpPr>
      <xdr:spPr>
        <a:xfrm>
          <a:off x="10620682" y="3556000"/>
          <a:ext cx="2155587" cy="1174069"/>
        </a:xfrm>
        <a:prstGeom prst="rect">
          <a:avLst/>
        </a:prstGeom>
        <a:ln w="38100">
          <a:solidFill>
            <a:schemeClr val="accent6">
              <a:lumMod val="60000"/>
              <a:lumOff val="40000"/>
              <a:alpha val="89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166022</xdr:colOff>
      <xdr:row>10</xdr:row>
      <xdr:rowOff>148166</xdr:rowOff>
    </xdr:from>
    <xdr:to>
      <xdr:col>20</xdr:col>
      <xdr:colOff>431626</xdr:colOff>
      <xdr:row>16</xdr:row>
      <xdr:rowOff>83531</xdr:rowOff>
    </xdr:to>
    <xdr:sp macro="" textlink="">
      <xdr:nvSpPr>
        <xdr:cNvPr id="30" name="Rectangle 29">
          <a:extLst>
            <a:ext uri="{FF2B5EF4-FFF2-40B4-BE49-F238E27FC236}">
              <a16:creationId xmlns:a16="http://schemas.microsoft.com/office/drawing/2014/main" id="{FB65EB0C-2FB9-44D6-9C96-B6C14E00E649}"/>
            </a:ext>
          </a:extLst>
        </xdr:cNvPr>
        <xdr:cNvSpPr/>
      </xdr:nvSpPr>
      <xdr:spPr>
        <a:xfrm>
          <a:off x="10481244" y="1770944"/>
          <a:ext cx="2085938" cy="909031"/>
        </a:xfrm>
        <a:prstGeom prst="rect">
          <a:avLst/>
        </a:prstGeom>
        <a:ln w="38100">
          <a:solidFill>
            <a:schemeClr val="accent6">
              <a:lumMod val="60000"/>
              <a:lumOff val="40000"/>
              <a:alpha val="89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20</xdr:col>
      <xdr:colOff>490154</xdr:colOff>
      <xdr:row>10</xdr:row>
      <xdr:rowOff>139623</xdr:rowOff>
    </xdr:from>
    <xdr:to>
      <xdr:col>23</xdr:col>
      <xdr:colOff>705555</xdr:colOff>
      <xdr:row>17</xdr:row>
      <xdr:rowOff>120021</xdr:rowOff>
    </xdr:to>
    <xdr:sp macro="" textlink="">
      <xdr:nvSpPr>
        <xdr:cNvPr id="31" name="Rectangle 30">
          <a:extLst>
            <a:ext uri="{FF2B5EF4-FFF2-40B4-BE49-F238E27FC236}">
              <a16:creationId xmlns:a16="http://schemas.microsoft.com/office/drawing/2014/main" id="{7F0B8AA1-0018-25B9-B47A-41E66806C877}"/>
            </a:ext>
          </a:extLst>
        </xdr:cNvPr>
        <xdr:cNvSpPr/>
      </xdr:nvSpPr>
      <xdr:spPr>
        <a:xfrm>
          <a:off x="12625710" y="1762401"/>
          <a:ext cx="2035734" cy="1116342"/>
        </a:xfrm>
        <a:prstGeom prst="rect">
          <a:avLst/>
        </a:prstGeom>
        <a:ln w="38100">
          <a:solidFill>
            <a:schemeClr val="accent6">
              <a:lumMod val="60000"/>
              <a:lumOff val="40000"/>
              <a:alpha val="89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20</xdr:col>
      <xdr:colOff>528055</xdr:colOff>
      <xdr:row>32</xdr:row>
      <xdr:rowOff>84667</xdr:rowOff>
    </xdr:from>
    <xdr:to>
      <xdr:col>23</xdr:col>
      <xdr:colOff>692259</xdr:colOff>
      <xdr:row>41</xdr:row>
      <xdr:rowOff>1662</xdr:rowOff>
    </xdr:to>
    <mc:AlternateContent xmlns:mc="http://schemas.openxmlformats.org/markup-compatibility/2006" xmlns:a14="http://schemas.microsoft.com/office/drawing/2010/main">
      <mc:Choice Requires="a14">
        <xdr:graphicFrame macro="">
          <xdr:nvGraphicFramePr>
            <xdr:cNvPr id="14" name="Weekdays">
              <a:extLst>
                <a:ext uri="{FF2B5EF4-FFF2-40B4-BE49-F238E27FC236}">
                  <a16:creationId xmlns:a16="http://schemas.microsoft.com/office/drawing/2014/main" id="{3F106AA4-5EB4-437C-BDAF-83DAFA9C0FB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Weekdays"/>
            </a:graphicData>
          </a:graphic>
        </xdr:graphicFrame>
      </mc:Choice>
      <mc:Fallback xmlns="">
        <xdr:sp macro="" textlink="">
          <xdr:nvSpPr>
            <xdr:cNvPr id="0" name=""/>
            <xdr:cNvSpPr>
              <a:spLocks noTextEdit="1"/>
            </xdr:cNvSpPr>
          </xdr:nvSpPr>
          <xdr:spPr>
            <a:xfrm>
              <a:off x="12683769" y="5309810"/>
              <a:ext cx="1987561" cy="13865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523293</xdr:colOff>
      <xdr:row>23</xdr:row>
      <xdr:rowOff>116417</xdr:rowOff>
    </xdr:from>
    <xdr:to>
      <xdr:col>23</xdr:col>
      <xdr:colOff>705555</xdr:colOff>
      <xdr:row>32</xdr:row>
      <xdr:rowOff>27996</xdr:rowOff>
    </xdr:to>
    <xdr:sp macro="" textlink="">
      <xdr:nvSpPr>
        <xdr:cNvPr id="32" name="Rectangle 31">
          <a:extLst>
            <a:ext uri="{FF2B5EF4-FFF2-40B4-BE49-F238E27FC236}">
              <a16:creationId xmlns:a16="http://schemas.microsoft.com/office/drawing/2014/main" id="{D4D88561-ADAE-3C73-02F0-0F477B62E33A}"/>
            </a:ext>
          </a:extLst>
        </xdr:cNvPr>
        <xdr:cNvSpPr/>
      </xdr:nvSpPr>
      <xdr:spPr>
        <a:xfrm>
          <a:off x="12658849" y="3848806"/>
          <a:ext cx="2002595" cy="1372079"/>
        </a:xfrm>
        <a:prstGeom prst="rect">
          <a:avLst/>
        </a:prstGeom>
        <a:ln w="38100">
          <a:solidFill>
            <a:schemeClr val="accent6">
              <a:lumMod val="60000"/>
              <a:lumOff val="40000"/>
              <a:alpha val="89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20</xdr:col>
      <xdr:colOff>560915</xdr:colOff>
      <xdr:row>23</xdr:row>
      <xdr:rowOff>146538</xdr:rowOff>
    </xdr:from>
    <xdr:to>
      <xdr:col>23</xdr:col>
      <xdr:colOff>677333</xdr:colOff>
      <xdr:row>32</xdr:row>
      <xdr:rowOff>5833</xdr:rowOff>
    </xdr:to>
    <mc:AlternateContent xmlns:mc="http://schemas.openxmlformats.org/markup-compatibility/2006" xmlns:a14="http://schemas.microsoft.com/office/drawing/2010/main">
      <mc:Choice Requires="a14">
        <xdr:graphicFrame macro="">
          <xdr:nvGraphicFramePr>
            <xdr:cNvPr id="17" name="day part">
              <a:extLst>
                <a:ext uri="{FF2B5EF4-FFF2-40B4-BE49-F238E27FC236}">
                  <a16:creationId xmlns:a16="http://schemas.microsoft.com/office/drawing/2014/main" id="{08988058-FBEA-468B-92F6-55303586C092}"/>
                </a:ext>
              </a:extLst>
            </xdr:cNvPr>
            <xdr:cNvGraphicFramePr/>
          </xdr:nvGraphicFramePr>
          <xdr:xfrm>
            <a:off x="0" y="0"/>
            <a:ext cx="0" cy="0"/>
          </xdr:xfrm>
          <a:graphic>
            <a:graphicData uri="http://schemas.microsoft.com/office/drawing/2010/slicer">
              <sle:slicer xmlns:sle="http://schemas.microsoft.com/office/drawing/2010/slicer" name="day part"/>
            </a:graphicData>
          </a:graphic>
        </xdr:graphicFrame>
      </mc:Choice>
      <mc:Fallback xmlns="">
        <xdr:sp macro="" textlink="">
          <xdr:nvSpPr>
            <xdr:cNvPr id="0" name=""/>
            <xdr:cNvSpPr>
              <a:spLocks noTextEdit="1"/>
            </xdr:cNvSpPr>
          </xdr:nvSpPr>
          <xdr:spPr>
            <a:xfrm>
              <a:off x="12716629" y="3902109"/>
              <a:ext cx="1939775" cy="1328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27310</xdr:colOff>
      <xdr:row>58</xdr:row>
      <xdr:rowOff>88763</xdr:rowOff>
    </xdr:from>
    <xdr:to>
      <xdr:col>7</xdr:col>
      <xdr:colOff>353786</xdr:colOff>
      <xdr:row>76</xdr:row>
      <xdr:rowOff>25673</xdr:rowOff>
    </xdr:to>
    <xdr:graphicFrame macro="">
      <xdr:nvGraphicFramePr>
        <xdr:cNvPr id="33" name="Chart 32">
          <a:extLst>
            <a:ext uri="{FF2B5EF4-FFF2-40B4-BE49-F238E27FC236}">
              <a16:creationId xmlns:a16="http://schemas.microsoft.com/office/drawing/2014/main" id="{08BF986A-CBB1-430B-8A4D-5AF72683C2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396021</xdr:colOff>
      <xdr:row>58</xdr:row>
      <xdr:rowOff>95591</xdr:rowOff>
    </xdr:from>
    <xdr:to>
      <xdr:col>18</xdr:col>
      <xdr:colOff>430160</xdr:colOff>
      <xdr:row>76</xdr:row>
      <xdr:rowOff>12017</xdr:rowOff>
    </xdr:to>
    <xdr:graphicFrame macro="">
      <xdr:nvGraphicFramePr>
        <xdr:cNvPr id="34" name="Chart 33">
          <a:extLst>
            <a:ext uri="{FF2B5EF4-FFF2-40B4-BE49-F238E27FC236}">
              <a16:creationId xmlns:a16="http://schemas.microsoft.com/office/drawing/2014/main" id="{39841DC6-EBC4-4EEC-AA81-2E9FBB25B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20</xdr:col>
      <xdr:colOff>518583</xdr:colOff>
      <xdr:row>17</xdr:row>
      <xdr:rowOff>134056</xdr:rowOff>
    </xdr:from>
    <xdr:to>
      <xdr:col>23</xdr:col>
      <xdr:colOff>663222</xdr:colOff>
      <xdr:row>23</xdr:row>
      <xdr:rowOff>65753</xdr:rowOff>
    </xdr:to>
    <xdr:sp macro="" textlink="">
      <xdr:nvSpPr>
        <xdr:cNvPr id="37" name="Rectangle 36">
          <a:extLst>
            <a:ext uri="{FF2B5EF4-FFF2-40B4-BE49-F238E27FC236}">
              <a16:creationId xmlns:a16="http://schemas.microsoft.com/office/drawing/2014/main" id="{8F5030B7-54DB-2397-CC3C-8F58BDECB8F6}"/>
            </a:ext>
          </a:extLst>
        </xdr:cNvPr>
        <xdr:cNvSpPr/>
      </xdr:nvSpPr>
      <xdr:spPr>
        <a:xfrm>
          <a:off x="12654139" y="2892778"/>
          <a:ext cx="1964972" cy="905364"/>
        </a:xfrm>
        <a:prstGeom prst="rect">
          <a:avLst/>
        </a:prstGeom>
        <a:ln w="38100">
          <a:solidFill>
            <a:schemeClr val="accent6">
              <a:lumMod val="60000"/>
              <a:lumOff val="40000"/>
              <a:alpha val="89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17</xdr:col>
      <xdr:colOff>127370</xdr:colOff>
      <xdr:row>16</xdr:row>
      <xdr:rowOff>141112</xdr:rowOff>
    </xdr:from>
    <xdr:to>
      <xdr:col>20</xdr:col>
      <xdr:colOff>487771</xdr:colOff>
      <xdr:row>22</xdr:row>
      <xdr:rowOff>3373</xdr:rowOff>
    </xdr:to>
    <xdr:sp macro="" textlink="">
      <xdr:nvSpPr>
        <xdr:cNvPr id="38" name="Rectangle 37">
          <a:extLst>
            <a:ext uri="{FF2B5EF4-FFF2-40B4-BE49-F238E27FC236}">
              <a16:creationId xmlns:a16="http://schemas.microsoft.com/office/drawing/2014/main" id="{B8D17C01-BB5A-D191-0E30-6B734DA5F55A}"/>
            </a:ext>
          </a:extLst>
        </xdr:cNvPr>
        <xdr:cNvSpPr/>
      </xdr:nvSpPr>
      <xdr:spPr>
        <a:xfrm>
          <a:off x="10442592" y="2737556"/>
          <a:ext cx="2180735" cy="835928"/>
        </a:xfrm>
        <a:prstGeom prst="rect">
          <a:avLst/>
        </a:prstGeom>
        <a:ln w="38100">
          <a:solidFill>
            <a:schemeClr val="accent6">
              <a:lumMod val="60000"/>
              <a:lumOff val="40000"/>
              <a:alpha val="89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20</xdr:col>
      <xdr:colOff>536223</xdr:colOff>
      <xdr:row>18</xdr:row>
      <xdr:rowOff>21167</xdr:rowOff>
    </xdr:from>
    <xdr:to>
      <xdr:col>23</xdr:col>
      <xdr:colOff>620889</xdr:colOff>
      <xdr:row>23</xdr:row>
      <xdr:rowOff>46539</xdr:rowOff>
    </xdr:to>
    <mc:AlternateContent xmlns:mc="http://schemas.openxmlformats.org/markup-compatibility/2006" xmlns:a14="http://schemas.microsoft.com/office/drawing/2010/main">
      <mc:Choice Requires="a14">
        <xdr:graphicFrame macro="">
          <xdr:nvGraphicFramePr>
            <xdr:cNvPr id="35" name="Anomaly flag for casual">
              <a:extLst>
                <a:ext uri="{FF2B5EF4-FFF2-40B4-BE49-F238E27FC236}">
                  <a16:creationId xmlns:a16="http://schemas.microsoft.com/office/drawing/2014/main" id="{146ED21A-1A4C-4B5D-AA46-5B2BB0A8AA3F}"/>
                </a:ext>
              </a:extLst>
            </xdr:cNvPr>
            <xdr:cNvGraphicFramePr/>
          </xdr:nvGraphicFramePr>
          <xdr:xfrm>
            <a:off x="0" y="0"/>
            <a:ext cx="0" cy="0"/>
          </xdr:xfrm>
          <a:graphic>
            <a:graphicData uri="http://schemas.microsoft.com/office/drawing/2010/slicer">
              <sle:slicer xmlns:sle="http://schemas.microsoft.com/office/drawing/2010/slicer" name="Anomaly flag for casual"/>
            </a:graphicData>
          </a:graphic>
        </xdr:graphicFrame>
      </mc:Choice>
      <mc:Fallback xmlns="">
        <xdr:sp macro="" textlink="">
          <xdr:nvSpPr>
            <xdr:cNvPr id="0" name=""/>
            <xdr:cNvSpPr>
              <a:spLocks noTextEdit="1"/>
            </xdr:cNvSpPr>
          </xdr:nvSpPr>
          <xdr:spPr>
            <a:xfrm>
              <a:off x="12691937" y="2960310"/>
              <a:ext cx="1908023" cy="841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328083</xdr:colOff>
      <xdr:row>0</xdr:row>
      <xdr:rowOff>31751</xdr:rowOff>
    </xdr:from>
    <xdr:to>
      <xdr:col>13</xdr:col>
      <xdr:colOff>543983</xdr:colOff>
      <xdr:row>6</xdr:row>
      <xdr:rowOff>39371</xdr:rowOff>
    </xdr:to>
    <xdr:grpSp>
      <xdr:nvGrpSpPr>
        <xdr:cNvPr id="9" name="Group 8">
          <a:extLst>
            <a:ext uri="{FF2B5EF4-FFF2-40B4-BE49-F238E27FC236}">
              <a16:creationId xmlns:a16="http://schemas.microsoft.com/office/drawing/2014/main" id="{31B43DF5-1AE5-4A16-AFC0-705C0B4FA01F}"/>
            </a:ext>
          </a:extLst>
        </xdr:cNvPr>
        <xdr:cNvGrpSpPr/>
      </xdr:nvGrpSpPr>
      <xdr:grpSpPr>
        <a:xfrm>
          <a:off x="6405940" y="31751"/>
          <a:ext cx="2039257" cy="987334"/>
          <a:chOff x="10067089" y="22384753"/>
          <a:chExt cx="1555750" cy="762000"/>
        </a:xfrm>
      </xdr:grpSpPr>
      <xdr:sp macro="" textlink="">
        <xdr:nvSpPr>
          <xdr:cNvPr id="26" name="Rectangle: Rounded Corners 25">
            <a:extLst>
              <a:ext uri="{FF2B5EF4-FFF2-40B4-BE49-F238E27FC236}">
                <a16:creationId xmlns:a16="http://schemas.microsoft.com/office/drawing/2014/main" id="{EE6AFDBC-9B61-6AB2-F366-D19908D8327B}"/>
              </a:ext>
            </a:extLst>
          </xdr:cNvPr>
          <xdr:cNvSpPr/>
        </xdr:nvSpPr>
        <xdr:spPr>
          <a:xfrm>
            <a:off x="10067089" y="22384753"/>
            <a:ext cx="1555750" cy="762000"/>
          </a:xfrm>
          <a:prstGeom prst="roundRect">
            <a:avLst/>
          </a:prstGeom>
          <a:solidFill>
            <a:schemeClr val="tx2"/>
          </a:solidFill>
          <a:ln>
            <a:solidFill>
              <a:srgbClr val="00B050"/>
            </a:solidFill>
          </a:ln>
          <a:effectLst>
            <a:glow rad="63500">
              <a:schemeClr val="bg2">
                <a:alpha val="40000"/>
              </a:schemeClr>
            </a:glow>
            <a:outerShdw blurRad="50800" dist="38100" dir="13500000" algn="br" rotWithShape="0">
              <a:schemeClr val="bg2">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bg2"/>
                </a:solidFill>
                <a:latin typeface="Algerian" panose="04020705040A02060702" pitchFamily="82" charset="0"/>
              </a:rPr>
              <a:t>Convertion Rate</a:t>
            </a:r>
          </a:p>
        </xdr:txBody>
      </xdr:sp>
      <xdr:sp macro="" textlink="">
        <xdr:nvSpPr>
          <xdr:cNvPr id="39" name="Wave 38">
            <a:extLst>
              <a:ext uri="{FF2B5EF4-FFF2-40B4-BE49-F238E27FC236}">
                <a16:creationId xmlns:a16="http://schemas.microsoft.com/office/drawing/2014/main" id="{B1D2D2CE-16FF-CB78-8BDF-D6DF12C6A065}"/>
              </a:ext>
            </a:extLst>
          </xdr:cNvPr>
          <xdr:cNvSpPr/>
        </xdr:nvSpPr>
        <xdr:spPr>
          <a:xfrm>
            <a:off x="10192418" y="22741689"/>
            <a:ext cx="1320800" cy="266700"/>
          </a:xfrm>
          <a:prstGeom prst="wave">
            <a:avLst>
              <a:gd name="adj1" fmla="val 8095"/>
              <a:gd name="adj2" fmla="val 2804"/>
            </a:avLst>
          </a:prstGeom>
          <a:solidFill>
            <a:srgbClr val="BD4F79"/>
          </a:solidFill>
          <a:ln>
            <a:solidFill>
              <a:srgbClr val="BD4F7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0" u="none" strike="noStrike">
                <a:solidFill>
                  <a:schemeClr val="lt1"/>
                </a:solidFill>
                <a:effectLst/>
                <a:latin typeface="Algerian" panose="04020705040A02060702" pitchFamily="82" charset="0"/>
                <a:ea typeface="+mn-ea"/>
                <a:cs typeface="+mn-cs"/>
              </a:rPr>
              <a:t>10.85</a:t>
            </a:r>
            <a:r>
              <a:rPr lang="en-US" sz="1400">
                <a:effectLst/>
                <a:latin typeface="Algerian" panose="04020705040A02060702" pitchFamily="82" charset="0"/>
              </a:rPr>
              <a:t> </a:t>
            </a:r>
            <a:endParaRPr lang="en-US" sz="1400" b="0" cap="none" spc="0">
              <a:ln w="0"/>
              <a:solidFill>
                <a:schemeClr val="bg1"/>
              </a:solidFill>
              <a:effectLst>
                <a:outerShdw blurRad="38100" dist="25400" dir="5400000" algn="ctr" rotWithShape="0">
                  <a:srgbClr val="6E747A">
                    <a:alpha val="43000"/>
                  </a:srgbClr>
                </a:outerShdw>
              </a:effectLst>
              <a:latin typeface="Algerian" panose="04020705040A02060702" pitchFamily="82" charset="0"/>
            </a:endParaRPr>
          </a:p>
        </xdr:txBody>
      </xdr:sp>
    </xdr:grpSp>
    <xdr:clientData/>
  </xdr:twoCellAnchor>
  <xdr:twoCellAnchor editAs="oneCell">
    <xdr:from>
      <xdr:col>14</xdr:col>
      <xdr:colOff>97306</xdr:colOff>
      <xdr:row>0</xdr:row>
      <xdr:rowOff>0</xdr:rowOff>
    </xdr:from>
    <xdr:to>
      <xdr:col>16</xdr:col>
      <xdr:colOff>539749</xdr:colOff>
      <xdr:row>7</xdr:row>
      <xdr:rowOff>131530</xdr:rowOff>
    </xdr:to>
    <xdr:pic>
      <xdr:nvPicPr>
        <xdr:cNvPr id="41" name="Graphic 40" descr="A bicycle">
          <a:extLst>
            <a:ext uri="{FF2B5EF4-FFF2-40B4-BE49-F238E27FC236}">
              <a16:creationId xmlns:a16="http://schemas.microsoft.com/office/drawing/2014/main" id="{1D011678-4170-07D0-822C-8FA7D3CB0522}"/>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flipH="1">
          <a:off x="8690973" y="0"/>
          <a:ext cx="1670109" cy="1242780"/>
        </a:xfrm>
        <a:prstGeom prst="rect">
          <a:avLst/>
        </a:prstGeom>
      </xdr:spPr>
    </xdr:pic>
    <xdr:clientData/>
  </xdr:twoCellAnchor>
  <xdr:twoCellAnchor>
    <xdr:from>
      <xdr:col>7</xdr:col>
      <xdr:colOff>370417</xdr:colOff>
      <xdr:row>23</xdr:row>
      <xdr:rowOff>95250</xdr:rowOff>
    </xdr:from>
    <xdr:to>
      <xdr:col>17</xdr:col>
      <xdr:colOff>116416</xdr:colOff>
      <xdr:row>40</xdr:row>
      <xdr:rowOff>116417</xdr:rowOff>
    </xdr:to>
    <xdr:graphicFrame macro="">
      <xdr:nvGraphicFramePr>
        <xdr:cNvPr id="44" name="Chart 43">
          <a:extLst>
            <a:ext uri="{FF2B5EF4-FFF2-40B4-BE49-F238E27FC236}">
              <a16:creationId xmlns:a16="http://schemas.microsoft.com/office/drawing/2014/main" id="{176632FE-155C-4228-8F07-09F869D0CA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17</xdr:col>
      <xdr:colOff>222250</xdr:colOff>
      <xdr:row>22</xdr:row>
      <xdr:rowOff>79375</xdr:rowOff>
    </xdr:from>
    <xdr:to>
      <xdr:col>20</xdr:col>
      <xdr:colOff>464039</xdr:colOff>
      <xdr:row>29</xdr:row>
      <xdr:rowOff>105833</xdr:rowOff>
    </xdr:to>
    <mc:AlternateContent xmlns:mc="http://schemas.openxmlformats.org/markup-compatibility/2006" xmlns:a14="http://schemas.microsoft.com/office/drawing/2010/main">
      <mc:Choice Requires="a14">
        <xdr:graphicFrame macro="">
          <xdr:nvGraphicFramePr>
            <xdr:cNvPr id="19" name="Weather sit band">
              <a:extLst>
                <a:ext uri="{FF2B5EF4-FFF2-40B4-BE49-F238E27FC236}">
                  <a16:creationId xmlns:a16="http://schemas.microsoft.com/office/drawing/2014/main" id="{DEB20395-BDB9-4158-AE12-5D844B03FA87}"/>
                </a:ext>
              </a:extLst>
            </xdr:cNvPr>
            <xdr:cNvGraphicFramePr/>
          </xdr:nvGraphicFramePr>
          <xdr:xfrm>
            <a:off x="0" y="0"/>
            <a:ext cx="0" cy="0"/>
          </xdr:xfrm>
          <a:graphic>
            <a:graphicData uri="http://schemas.microsoft.com/office/drawing/2010/slicer">
              <sle:slicer xmlns:sle="http://schemas.microsoft.com/office/drawing/2010/slicer" name="Weather sit band"/>
            </a:graphicData>
          </a:graphic>
        </xdr:graphicFrame>
      </mc:Choice>
      <mc:Fallback xmlns="">
        <xdr:sp macro="" textlink="">
          <xdr:nvSpPr>
            <xdr:cNvPr id="0" name=""/>
            <xdr:cNvSpPr>
              <a:spLocks noTextEdit="1"/>
            </xdr:cNvSpPr>
          </xdr:nvSpPr>
          <xdr:spPr>
            <a:xfrm>
              <a:off x="10554607" y="3671661"/>
              <a:ext cx="2065146" cy="1169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176389</xdr:colOff>
      <xdr:row>17</xdr:row>
      <xdr:rowOff>49390</xdr:rowOff>
    </xdr:from>
    <xdr:to>
      <xdr:col>20</xdr:col>
      <xdr:colOff>451909</xdr:colOff>
      <xdr:row>21</xdr:row>
      <xdr:rowOff>127769</xdr:rowOff>
    </xdr:to>
    <mc:AlternateContent xmlns:mc="http://schemas.openxmlformats.org/markup-compatibility/2006" xmlns:a14="http://schemas.microsoft.com/office/drawing/2010/main">
      <mc:Choice Requires="a14">
        <xdr:graphicFrame macro="">
          <xdr:nvGraphicFramePr>
            <xdr:cNvPr id="36" name="Anomaly flag for reg.">
              <a:extLst>
                <a:ext uri="{FF2B5EF4-FFF2-40B4-BE49-F238E27FC236}">
                  <a16:creationId xmlns:a16="http://schemas.microsoft.com/office/drawing/2014/main" id="{42FC4B92-94D4-4DCE-84E5-6A17E18937B6}"/>
                </a:ext>
              </a:extLst>
            </xdr:cNvPr>
            <xdr:cNvGraphicFramePr/>
          </xdr:nvGraphicFramePr>
          <xdr:xfrm>
            <a:off x="0" y="0"/>
            <a:ext cx="0" cy="0"/>
          </xdr:xfrm>
          <a:graphic>
            <a:graphicData uri="http://schemas.microsoft.com/office/drawing/2010/slicer">
              <sle:slicer xmlns:sle="http://schemas.microsoft.com/office/drawing/2010/slicer" name="Anomaly flag for reg."/>
            </a:graphicData>
          </a:graphic>
        </xdr:graphicFrame>
      </mc:Choice>
      <mc:Fallback xmlns="">
        <xdr:sp macro="" textlink="">
          <xdr:nvSpPr>
            <xdr:cNvPr id="0" name=""/>
            <xdr:cNvSpPr>
              <a:spLocks noTextEdit="1"/>
            </xdr:cNvSpPr>
          </xdr:nvSpPr>
          <xdr:spPr>
            <a:xfrm>
              <a:off x="10508746" y="2825247"/>
              <a:ext cx="2098877" cy="7315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518641</xdr:colOff>
      <xdr:row>11</xdr:row>
      <xdr:rowOff>41597</xdr:rowOff>
    </xdr:from>
    <xdr:to>
      <xdr:col>23</xdr:col>
      <xdr:colOff>677333</xdr:colOff>
      <xdr:row>17</xdr:row>
      <xdr:rowOff>91722</xdr:rowOff>
    </xdr:to>
    <mc:AlternateContent xmlns:mc="http://schemas.openxmlformats.org/markup-compatibility/2006" xmlns:a14="http://schemas.microsoft.com/office/drawing/2010/main">
      <mc:Choice Requires="a14">
        <xdr:graphicFrame macro="">
          <xdr:nvGraphicFramePr>
            <xdr:cNvPr id="15" name="Month name">
              <a:extLst>
                <a:ext uri="{FF2B5EF4-FFF2-40B4-BE49-F238E27FC236}">
                  <a16:creationId xmlns:a16="http://schemas.microsoft.com/office/drawing/2014/main" id="{23E94D3A-2A13-4AA6-AD35-701E42A8D185}"/>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2674355" y="1837740"/>
              <a:ext cx="1982049" cy="1029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204612</xdr:colOff>
      <xdr:row>11</xdr:row>
      <xdr:rowOff>35278</xdr:rowOff>
    </xdr:from>
    <xdr:to>
      <xdr:col>20</xdr:col>
      <xdr:colOff>400682</xdr:colOff>
      <xdr:row>16</xdr:row>
      <xdr:rowOff>43732</xdr:rowOff>
    </xdr:to>
    <mc:AlternateContent xmlns:mc="http://schemas.openxmlformats.org/markup-compatibility/2006" xmlns:a14="http://schemas.microsoft.com/office/drawing/2010/main">
      <mc:Choice Requires="a14">
        <xdr:graphicFrame macro="">
          <xdr:nvGraphicFramePr>
            <xdr:cNvPr id="18" name="Holiday band">
              <a:extLst>
                <a:ext uri="{FF2B5EF4-FFF2-40B4-BE49-F238E27FC236}">
                  <a16:creationId xmlns:a16="http://schemas.microsoft.com/office/drawing/2014/main" id="{AC1CC667-9ECF-409D-AEE0-6B51A67045A4}"/>
                </a:ext>
              </a:extLst>
            </xdr:cNvPr>
            <xdr:cNvGraphicFramePr/>
          </xdr:nvGraphicFramePr>
          <xdr:xfrm>
            <a:off x="0" y="0"/>
            <a:ext cx="0" cy="0"/>
          </xdr:xfrm>
          <a:graphic>
            <a:graphicData uri="http://schemas.microsoft.com/office/drawing/2010/slicer">
              <sle:slicer xmlns:sle="http://schemas.microsoft.com/office/drawing/2010/slicer" name="Holiday band"/>
            </a:graphicData>
          </a:graphic>
        </xdr:graphicFrame>
      </mc:Choice>
      <mc:Fallback xmlns="">
        <xdr:sp macro="" textlink="">
          <xdr:nvSpPr>
            <xdr:cNvPr id="0" name=""/>
            <xdr:cNvSpPr>
              <a:spLocks noTextEdit="1"/>
            </xdr:cNvSpPr>
          </xdr:nvSpPr>
          <xdr:spPr>
            <a:xfrm>
              <a:off x="10536969" y="1831421"/>
              <a:ext cx="2019427" cy="82488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ha" refreshedDate="46035.795270949071" createdVersion="8" refreshedVersion="8" minRefreshableVersion="3" recordCount="1000" xr:uid="{BAF68650-218C-4B5C-AE2C-AB4F4866DD2E}">
  <cacheSource type="worksheet">
    <worksheetSource name="Append1"/>
  </cacheSource>
  <cacheFields count="29">
    <cacheField name="instant" numFmtId="0">
      <sharedItems containsSemiMixedTypes="0" containsString="0" containsNumber="1" containsInteger="1" minValue="1" maxValue="1000"/>
    </cacheField>
    <cacheField name="dteday" numFmtId="14">
      <sharedItems containsSemiMixedTypes="0" containsNonDate="0" containsDate="1" containsString="0" minDate="2011-01-01T00:00:00" maxDate="2011-02-15T00:00:00"/>
    </cacheField>
    <cacheField name="mnth" numFmtId="0">
      <sharedItems containsSemiMixedTypes="0" containsString="0" containsNumber="1" containsInteger="1" minValue="1" maxValue="2"/>
    </cacheField>
    <cacheField name="Month name" numFmtId="0">
      <sharedItems count="2">
        <s v="january"/>
        <s v="february"/>
      </sharedItems>
    </cacheField>
    <cacheField name="hr"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day part" numFmtId="0">
      <sharedItems count="5">
        <s v="Night"/>
        <s v="Early Morning"/>
        <s v="Morning"/>
        <s v="Afternoon"/>
        <s v="Evening"/>
      </sharedItems>
    </cacheField>
    <cacheField name="holiday" numFmtId="0">
      <sharedItems/>
    </cacheField>
    <cacheField name="Holiday band" numFmtId="0">
      <sharedItems containsSemiMixedTypes="0" containsString="0" containsNumber="1" containsInteger="1" minValue="0" maxValue="1" count="2">
        <n v="0"/>
        <n v="1"/>
      </sharedItems>
    </cacheField>
    <cacheField name="weekday" numFmtId="0">
      <sharedItems containsSemiMixedTypes="0" containsString="0" containsNumber="1" containsInteger="1" minValue="0" maxValue="6"/>
    </cacheField>
    <cacheField name="Weekdays" numFmtId="0">
      <sharedItems count="7">
        <s v="Saturday"/>
        <s v="Sunday"/>
        <s v="Monday"/>
        <s v="Tuesday"/>
        <s v="Wednesday"/>
        <s v="Thursday"/>
        <s v="Friday"/>
      </sharedItems>
    </cacheField>
    <cacheField name="Weekend/weekday" numFmtId="0">
      <sharedItems containsSemiMixedTypes="0" containsString="0" containsNumber="1" containsInteger="1" minValue="0" maxValue="1" count="2">
        <n v="1"/>
        <n v="0"/>
      </sharedItems>
    </cacheField>
    <cacheField name="weathersit" numFmtId="0">
      <sharedItems containsSemiMixedTypes="0" containsString="0" containsNumber="1" containsInteger="1" minValue="1" maxValue="4"/>
    </cacheField>
    <cacheField name="Weather sit band" numFmtId="0">
      <sharedItems count="4">
        <s v="Partly cloudy"/>
        <s v="Cloudy"/>
        <s v="Light rain"/>
        <s v="Heavy rain"/>
      </sharedItems>
    </cacheField>
    <cacheField name="temp" numFmtId="2">
      <sharedItems containsSemiMixedTypes="0" containsString="0" containsNumber="1" minValue="0.02" maxValue="0.46"/>
    </cacheField>
    <cacheField name="atemp" numFmtId="2">
      <sharedItems containsSemiMixedTypes="0" containsString="0" containsNumber="1" minValue="0" maxValue="0.45450000000000002"/>
    </cacheField>
    <cacheField name="hum" numFmtId="2">
      <sharedItems containsSemiMixedTypes="0" containsString="0" containsNumber="1" minValue="0.21" maxValue="1"/>
    </cacheField>
    <cacheField name="windspeed" numFmtId="2">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47"/>
    </cacheField>
    <cacheField name="cnt" numFmtId="0">
      <sharedItems containsSemiMixedTypes="0" containsString="0" containsNumber="1" containsInteger="1" minValue="1" maxValue="249"/>
    </cacheField>
    <cacheField name="Z-score for casual" numFmtId="2">
      <sharedItems containsSemiMixedTypes="0" containsString="0" containsNumber="1" minValue="-0.64378142061299781" maxValue="7.4672626919669378"/>
    </cacheField>
    <cacheField name="Anomaly flag for casual" numFmtId="2">
      <sharedItems count="2">
        <s v="Normal"/>
        <s v="Peak"/>
      </sharedItems>
    </cacheField>
    <cacheField name="Zscore for reg." numFmtId="2">
      <sharedItems containsSemiMixedTypes="0" containsString="0" containsNumber="1" minValue="-1.1146080091264643" maxValue="4.0426176667298312"/>
    </cacheField>
    <cacheField name="Anomaly flag for reg." numFmtId="2">
      <sharedItems count="2">
        <s v="Normal"/>
        <s v="Peak"/>
      </sharedItems>
    </cacheField>
    <cacheField name="Attempt ratio" numFmtId="0" formula="casual/registered" databaseField="0"/>
    <cacheField name="Field1" numFmtId="0" formula="casual/cnt" databaseField="0"/>
    <cacheField name="casual ratio" numFmtId="0" formula="casual/cnt" databaseField="0"/>
    <cacheField name="atempt ratio for reg" numFmtId="0" formula="registered/cnt" databaseField="0"/>
    <cacheField name="Conversion rate" numFmtId="0" formula="registered/casual" databaseField="0"/>
  </cacheFields>
  <extLst>
    <ext xmlns:x14="http://schemas.microsoft.com/office/spreadsheetml/2009/9/main" uri="{725AE2AE-9491-48be-B2B4-4EB974FC3084}">
      <x14:pivotCacheDefinition pivotCacheId="2943156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
    <d v="2011-01-01T00:00:00"/>
    <n v="1"/>
    <x v="0"/>
    <x v="0"/>
    <x v="0"/>
    <b v="0"/>
    <x v="0"/>
    <n v="6"/>
    <x v="0"/>
    <x v="0"/>
    <n v="1"/>
    <x v="0"/>
    <n v="0.24"/>
    <n v="0.28789999999999999"/>
    <n v="0.81"/>
    <n v="0"/>
    <n v="3"/>
    <n v="13"/>
    <n v="16"/>
    <n v="-0.25131154419783963"/>
    <x v="0"/>
    <n v="-0.84317507881823806"/>
    <x v="0"/>
  </r>
  <r>
    <n v="2"/>
    <d v="2011-01-01T00:00:00"/>
    <n v="1"/>
    <x v="0"/>
    <x v="1"/>
    <x v="0"/>
    <b v="0"/>
    <x v="0"/>
    <n v="6"/>
    <x v="0"/>
    <x v="0"/>
    <n v="1"/>
    <x v="0"/>
    <n v="0.22"/>
    <n v="0.2727"/>
    <n v="0.8"/>
    <n v="0"/>
    <n v="8"/>
    <n v="32"/>
    <n v="40"/>
    <n v="0.40280491649409061"/>
    <x v="0"/>
    <n v="-0.44646541144467689"/>
    <x v="0"/>
  </r>
  <r>
    <n v="3"/>
    <d v="2011-01-01T00:00:00"/>
    <n v="1"/>
    <x v="0"/>
    <x v="2"/>
    <x v="0"/>
    <b v="0"/>
    <x v="0"/>
    <n v="6"/>
    <x v="0"/>
    <x v="0"/>
    <n v="1"/>
    <x v="0"/>
    <n v="0.22"/>
    <n v="0.2727"/>
    <n v="0.8"/>
    <n v="0"/>
    <n v="5"/>
    <n v="27"/>
    <n v="32"/>
    <n v="1.0335040078932463E-2"/>
    <x v="0"/>
    <n v="-0.55086269233245611"/>
    <x v="0"/>
  </r>
  <r>
    <n v="4"/>
    <d v="2011-01-01T00:00:00"/>
    <n v="1"/>
    <x v="0"/>
    <x v="3"/>
    <x v="0"/>
    <b v="0"/>
    <x v="0"/>
    <n v="6"/>
    <x v="0"/>
    <x v="0"/>
    <n v="1"/>
    <x v="0"/>
    <n v="0.24"/>
    <n v="0.28789999999999999"/>
    <n v="0.75"/>
    <n v="0"/>
    <n v="3"/>
    <n v="10"/>
    <n v="13"/>
    <n v="-0.25131154419783963"/>
    <x v="0"/>
    <n v="-0.90581344735090563"/>
    <x v="0"/>
  </r>
  <r>
    <n v="5"/>
    <d v="2011-01-01T00:00:00"/>
    <n v="1"/>
    <x v="0"/>
    <x v="4"/>
    <x v="0"/>
    <b v="0"/>
    <x v="0"/>
    <n v="6"/>
    <x v="0"/>
    <x v="0"/>
    <n v="1"/>
    <x v="0"/>
    <n v="0.24"/>
    <n v="0.28789999999999999"/>
    <n v="0.75"/>
    <n v="0"/>
    <n v="0"/>
    <n v="1"/>
    <n v="1"/>
    <n v="-0.64378142061299781"/>
    <x v="0"/>
    <n v="-1.0937285529489083"/>
    <x v="0"/>
  </r>
  <r>
    <n v="6"/>
    <d v="2011-01-01T00:00:00"/>
    <n v="1"/>
    <x v="0"/>
    <x v="5"/>
    <x v="1"/>
    <b v="0"/>
    <x v="0"/>
    <n v="6"/>
    <x v="0"/>
    <x v="0"/>
    <n v="2"/>
    <x v="1"/>
    <n v="0.24"/>
    <n v="0.2576"/>
    <n v="0.75"/>
    <n v="8.9599999999999999E-2"/>
    <n v="0"/>
    <n v="1"/>
    <n v="1"/>
    <n v="-0.64378142061299781"/>
    <x v="0"/>
    <n v="-1.0937285529489083"/>
    <x v="0"/>
  </r>
  <r>
    <n v="7"/>
    <d v="2011-01-01T00:00:00"/>
    <n v="1"/>
    <x v="0"/>
    <x v="6"/>
    <x v="1"/>
    <b v="0"/>
    <x v="0"/>
    <n v="6"/>
    <x v="0"/>
    <x v="0"/>
    <n v="1"/>
    <x v="0"/>
    <n v="0.22"/>
    <n v="0.2727"/>
    <n v="0.8"/>
    <n v="0"/>
    <n v="2"/>
    <n v="0"/>
    <n v="2"/>
    <n v="-0.38213483633622569"/>
    <x v="0"/>
    <n v="-1.1146080091264643"/>
    <x v="0"/>
  </r>
  <r>
    <n v="8"/>
    <d v="2011-01-01T00:00:00"/>
    <n v="1"/>
    <x v="0"/>
    <x v="7"/>
    <x v="1"/>
    <b v="0"/>
    <x v="0"/>
    <n v="6"/>
    <x v="0"/>
    <x v="0"/>
    <n v="1"/>
    <x v="0"/>
    <n v="0.2"/>
    <n v="0.2576"/>
    <n v="0.86"/>
    <n v="0"/>
    <n v="1"/>
    <n v="2"/>
    <n v="3"/>
    <n v="-0.51295812847461175"/>
    <x v="0"/>
    <n v="-1.0728490967713524"/>
    <x v="0"/>
  </r>
  <r>
    <n v="9"/>
    <d v="2011-01-01T00:00:00"/>
    <n v="1"/>
    <x v="0"/>
    <x v="8"/>
    <x v="2"/>
    <b v="0"/>
    <x v="0"/>
    <n v="6"/>
    <x v="0"/>
    <x v="0"/>
    <n v="1"/>
    <x v="0"/>
    <n v="0.24"/>
    <n v="0.19993489147704935"/>
    <n v="0.75"/>
    <n v="0"/>
    <n v="1"/>
    <n v="7"/>
    <n v="8"/>
    <n v="-0.51295812847461175"/>
    <x v="0"/>
    <n v="-0.96845181588357321"/>
    <x v="0"/>
  </r>
  <r>
    <n v="10"/>
    <d v="2011-01-01T00:00:00"/>
    <n v="1"/>
    <x v="0"/>
    <x v="9"/>
    <x v="2"/>
    <b v="0"/>
    <x v="0"/>
    <n v="6"/>
    <x v="0"/>
    <x v="0"/>
    <n v="1"/>
    <x v="0"/>
    <n v="0.32"/>
    <n v="0.34849999999999998"/>
    <n v="0.76"/>
    <n v="0"/>
    <n v="8"/>
    <n v="6"/>
    <n v="14"/>
    <n v="0.40280491649409061"/>
    <x v="0"/>
    <n v="-0.98933127206112903"/>
    <x v="0"/>
  </r>
  <r>
    <n v="11"/>
    <d v="2011-01-01T00:00:00"/>
    <n v="1"/>
    <x v="0"/>
    <x v="10"/>
    <x v="2"/>
    <b v="0"/>
    <x v="0"/>
    <n v="6"/>
    <x v="0"/>
    <x v="0"/>
    <n v="1"/>
    <x v="0"/>
    <n v="0.38"/>
    <n v="0.39389999999999997"/>
    <n v="0.76"/>
    <n v="0.25369999999999998"/>
    <n v="12"/>
    <n v="24"/>
    <n v="36"/>
    <n v="0.92609808504763491"/>
    <x v="0"/>
    <n v="-0.61350106086512368"/>
    <x v="0"/>
  </r>
  <r>
    <n v="12"/>
    <d v="2011-01-01T00:00:00"/>
    <n v="1"/>
    <x v="0"/>
    <x v="11"/>
    <x v="2"/>
    <b v="0"/>
    <x v="0"/>
    <n v="6"/>
    <x v="0"/>
    <x v="0"/>
    <n v="1"/>
    <x v="0"/>
    <n v="0.36"/>
    <n v="0.33329999999999999"/>
    <n v="0.81"/>
    <n v="0.28360000000000002"/>
    <n v="26"/>
    <n v="30"/>
    <n v="56"/>
    <n v="2.7576241749850396"/>
    <x v="1"/>
    <n v="-0.48822432379978858"/>
    <x v="0"/>
  </r>
  <r>
    <n v="13"/>
    <d v="2011-01-01T00:00:00"/>
    <n v="1"/>
    <x v="0"/>
    <x v="12"/>
    <x v="3"/>
    <b v="0"/>
    <x v="0"/>
    <n v="6"/>
    <x v="0"/>
    <x v="0"/>
    <n v="1"/>
    <x v="0"/>
    <n v="0.42"/>
    <n v="0.42420000000000002"/>
    <n v="0.77"/>
    <n v="0.28360000000000002"/>
    <n v="29"/>
    <n v="55"/>
    <n v="84"/>
    <n v="3.150094051400198"/>
    <x v="1"/>
    <n v="3.376208063910776E-2"/>
    <x v="0"/>
  </r>
  <r>
    <n v="14"/>
    <d v="2011-01-01T00:00:00"/>
    <n v="1"/>
    <x v="0"/>
    <x v="13"/>
    <x v="3"/>
    <b v="0"/>
    <x v="0"/>
    <n v="6"/>
    <x v="0"/>
    <x v="0"/>
    <n v="2"/>
    <x v="1"/>
    <n v="0.46"/>
    <n v="0.45450000000000002"/>
    <n v="0.72"/>
    <n v="0.29849999999999999"/>
    <n v="47"/>
    <n v="47"/>
    <n v="94"/>
    <n v="5.5049133098911467"/>
    <x v="1"/>
    <n v="-0.13327356878133906"/>
    <x v="0"/>
  </r>
  <r>
    <n v="15"/>
    <d v="2011-01-01T00:00:00"/>
    <n v="1"/>
    <x v="0"/>
    <x v="14"/>
    <x v="3"/>
    <b v="0"/>
    <x v="0"/>
    <n v="6"/>
    <x v="0"/>
    <x v="0"/>
    <n v="2"/>
    <x v="1"/>
    <n v="0.46"/>
    <n v="0.45450000000000002"/>
    <n v="0.72"/>
    <n v="0.28360000000000002"/>
    <n v="35"/>
    <n v="71"/>
    <n v="106"/>
    <n v="3.9350338042305144"/>
    <x v="1"/>
    <n v="0.36783337948000144"/>
    <x v="0"/>
  </r>
  <r>
    <n v="16"/>
    <d v="2011-01-01T00:00:00"/>
    <n v="1"/>
    <x v="0"/>
    <x v="15"/>
    <x v="3"/>
    <b v="0"/>
    <x v="0"/>
    <n v="6"/>
    <x v="0"/>
    <x v="0"/>
    <n v="2"/>
    <x v="1"/>
    <n v="0.44"/>
    <n v="0.43940000000000001"/>
    <n v="0.77"/>
    <n v="0.29849999999999999"/>
    <n v="40"/>
    <n v="70"/>
    <n v="110"/>
    <n v="4.5891502649224449"/>
    <x v="1"/>
    <n v="0.34695392330244557"/>
    <x v="0"/>
  </r>
  <r>
    <n v="17"/>
    <d v="2011-01-01T00:00:00"/>
    <n v="1"/>
    <x v="0"/>
    <x v="16"/>
    <x v="3"/>
    <b v="0"/>
    <x v="0"/>
    <n v="6"/>
    <x v="0"/>
    <x v="0"/>
    <n v="2"/>
    <x v="1"/>
    <n v="0.42"/>
    <n v="0.42420000000000002"/>
    <n v="0.82"/>
    <n v="0.29849999999999999"/>
    <n v="41"/>
    <n v="52"/>
    <n v="93"/>
    <n v="4.7199735570608308"/>
    <x v="1"/>
    <n v="-2.8876287893559803E-2"/>
    <x v="0"/>
  </r>
  <r>
    <n v="18"/>
    <d v="2011-01-01T00:00:00"/>
    <n v="1"/>
    <x v="0"/>
    <x v="17"/>
    <x v="4"/>
    <b v="0"/>
    <x v="0"/>
    <n v="6"/>
    <x v="0"/>
    <x v="0"/>
    <n v="2"/>
    <x v="1"/>
    <n v="0.44"/>
    <n v="0.19993489147704935"/>
    <n v="0.82"/>
    <n v="0.28360000000000002"/>
    <n v="15"/>
    <n v="52"/>
    <n v="67"/>
    <n v="1.3185679614627932"/>
    <x v="0"/>
    <n v="-2.8876287893559803E-2"/>
    <x v="0"/>
  </r>
  <r>
    <n v="19"/>
    <d v="2011-01-01T00:00:00"/>
    <n v="1"/>
    <x v="0"/>
    <x v="18"/>
    <x v="4"/>
    <b v="0"/>
    <x v="0"/>
    <n v="6"/>
    <x v="0"/>
    <x v="0"/>
    <n v="3"/>
    <x v="2"/>
    <n v="0.42"/>
    <n v="0.42420000000000002"/>
    <n v="0.88"/>
    <n v="0.25369999999999998"/>
    <n v="9"/>
    <n v="26"/>
    <n v="35"/>
    <n v="0.53362820863247673"/>
    <x v="0"/>
    <n v="-0.57174214851001204"/>
    <x v="0"/>
  </r>
  <r>
    <n v="20"/>
    <d v="2011-01-01T00:00:00"/>
    <n v="1"/>
    <x v="0"/>
    <x v="19"/>
    <x v="4"/>
    <b v="0"/>
    <x v="0"/>
    <n v="6"/>
    <x v="0"/>
    <x v="0"/>
    <n v="3"/>
    <x v="2"/>
    <n v="0.42"/>
    <n v="0.42420000000000002"/>
    <n v="0.88"/>
    <n v="0.25369999999999998"/>
    <n v="6"/>
    <n v="31"/>
    <n v="37"/>
    <n v="0.14115833221731852"/>
    <x v="0"/>
    <n v="-0.46734486762223271"/>
    <x v="0"/>
  </r>
  <r>
    <n v="21"/>
    <d v="2011-01-01T00:00:00"/>
    <n v="1"/>
    <x v="0"/>
    <x v="20"/>
    <x v="4"/>
    <b v="0"/>
    <x v="0"/>
    <n v="6"/>
    <x v="0"/>
    <x v="0"/>
    <n v="2"/>
    <x v="1"/>
    <n v="0.4"/>
    <n v="0.40910000000000002"/>
    <n v="0.87"/>
    <n v="0.25369999999999998"/>
    <n v="11"/>
    <n v="25"/>
    <n v="36"/>
    <n v="0.79527479290924885"/>
    <x v="0"/>
    <n v="-0.59262160468756786"/>
    <x v="0"/>
  </r>
  <r>
    <n v="22"/>
    <d v="2011-01-01T00:00:00"/>
    <n v="1"/>
    <x v="0"/>
    <x v="21"/>
    <x v="0"/>
    <b v="0"/>
    <x v="0"/>
    <n v="6"/>
    <x v="0"/>
    <x v="0"/>
    <n v="2"/>
    <x v="1"/>
    <n v="0.4"/>
    <n v="0.40910000000000002"/>
    <n v="0.87"/>
    <n v="0.19400000000000001"/>
    <n v="3"/>
    <n v="31"/>
    <n v="34"/>
    <n v="-0.25131154419783963"/>
    <x v="0"/>
    <n v="-0.46734486762223271"/>
    <x v="0"/>
  </r>
  <r>
    <n v="23"/>
    <d v="2011-01-01T00:00:00"/>
    <n v="1"/>
    <x v="0"/>
    <x v="22"/>
    <x v="0"/>
    <b v="0"/>
    <x v="0"/>
    <n v="6"/>
    <x v="0"/>
    <x v="0"/>
    <n v="2"/>
    <x v="1"/>
    <n v="0.4"/>
    <n v="0.40910000000000002"/>
    <n v="0.94"/>
    <n v="0.22389999999999999"/>
    <n v="11"/>
    <n v="17"/>
    <n v="28"/>
    <n v="0.79527479290924885"/>
    <x v="0"/>
    <n v="-0.75965725410801466"/>
    <x v="0"/>
  </r>
  <r>
    <n v="24"/>
    <d v="2011-01-01T00:00:00"/>
    <n v="1"/>
    <x v="0"/>
    <x v="23"/>
    <x v="0"/>
    <b v="0"/>
    <x v="0"/>
    <n v="6"/>
    <x v="0"/>
    <x v="0"/>
    <n v="2"/>
    <x v="1"/>
    <n v="0.46"/>
    <n v="0.19993489147704935"/>
    <n v="0.88"/>
    <n v="0.29849999999999999"/>
    <n v="15"/>
    <n v="24"/>
    <n v="39"/>
    <n v="1.3185679614627932"/>
    <x v="0"/>
    <n v="-0.61350106086512368"/>
    <x v="0"/>
  </r>
  <r>
    <n v="25"/>
    <d v="2011-01-02T00:00:00"/>
    <n v="1"/>
    <x v="0"/>
    <x v="0"/>
    <x v="0"/>
    <b v="0"/>
    <x v="0"/>
    <n v="0"/>
    <x v="1"/>
    <x v="0"/>
    <n v="2"/>
    <x v="1"/>
    <n v="0.46"/>
    <n v="0.45450000000000002"/>
    <n v="0.88"/>
    <n v="0.29849999999999999"/>
    <n v="4"/>
    <n v="13"/>
    <n v="17"/>
    <n v="-0.1204882520594536"/>
    <x v="0"/>
    <n v="-0.84317507881823806"/>
    <x v="0"/>
  </r>
  <r>
    <n v="26"/>
    <d v="2011-01-02T00:00:00"/>
    <n v="1"/>
    <x v="0"/>
    <x v="1"/>
    <x v="0"/>
    <b v="0"/>
    <x v="0"/>
    <n v="0"/>
    <x v="1"/>
    <x v="0"/>
    <n v="2"/>
    <x v="1"/>
    <n v="0.44"/>
    <n v="0.43940000000000001"/>
    <n v="0.94"/>
    <n v="0.25369999999999998"/>
    <n v="1"/>
    <n v="16"/>
    <n v="17"/>
    <n v="-0.51295812847461175"/>
    <x v="0"/>
    <n v="-0.78053671028557059"/>
    <x v="0"/>
  </r>
  <r>
    <n v="27"/>
    <d v="2011-01-02T00:00:00"/>
    <n v="1"/>
    <x v="0"/>
    <x v="2"/>
    <x v="0"/>
    <b v="0"/>
    <x v="0"/>
    <n v="0"/>
    <x v="1"/>
    <x v="0"/>
    <n v="2"/>
    <x v="1"/>
    <n v="0.42"/>
    <n v="0.42420000000000002"/>
    <n v="1"/>
    <n v="0.28360000000000002"/>
    <n v="1"/>
    <n v="8"/>
    <n v="9"/>
    <n v="-0.51295812847461175"/>
    <x v="0"/>
    <n v="-0.94757235970601739"/>
    <x v="0"/>
  </r>
  <r>
    <n v="28"/>
    <d v="2011-01-02T00:00:00"/>
    <n v="1"/>
    <x v="0"/>
    <x v="3"/>
    <x v="0"/>
    <b v="0"/>
    <x v="0"/>
    <n v="0"/>
    <x v="1"/>
    <x v="0"/>
    <n v="2"/>
    <x v="1"/>
    <n v="0.46"/>
    <n v="0.45450000000000002"/>
    <n v="0.94"/>
    <n v="0.19400000000000001"/>
    <n v="2"/>
    <n v="4"/>
    <n v="6"/>
    <n v="-0.38213483633622569"/>
    <x v="0"/>
    <n v="-1.0310901844162408"/>
    <x v="0"/>
  </r>
  <r>
    <n v="29"/>
    <d v="2011-01-02T00:00:00"/>
    <n v="1"/>
    <x v="0"/>
    <x v="4"/>
    <x v="0"/>
    <b v="0"/>
    <x v="0"/>
    <n v="0"/>
    <x v="1"/>
    <x v="0"/>
    <n v="2"/>
    <x v="1"/>
    <n v="0.46"/>
    <n v="0.19993489147704935"/>
    <n v="0.94"/>
    <n v="0.19400000000000001"/>
    <n v="2"/>
    <n v="1"/>
    <n v="3"/>
    <n v="-0.38213483633622569"/>
    <x v="0"/>
    <n v="-1.0937285529489083"/>
    <x v="0"/>
  </r>
  <r>
    <n v="30"/>
    <d v="2011-01-02T00:00:00"/>
    <n v="1"/>
    <x v="0"/>
    <x v="6"/>
    <x v="1"/>
    <b v="0"/>
    <x v="0"/>
    <n v="0"/>
    <x v="1"/>
    <x v="0"/>
    <n v="3"/>
    <x v="2"/>
    <n v="0.42"/>
    <n v="0.42420000000000002"/>
    <n v="0.77"/>
    <n v="0.29849999999999999"/>
    <n v="0"/>
    <n v="2"/>
    <n v="2"/>
    <n v="-0.64378142061299781"/>
    <x v="0"/>
    <n v="-1.0728490967713524"/>
    <x v="0"/>
  </r>
  <r>
    <n v="31"/>
    <d v="2011-01-02T00:00:00"/>
    <n v="1"/>
    <x v="0"/>
    <x v="7"/>
    <x v="1"/>
    <b v="0"/>
    <x v="0"/>
    <n v="0"/>
    <x v="1"/>
    <x v="0"/>
    <n v="2"/>
    <x v="1"/>
    <n v="0.4"/>
    <n v="0.40910000000000002"/>
    <n v="0.76"/>
    <n v="0.19400000000000001"/>
    <n v="0"/>
    <n v="1"/>
    <n v="1"/>
    <n v="-0.64378142061299781"/>
    <x v="0"/>
    <n v="-1.0937285529489083"/>
    <x v="0"/>
  </r>
  <r>
    <n v="32"/>
    <d v="2011-01-02T00:00:00"/>
    <n v="1"/>
    <x v="0"/>
    <x v="8"/>
    <x v="2"/>
    <b v="0"/>
    <x v="0"/>
    <n v="0"/>
    <x v="1"/>
    <x v="0"/>
    <n v="3"/>
    <x v="2"/>
    <n v="0.4"/>
    <n v="0.40910000000000002"/>
    <n v="0.71"/>
    <n v="0.22389999999999999"/>
    <n v="0"/>
    <n v="8"/>
    <n v="8"/>
    <n v="-0.64378142061299781"/>
    <x v="0"/>
    <n v="-0.94757235970601739"/>
    <x v="0"/>
  </r>
  <r>
    <n v="33"/>
    <d v="2011-01-02T00:00:00"/>
    <n v="1"/>
    <x v="0"/>
    <x v="9"/>
    <x v="2"/>
    <b v="0"/>
    <x v="0"/>
    <n v="0"/>
    <x v="1"/>
    <x v="0"/>
    <n v="2"/>
    <x v="1"/>
    <n v="0.38"/>
    <n v="0.19993489147704935"/>
    <n v="0.76"/>
    <n v="0.22389999999999999"/>
    <n v="1"/>
    <n v="19"/>
    <n v="20"/>
    <n v="-0.51295812847461175"/>
    <x v="0"/>
    <n v="-0.71789834175290301"/>
    <x v="0"/>
  </r>
  <r>
    <n v="34"/>
    <d v="2011-01-02T00:00:00"/>
    <n v="1"/>
    <x v="0"/>
    <x v="10"/>
    <x v="2"/>
    <b v="0"/>
    <x v="0"/>
    <n v="0"/>
    <x v="1"/>
    <x v="0"/>
    <n v="2"/>
    <x v="1"/>
    <n v="0.36"/>
    <n v="0.34849999999999998"/>
    <n v="0.81"/>
    <n v="0.22389999999999999"/>
    <n v="7"/>
    <n v="46"/>
    <n v="53"/>
    <n v="0.27198162435570455"/>
    <x v="0"/>
    <n v="-0.15415302495889494"/>
    <x v="0"/>
  </r>
  <r>
    <n v="35"/>
    <d v="2011-01-02T00:00:00"/>
    <n v="1"/>
    <x v="0"/>
    <x v="11"/>
    <x v="2"/>
    <b v="0"/>
    <x v="0"/>
    <n v="0"/>
    <x v="1"/>
    <x v="0"/>
    <n v="2"/>
    <x v="1"/>
    <n v="0.36"/>
    <n v="0.33329999999999999"/>
    <n v="0.71"/>
    <n v="0.25369999999999998"/>
    <n v="16"/>
    <n v="54"/>
    <n v="70"/>
    <n v="1.4493912536011793"/>
    <x v="0"/>
    <n v="1.2882624461551907E-2"/>
    <x v="0"/>
  </r>
  <r>
    <n v="36"/>
    <d v="2011-01-02T00:00:00"/>
    <n v="1"/>
    <x v="0"/>
    <x v="12"/>
    <x v="3"/>
    <b v="0"/>
    <x v="0"/>
    <n v="0"/>
    <x v="1"/>
    <x v="0"/>
    <n v="2"/>
    <x v="1"/>
    <n v="0.36"/>
    <n v="0.33329999999999999"/>
    <n v="0.66"/>
    <n v="0.29849999999999999"/>
    <n v="20"/>
    <n v="73"/>
    <n v="93"/>
    <n v="1.9726844221547235"/>
    <x v="0"/>
    <n v="0.40959229183511314"/>
    <x v="0"/>
  </r>
  <r>
    <n v="37"/>
    <d v="2011-01-02T00:00:00"/>
    <n v="1"/>
    <x v="0"/>
    <x v="13"/>
    <x v="3"/>
    <b v="0"/>
    <x v="0"/>
    <n v="0"/>
    <x v="1"/>
    <x v="0"/>
    <n v="2"/>
    <x v="1"/>
    <n v="0.36"/>
    <n v="0.34849999999999998"/>
    <n v="0.66"/>
    <n v="0.1343"/>
    <n v="11"/>
    <n v="64"/>
    <n v="75"/>
    <n v="0.79527479290924885"/>
    <x v="0"/>
    <n v="0.22167718623711044"/>
    <x v="0"/>
  </r>
  <r>
    <n v="38"/>
    <d v="2011-01-02T00:00:00"/>
    <n v="1"/>
    <x v="0"/>
    <x v="14"/>
    <x v="3"/>
    <b v="0"/>
    <x v="0"/>
    <n v="0"/>
    <x v="1"/>
    <x v="0"/>
    <n v="3"/>
    <x v="2"/>
    <n v="0.36"/>
    <n v="0.19993489147704935"/>
    <n v="0.76"/>
    <n v="0.19400000000000001"/>
    <n v="4"/>
    <n v="55"/>
    <n v="59"/>
    <n v="-0.1204882520594536"/>
    <x v="0"/>
    <n v="3.376208063910776E-2"/>
    <x v="0"/>
  </r>
  <r>
    <n v="39"/>
    <d v="2011-01-02T00:00:00"/>
    <n v="1"/>
    <x v="0"/>
    <x v="15"/>
    <x v="3"/>
    <b v="0"/>
    <x v="0"/>
    <n v="0"/>
    <x v="1"/>
    <x v="0"/>
    <n v="3"/>
    <x v="2"/>
    <n v="0.34"/>
    <n v="0.33329999999999999"/>
    <n v="0.81"/>
    <n v="0.16420000000000001"/>
    <n v="19"/>
    <n v="55"/>
    <n v="74"/>
    <n v="1.8418611300163374"/>
    <x v="0"/>
    <n v="3.376208063910776E-2"/>
    <x v="0"/>
  </r>
  <r>
    <n v="40"/>
    <d v="2011-01-02T00:00:00"/>
    <n v="1"/>
    <x v="0"/>
    <x v="16"/>
    <x v="3"/>
    <b v="0"/>
    <x v="0"/>
    <n v="0"/>
    <x v="1"/>
    <x v="0"/>
    <n v="3"/>
    <x v="2"/>
    <n v="0.34"/>
    <n v="0.33329999999999999"/>
    <n v="0.71"/>
    <n v="0.16420000000000001"/>
    <n v="9"/>
    <n v="67"/>
    <n v="76"/>
    <n v="0.53362820863247673"/>
    <x v="0"/>
    <n v="0.28431555476977799"/>
    <x v="0"/>
  </r>
  <r>
    <n v="41"/>
    <d v="2011-01-02T00:00:00"/>
    <n v="1"/>
    <x v="0"/>
    <x v="17"/>
    <x v="4"/>
    <b v="0"/>
    <x v="0"/>
    <n v="0"/>
    <x v="1"/>
    <x v="0"/>
    <n v="1"/>
    <x v="0"/>
    <n v="0.34"/>
    <n v="0.33329999999999999"/>
    <n v="0.56999999999999995"/>
    <n v="0.19400000000000001"/>
    <n v="7"/>
    <n v="58"/>
    <n v="65"/>
    <n v="0.27198162435570455"/>
    <x v="0"/>
    <n v="9.6400449171775315E-2"/>
    <x v="0"/>
  </r>
  <r>
    <n v="42"/>
    <d v="2011-01-02T00:00:00"/>
    <n v="1"/>
    <x v="0"/>
    <x v="18"/>
    <x v="4"/>
    <b v="0"/>
    <x v="0"/>
    <n v="0"/>
    <x v="1"/>
    <x v="0"/>
    <n v="2"/>
    <x v="1"/>
    <n v="0.36"/>
    <n v="0.33329999999999999"/>
    <n v="0.46"/>
    <n v="0.32840000000000003"/>
    <n v="10"/>
    <n v="43"/>
    <n v="53"/>
    <n v="0.66445150077086279"/>
    <x v="0"/>
    <n v="-0.21679139349156248"/>
    <x v="0"/>
  </r>
  <r>
    <n v="43"/>
    <d v="2011-01-02T00:00:00"/>
    <n v="1"/>
    <x v="0"/>
    <x v="19"/>
    <x v="4"/>
    <b v="0"/>
    <x v="0"/>
    <n v="0"/>
    <x v="1"/>
    <x v="0"/>
    <n v="1"/>
    <x v="0"/>
    <n v="0.32"/>
    <n v="0.28789999999999999"/>
    <n v="0.42"/>
    <n v="0.44779999999999998"/>
    <n v="1"/>
    <n v="29"/>
    <n v="30"/>
    <n v="-0.51295812847461175"/>
    <x v="0"/>
    <n v="-0.50910377997734446"/>
    <x v="0"/>
  </r>
  <r>
    <n v="44"/>
    <d v="2011-01-02T00:00:00"/>
    <n v="1"/>
    <x v="0"/>
    <x v="20"/>
    <x v="4"/>
    <b v="0"/>
    <x v="0"/>
    <n v="0"/>
    <x v="1"/>
    <x v="0"/>
    <n v="1"/>
    <x v="0"/>
    <n v="0.3"/>
    <n v="0.19993489147704935"/>
    <n v="0.39"/>
    <n v="0.35820000000000002"/>
    <n v="5"/>
    <n v="17"/>
    <n v="22"/>
    <n v="1.0335040078932463E-2"/>
    <x v="0"/>
    <n v="-0.75965725410801466"/>
    <x v="0"/>
  </r>
  <r>
    <n v="45"/>
    <d v="2011-01-02T00:00:00"/>
    <n v="1"/>
    <x v="0"/>
    <x v="21"/>
    <x v="0"/>
    <b v="0"/>
    <x v="0"/>
    <n v="0"/>
    <x v="1"/>
    <x v="0"/>
    <n v="1"/>
    <x v="0"/>
    <n v="0.26"/>
    <n v="0.2273"/>
    <n v="0.44"/>
    <n v="0.32840000000000003"/>
    <n v="11"/>
    <n v="20"/>
    <n v="31"/>
    <n v="0.79527479290924885"/>
    <x v="0"/>
    <n v="-0.69701888557534708"/>
    <x v="0"/>
  </r>
  <r>
    <n v="46"/>
    <d v="2011-01-02T00:00:00"/>
    <n v="1"/>
    <x v="0"/>
    <x v="22"/>
    <x v="0"/>
    <b v="0"/>
    <x v="0"/>
    <n v="0"/>
    <x v="1"/>
    <x v="0"/>
    <n v="1"/>
    <x v="0"/>
    <n v="0.24"/>
    <n v="0.21210000000000001"/>
    <n v="0.44"/>
    <n v="0.29849999999999999"/>
    <n v="0"/>
    <n v="9"/>
    <n v="9"/>
    <n v="-0.64378142061299781"/>
    <x v="0"/>
    <n v="-0.92669290352846156"/>
    <x v="0"/>
  </r>
  <r>
    <n v="47"/>
    <d v="2011-01-02T00:00:00"/>
    <n v="1"/>
    <x v="0"/>
    <x v="23"/>
    <x v="0"/>
    <b v="0"/>
    <x v="0"/>
    <n v="0"/>
    <x v="1"/>
    <x v="0"/>
    <n v="1"/>
    <x v="0"/>
    <n v="0.22"/>
    <n v="0.2273"/>
    <n v="0.47"/>
    <n v="0.16420000000000001"/>
    <n v="0"/>
    <n v="8"/>
    <n v="8"/>
    <n v="-0.64378142061299781"/>
    <x v="0"/>
    <n v="-0.94757235970601739"/>
    <x v="0"/>
  </r>
  <r>
    <n v="48"/>
    <d v="2011-01-03T00:00:00"/>
    <n v="1"/>
    <x v="0"/>
    <x v="0"/>
    <x v="0"/>
    <b v="0"/>
    <x v="0"/>
    <n v="1"/>
    <x v="2"/>
    <x v="1"/>
    <n v="1"/>
    <x v="0"/>
    <n v="0.22"/>
    <n v="0.19700000000000001"/>
    <n v="0.44"/>
    <n v="0.35820000000000002"/>
    <n v="0"/>
    <n v="5"/>
    <n v="5"/>
    <n v="-0.64378142061299781"/>
    <x v="0"/>
    <n v="-1.010210728238685"/>
    <x v="0"/>
  </r>
  <r>
    <n v="49"/>
    <d v="2011-01-03T00:00:00"/>
    <n v="1"/>
    <x v="0"/>
    <x v="1"/>
    <x v="0"/>
    <b v="0"/>
    <x v="0"/>
    <n v="1"/>
    <x v="2"/>
    <x v="1"/>
    <n v="1"/>
    <x v="0"/>
    <n v="0.2"/>
    <n v="0.19993489147704935"/>
    <n v="0.44"/>
    <n v="0.41789999999999999"/>
    <n v="0"/>
    <n v="2"/>
    <n v="2"/>
    <n v="-0.64378142061299781"/>
    <x v="0"/>
    <n v="-1.0728490967713524"/>
    <x v="0"/>
  </r>
  <r>
    <n v="50"/>
    <d v="2011-01-03T00:00:00"/>
    <n v="1"/>
    <x v="0"/>
    <x v="4"/>
    <x v="0"/>
    <b v="0"/>
    <x v="0"/>
    <n v="1"/>
    <x v="2"/>
    <x v="1"/>
    <n v="1"/>
    <x v="0"/>
    <n v="0.16"/>
    <n v="0.13639999999999999"/>
    <n v="0.47"/>
    <n v="0.3881"/>
    <n v="0"/>
    <n v="1"/>
    <n v="1"/>
    <n v="-0.64378142061299781"/>
    <x v="0"/>
    <n v="-1.0937285529489083"/>
    <x v="0"/>
  </r>
  <r>
    <n v="51"/>
    <d v="2011-01-03T00:00:00"/>
    <n v="1"/>
    <x v="0"/>
    <x v="5"/>
    <x v="1"/>
    <b v="0"/>
    <x v="0"/>
    <n v="1"/>
    <x v="2"/>
    <x v="1"/>
    <n v="1"/>
    <x v="0"/>
    <n v="0.16"/>
    <n v="0.13639999999999999"/>
    <n v="0.47"/>
    <n v="0.28360000000000002"/>
    <n v="0"/>
    <n v="3"/>
    <n v="3"/>
    <n v="-0.64378142061299781"/>
    <x v="0"/>
    <n v="-1.0519696405937966"/>
    <x v="0"/>
  </r>
  <r>
    <n v="52"/>
    <d v="2011-01-03T00:00:00"/>
    <n v="1"/>
    <x v="0"/>
    <x v="6"/>
    <x v="1"/>
    <b v="0"/>
    <x v="0"/>
    <n v="1"/>
    <x v="2"/>
    <x v="1"/>
    <n v="1"/>
    <x v="0"/>
    <n v="0.14000000000000001"/>
    <n v="0.1061"/>
    <n v="0.5"/>
    <n v="0.3881"/>
    <n v="0"/>
    <n v="30"/>
    <n v="30"/>
    <n v="-0.64378142061299781"/>
    <x v="0"/>
    <n v="-0.48822432379978858"/>
    <x v="0"/>
  </r>
  <r>
    <n v="53"/>
    <d v="2011-01-03T00:00:00"/>
    <n v="1"/>
    <x v="0"/>
    <x v="7"/>
    <x v="1"/>
    <b v="0"/>
    <x v="0"/>
    <n v="1"/>
    <x v="2"/>
    <x v="1"/>
    <n v="1"/>
    <x v="0"/>
    <n v="0.14000000000000001"/>
    <n v="0.13639999999999999"/>
    <n v="0.5"/>
    <n v="0.19400000000000001"/>
    <n v="1"/>
    <n v="63"/>
    <n v="64"/>
    <n v="-0.51295812847461175"/>
    <x v="0"/>
    <n v="0.20079773005955459"/>
    <x v="0"/>
  </r>
  <r>
    <n v="54"/>
    <d v="2011-01-03T00:00:00"/>
    <n v="1"/>
    <x v="0"/>
    <x v="8"/>
    <x v="2"/>
    <b v="0"/>
    <x v="0"/>
    <n v="1"/>
    <x v="2"/>
    <x v="1"/>
    <n v="1"/>
    <x v="0"/>
    <n v="0.14000000000000001"/>
    <n v="0.1212"/>
    <n v="0.5"/>
    <n v="0.28360000000000002"/>
    <n v="1"/>
    <n v="153"/>
    <n v="154"/>
    <n v="-0.51295812847461175"/>
    <x v="0"/>
    <n v="2.0799487860395813"/>
    <x v="1"/>
  </r>
  <r>
    <n v="55"/>
    <d v="2011-01-03T00:00:00"/>
    <n v="1"/>
    <x v="0"/>
    <x v="9"/>
    <x v="2"/>
    <b v="0"/>
    <x v="0"/>
    <n v="1"/>
    <x v="2"/>
    <x v="1"/>
    <n v="1"/>
    <x v="0"/>
    <n v="0.16"/>
    <n v="0.13639999999999999"/>
    <n v="0.43"/>
    <n v="0.3881"/>
    <n v="7"/>
    <n v="81"/>
    <n v="88"/>
    <n v="0.27198162435570455"/>
    <x v="0"/>
    <n v="0.57662794125555994"/>
    <x v="0"/>
  </r>
  <r>
    <n v="56"/>
    <d v="2011-01-03T00:00:00"/>
    <n v="1"/>
    <x v="0"/>
    <x v="10"/>
    <x v="2"/>
    <b v="0"/>
    <x v="0"/>
    <n v="1"/>
    <x v="2"/>
    <x v="1"/>
    <n v="1"/>
    <x v="0"/>
    <n v="0.18"/>
    <n v="0.16669999999999999"/>
    <n v="0.43"/>
    <n v="0.25369999999999998"/>
    <n v="11"/>
    <n v="33"/>
    <n v="44"/>
    <n v="0.79527479290924885"/>
    <x v="0"/>
    <n v="-0.42558595526712101"/>
    <x v="0"/>
  </r>
  <r>
    <n v="57"/>
    <d v="2011-01-03T00:00:00"/>
    <n v="1"/>
    <x v="0"/>
    <x v="11"/>
    <x v="2"/>
    <b v="0"/>
    <x v="0"/>
    <n v="1"/>
    <x v="2"/>
    <x v="1"/>
    <n v="1"/>
    <x v="0"/>
    <n v="0.2"/>
    <n v="0.18179999999999999"/>
    <n v="0.4"/>
    <n v="0.32840000000000003"/>
    <n v="10"/>
    <n v="41"/>
    <n v="51"/>
    <n v="0.66445150077086279"/>
    <x v="0"/>
    <n v="-0.25855030584667421"/>
    <x v="0"/>
  </r>
  <r>
    <n v="58"/>
    <d v="2011-01-03T00:00:00"/>
    <n v="1"/>
    <x v="0"/>
    <x v="12"/>
    <x v="3"/>
    <b v="0"/>
    <x v="0"/>
    <n v="1"/>
    <x v="2"/>
    <x v="1"/>
    <n v="1"/>
    <x v="0"/>
    <n v="0.22"/>
    <n v="0.21210000000000001"/>
    <n v="0.35"/>
    <n v="0.29849999999999999"/>
    <n v="13"/>
    <n v="48"/>
    <n v="61"/>
    <n v="1.0569213771860211"/>
    <x v="0"/>
    <n v="-0.11239411260378322"/>
    <x v="0"/>
  </r>
  <r>
    <n v="59"/>
    <d v="2011-01-03T00:00:00"/>
    <n v="1"/>
    <x v="0"/>
    <x v="13"/>
    <x v="3"/>
    <b v="0"/>
    <x v="0"/>
    <n v="1"/>
    <x v="2"/>
    <x v="1"/>
    <n v="1"/>
    <x v="0"/>
    <n v="0.24"/>
    <n v="0.19993489147704935"/>
    <n v="0.35"/>
    <n v="0.28360000000000002"/>
    <n v="8"/>
    <n v="53"/>
    <n v="61"/>
    <n v="0.40280491649409061"/>
    <x v="0"/>
    <n v="-7.9968317160039482E-3"/>
    <x v="0"/>
  </r>
  <r>
    <n v="60"/>
    <d v="2011-01-03T00:00:00"/>
    <n v="1"/>
    <x v="0"/>
    <x v="14"/>
    <x v="3"/>
    <b v="0"/>
    <x v="0"/>
    <n v="1"/>
    <x v="2"/>
    <x v="1"/>
    <n v="1"/>
    <x v="0"/>
    <n v="0.26"/>
    <n v="0.2424"/>
    <n v="0.3"/>
    <n v="0.28360000000000002"/>
    <n v="11"/>
    <n v="66"/>
    <n v="77"/>
    <n v="0.79527479290924885"/>
    <x v="0"/>
    <n v="0.26343609859222217"/>
    <x v="0"/>
  </r>
  <r>
    <n v="61"/>
    <d v="2011-01-03T00:00:00"/>
    <n v="1"/>
    <x v="0"/>
    <x v="15"/>
    <x v="3"/>
    <b v="0"/>
    <x v="0"/>
    <n v="1"/>
    <x v="2"/>
    <x v="1"/>
    <n v="1"/>
    <x v="0"/>
    <n v="0.26"/>
    <n v="0.2424"/>
    <n v="0.3"/>
    <n v="0.25369999999999998"/>
    <n v="14"/>
    <n v="58"/>
    <n v="72"/>
    <n v="1.1877446693244071"/>
    <x v="0"/>
    <n v="9.6400449171775315E-2"/>
    <x v="0"/>
  </r>
  <r>
    <n v="62"/>
    <d v="2011-01-03T00:00:00"/>
    <n v="1"/>
    <x v="0"/>
    <x v="16"/>
    <x v="3"/>
    <b v="0"/>
    <x v="0"/>
    <n v="1"/>
    <x v="2"/>
    <x v="1"/>
    <n v="1"/>
    <x v="0"/>
    <n v="0.26"/>
    <n v="0.2424"/>
    <n v="0.3"/>
    <n v="0.25369999999999998"/>
    <n v="9"/>
    <n v="67"/>
    <n v="76"/>
    <n v="0.53362820863247673"/>
    <x v="0"/>
    <n v="0.28431555476977799"/>
    <x v="0"/>
  </r>
  <r>
    <n v="63"/>
    <d v="2011-01-03T00:00:00"/>
    <n v="1"/>
    <x v="0"/>
    <x v="17"/>
    <x v="4"/>
    <b v="0"/>
    <x v="0"/>
    <n v="1"/>
    <x v="2"/>
    <x v="1"/>
    <n v="1"/>
    <x v="0"/>
    <n v="0.24"/>
    <n v="0.2273"/>
    <n v="0.3"/>
    <n v="0.22389999999999999"/>
    <n v="11"/>
    <n v="146"/>
    <n v="157"/>
    <n v="0.79527479290924885"/>
    <x v="0"/>
    <n v="1.9337925927966904"/>
    <x v="0"/>
  </r>
  <r>
    <n v="64"/>
    <d v="2011-01-03T00:00:00"/>
    <n v="1"/>
    <x v="0"/>
    <x v="18"/>
    <x v="4"/>
    <b v="0"/>
    <x v="0"/>
    <n v="1"/>
    <x v="2"/>
    <x v="1"/>
    <n v="1"/>
    <x v="0"/>
    <n v="0.24"/>
    <n v="0.2576"/>
    <n v="0.32"/>
    <n v="0.1045"/>
    <n v="9"/>
    <n v="148"/>
    <n v="157"/>
    <n v="0.53362820863247673"/>
    <x v="0"/>
    <n v="1.975551505151802"/>
    <x v="0"/>
  </r>
  <r>
    <n v="65"/>
    <d v="2011-01-03T00:00:00"/>
    <n v="1"/>
    <x v="0"/>
    <x v="19"/>
    <x v="4"/>
    <b v="0"/>
    <x v="0"/>
    <n v="1"/>
    <x v="2"/>
    <x v="1"/>
    <n v="1"/>
    <x v="0"/>
    <n v="0.2"/>
    <n v="0.2576"/>
    <n v="0.47"/>
    <n v="0"/>
    <n v="8"/>
    <n v="102"/>
    <n v="110"/>
    <n v="0.40280491649409061"/>
    <x v="0"/>
    <n v="1.0150965209842329"/>
    <x v="0"/>
  </r>
  <r>
    <n v="66"/>
    <d v="2011-01-03T00:00:00"/>
    <n v="1"/>
    <x v="0"/>
    <x v="20"/>
    <x v="4"/>
    <b v="0"/>
    <x v="0"/>
    <n v="1"/>
    <x v="2"/>
    <x v="1"/>
    <n v="1"/>
    <x v="0"/>
    <n v="0.2"/>
    <n v="0.19993489147704935"/>
    <n v="0.47"/>
    <n v="0.1045"/>
    <n v="3"/>
    <n v="49"/>
    <n v="52"/>
    <n v="-0.25131154419783963"/>
    <x v="0"/>
    <n v="-9.1514656426227359E-2"/>
    <x v="0"/>
  </r>
  <r>
    <n v="67"/>
    <d v="2011-01-03T00:00:00"/>
    <n v="1"/>
    <x v="0"/>
    <x v="21"/>
    <x v="0"/>
    <b v="0"/>
    <x v="0"/>
    <n v="1"/>
    <x v="2"/>
    <x v="1"/>
    <n v="1"/>
    <x v="0"/>
    <n v="0.18"/>
    <n v="0.19700000000000001"/>
    <n v="0.64"/>
    <n v="0.1343"/>
    <n v="3"/>
    <n v="49"/>
    <n v="52"/>
    <n v="-0.25131154419783963"/>
    <x v="0"/>
    <n v="-9.1514656426227359E-2"/>
    <x v="0"/>
  </r>
  <r>
    <n v="68"/>
    <d v="2011-01-03T00:00:00"/>
    <n v="1"/>
    <x v="0"/>
    <x v="22"/>
    <x v="0"/>
    <b v="0"/>
    <x v="0"/>
    <n v="1"/>
    <x v="2"/>
    <x v="1"/>
    <n v="1"/>
    <x v="0"/>
    <n v="0.14000000000000001"/>
    <n v="0.1515"/>
    <n v="0.69"/>
    <n v="0.1343"/>
    <n v="0"/>
    <n v="20"/>
    <n v="20"/>
    <n v="-0.64378142061299781"/>
    <x v="0"/>
    <n v="-0.69701888557534708"/>
    <x v="0"/>
  </r>
  <r>
    <n v="69"/>
    <d v="2011-01-03T00:00:00"/>
    <n v="1"/>
    <x v="0"/>
    <x v="23"/>
    <x v="0"/>
    <b v="0"/>
    <x v="0"/>
    <n v="1"/>
    <x v="2"/>
    <x v="1"/>
    <n v="1"/>
    <x v="0"/>
    <n v="0.18"/>
    <n v="0.21210000000000001"/>
    <n v="0.55000000000000004"/>
    <n v="0.1045"/>
    <n v="1"/>
    <n v="11"/>
    <n v="12"/>
    <n v="-0.51295812847461175"/>
    <x v="0"/>
    <n v="-0.88493399117334981"/>
    <x v="0"/>
  </r>
  <r>
    <n v="70"/>
    <d v="2011-01-04T00:00:00"/>
    <n v="1"/>
    <x v="0"/>
    <x v="0"/>
    <x v="0"/>
    <b v="0"/>
    <x v="0"/>
    <n v="2"/>
    <x v="3"/>
    <x v="1"/>
    <n v="1"/>
    <x v="0"/>
    <n v="0.16"/>
    <n v="0.19993489147704935"/>
    <n v="0.55000000000000004"/>
    <n v="0.1045"/>
    <n v="0"/>
    <n v="5"/>
    <n v="5"/>
    <n v="-0.64378142061299781"/>
    <x v="0"/>
    <n v="-1.010210728238685"/>
    <x v="0"/>
  </r>
  <r>
    <n v="71"/>
    <d v="2011-01-04T00:00:00"/>
    <n v="1"/>
    <x v="0"/>
    <x v="1"/>
    <x v="0"/>
    <b v="0"/>
    <x v="0"/>
    <n v="2"/>
    <x v="3"/>
    <x v="1"/>
    <n v="1"/>
    <x v="0"/>
    <n v="0.16"/>
    <n v="0.18179999999999999"/>
    <n v="0.59"/>
    <n v="0.1045"/>
    <n v="0"/>
    <n v="2"/>
    <n v="2"/>
    <n v="-0.64378142061299781"/>
    <x v="0"/>
    <n v="-1.0728490967713524"/>
    <x v="0"/>
  </r>
  <r>
    <n v="72"/>
    <d v="2011-01-04T00:00:00"/>
    <n v="1"/>
    <x v="0"/>
    <x v="2"/>
    <x v="0"/>
    <b v="0"/>
    <x v="0"/>
    <n v="2"/>
    <x v="3"/>
    <x v="1"/>
    <n v="1"/>
    <x v="0"/>
    <n v="0.14000000000000001"/>
    <n v="0.1515"/>
    <n v="0.63"/>
    <n v="0.1343"/>
    <n v="0"/>
    <n v="1"/>
    <n v="1"/>
    <n v="-0.64378142061299781"/>
    <x v="0"/>
    <n v="-1.0937285529489083"/>
    <x v="0"/>
  </r>
  <r>
    <n v="73"/>
    <d v="2011-01-04T00:00:00"/>
    <n v="1"/>
    <x v="0"/>
    <x v="4"/>
    <x v="0"/>
    <b v="0"/>
    <x v="0"/>
    <n v="2"/>
    <x v="3"/>
    <x v="1"/>
    <n v="1"/>
    <x v="0"/>
    <n v="0.14000000000000001"/>
    <n v="0.18179999999999999"/>
    <n v="0.63"/>
    <n v="8.9599999999999999E-2"/>
    <n v="0"/>
    <n v="2"/>
    <n v="2"/>
    <n v="-0.64378142061299781"/>
    <x v="0"/>
    <n v="-1.0728490967713524"/>
    <x v="0"/>
  </r>
  <r>
    <n v="74"/>
    <d v="2011-01-04T00:00:00"/>
    <n v="1"/>
    <x v="0"/>
    <x v="5"/>
    <x v="1"/>
    <b v="0"/>
    <x v="0"/>
    <n v="2"/>
    <x v="3"/>
    <x v="1"/>
    <n v="1"/>
    <x v="0"/>
    <n v="0.12"/>
    <n v="0.1515"/>
    <n v="0.68"/>
    <n v="0.1045"/>
    <n v="0"/>
    <n v="4"/>
    <n v="4"/>
    <n v="-0.64378142061299781"/>
    <x v="0"/>
    <n v="-1.0310901844162408"/>
    <x v="0"/>
  </r>
  <r>
    <n v="75"/>
    <d v="2011-01-04T00:00:00"/>
    <n v="1"/>
    <x v="0"/>
    <x v="6"/>
    <x v="1"/>
    <b v="0"/>
    <x v="0"/>
    <n v="2"/>
    <x v="3"/>
    <x v="1"/>
    <n v="1"/>
    <x v="0"/>
    <n v="0.12"/>
    <n v="0.1515"/>
    <n v="0.74"/>
    <n v="0.1045"/>
    <n v="0"/>
    <n v="36"/>
    <n v="36"/>
    <n v="-0.64378142061299781"/>
    <x v="0"/>
    <n v="-0.36294758673445349"/>
    <x v="0"/>
  </r>
  <r>
    <n v="76"/>
    <d v="2011-01-04T00:00:00"/>
    <n v="1"/>
    <x v="0"/>
    <x v="7"/>
    <x v="1"/>
    <b v="0"/>
    <x v="0"/>
    <n v="2"/>
    <x v="3"/>
    <x v="1"/>
    <n v="1"/>
    <x v="0"/>
    <n v="0.12"/>
    <n v="0.1515"/>
    <n v="0.74"/>
    <n v="0.1343"/>
    <n v="2"/>
    <n v="92"/>
    <n v="94"/>
    <n v="-0.38213483633622569"/>
    <x v="0"/>
    <n v="0.80630195920867431"/>
    <x v="0"/>
  </r>
  <r>
    <n v="77"/>
    <d v="2011-01-04T00:00:00"/>
    <n v="1"/>
    <x v="0"/>
    <x v="8"/>
    <x v="2"/>
    <b v="0"/>
    <x v="0"/>
    <n v="2"/>
    <x v="3"/>
    <x v="1"/>
    <n v="1"/>
    <x v="0"/>
    <n v="0.14000000000000001"/>
    <n v="0.1515"/>
    <n v="0.69"/>
    <n v="0.16420000000000001"/>
    <n v="2"/>
    <n v="177"/>
    <n v="179"/>
    <n v="-0.38213483633622569"/>
    <x v="0"/>
    <n v="2.5810557343009219"/>
    <x v="1"/>
  </r>
  <r>
    <n v="78"/>
    <d v="2011-01-04T00:00:00"/>
    <n v="1"/>
    <x v="0"/>
    <x v="9"/>
    <x v="2"/>
    <b v="0"/>
    <x v="0"/>
    <n v="2"/>
    <x v="3"/>
    <x v="1"/>
    <n v="1"/>
    <x v="0"/>
    <n v="0.16"/>
    <n v="0.1515"/>
    <n v="0.64"/>
    <n v="0.22389999999999999"/>
    <n v="2"/>
    <n v="98"/>
    <n v="100"/>
    <n v="-0.38213483633622569"/>
    <x v="0"/>
    <n v="0.93157869627400947"/>
    <x v="0"/>
  </r>
  <r>
    <n v="79"/>
    <d v="2011-01-04T00:00:00"/>
    <n v="1"/>
    <x v="0"/>
    <x v="10"/>
    <x v="2"/>
    <b v="0"/>
    <x v="0"/>
    <n v="2"/>
    <x v="3"/>
    <x v="1"/>
    <n v="2"/>
    <x v="1"/>
    <n v="0.16"/>
    <n v="0.13639999999999999"/>
    <n v="0.69"/>
    <n v="0.32840000000000003"/>
    <n v="5"/>
    <n v="37"/>
    <n v="42"/>
    <n v="1.0335040078932463E-2"/>
    <x v="0"/>
    <n v="-0.34206813055689761"/>
    <x v="0"/>
  </r>
  <r>
    <n v="80"/>
    <d v="2011-01-04T00:00:00"/>
    <n v="1"/>
    <x v="0"/>
    <x v="11"/>
    <x v="2"/>
    <b v="0"/>
    <x v="0"/>
    <n v="2"/>
    <x v="3"/>
    <x v="1"/>
    <n v="1"/>
    <x v="0"/>
    <n v="0.22"/>
    <n v="0.21210000000000001"/>
    <n v="0.51"/>
    <n v="0.29849999999999999"/>
    <n v="7"/>
    <n v="50"/>
    <n v="57"/>
    <n v="0.27198162435570455"/>
    <x v="0"/>
    <n v="-7.0635200248671509E-2"/>
    <x v="0"/>
  </r>
  <r>
    <n v="81"/>
    <d v="2011-01-04T00:00:00"/>
    <n v="1"/>
    <x v="0"/>
    <x v="12"/>
    <x v="3"/>
    <b v="0"/>
    <x v="0"/>
    <n v="2"/>
    <x v="3"/>
    <x v="1"/>
    <n v="1"/>
    <x v="0"/>
    <n v="0.22"/>
    <n v="0.2273"/>
    <n v="0.51"/>
    <n v="0.16420000000000001"/>
    <n v="12"/>
    <n v="66"/>
    <n v="78"/>
    <n v="0.92609808504763491"/>
    <x v="0"/>
    <n v="0.26343609859222217"/>
    <x v="0"/>
  </r>
  <r>
    <n v="82"/>
    <d v="2011-01-04T00:00:00"/>
    <n v="1"/>
    <x v="0"/>
    <x v="13"/>
    <x v="3"/>
    <b v="0"/>
    <x v="0"/>
    <n v="2"/>
    <x v="3"/>
    <x v="1"/>
    <n v="1"/>
    <x v="0"/>
    <n v="0.24"/>
    <n v="0.2273"/>
    <n v="0.56000000000000005"/>
    <n v="0.19400000000000001"/>
    <n v="18"/>
    <n v="79"/>
    <n v="97"/>
    <n v="1.7110378378779514"/>
    <x v="0"/>
    <n v="0.5348690289004483"/>
    <x v="0"/>
  </r>
  <r>
    <n v="83"/>
    <d v="2011-01-04T00:00:00"/>
    <n v="1"/>
    <x v="0"/>
    <x v="14"/>
    <x v="3"/>
    <b v="0"/>
    <x v="0"/>
    <n v="2"/>
    <x v="3"/>
    <x v="1"/>
    <n v="1"/>
    <x v="0"/>
    <n v="0.26"/>
    <n v="0.2576"/>
    <n v="0.52"/>
    <n v="0.22389999999999999"/>
    <n v="9"/>
    <n v="54"/>
    <n v="63"/>
    <n v="0.53362820863247673"/>
    <x v="0"/>
    <n v="1.2882624461551907E-2"/>
    <x v="0"/>
  </r>
  <r>
    <n v="84"/>
    <d v="2011-01-04T00:00:00"/>
    <n v="1"/>
    <x v="0"/>
    <x v="15"/>
    <x v="3"/>
    <b v="0"/>
    <x v="0"/>
    <n v="2"/>
    <x v="3"/>
    <x v="1"/>
    <n v="1"/>
    <x v="0"/>
    <n v="0.28000000000000003"/>
    <n v="0.2727"/>
    <n v="0.52"/>
    <n v="0.25369999999999998"/>
    <n v="17"/>
    <n v="48"/>
    <n v="65"/>
    <n v="1.5802145457395653"/>
    <x v="0"/>
    <n v="-0.11239411260378322"/>
    <x v="0"/>
  </r>
  <r>
    <n v="85"/>
    <d v="2011-01-04T00:00:00"/>
    <n v="1"/>
    <x v="0"/>
    <x v="16"/>
    <x v="3"/>
    <b v="0"/>
    <x v="0"/>
    <n v="2"/>
    <x v="3"/>
    <x v="1"/>
    <n v="1"/>
    <x v="0"/>
    <n v="0.3"/>
    <n v="0.28789999999999999"/>
    <n v="0.49"/>
    <n v="0.25369999999999998"/>
    <n v="15"/>
    <n v="68"/>
    <n v="83"/>
    <n v="1.3185679614627932"/>
    <x v="0"/>
    <n v="0.30519501094733387"/>
    <x v="0"/>
  </r>
  <r>
    <n v="86"/>
    <d v="2011-01-04T00:00:00"/>
    <n v="1"/>
    <x v="0"/>
    <x v="17"/>
    <x v="4"/>
    <b v="0"/>
    <x v="0"/>
    <n v="2"/>
    <x v="3"/>
    <x v="1"/>
    <n v="1"/>
    <x v="0"/>
    <n v="0.28000000000000003"/>
    <n v="0.2727"/>
    <n v="0.48"/>
    <n v="0.22389999999999999"/>
    <n v="10"/>
    <n v="202"/>
    <n v="212"/>
    <n v="0.66445150077086279"/>
    <x v="0"/>
    <n v="3.1030421387398182"/>
    <x v="1"/>
  </r>
  <r>
    <n v="87"/>
    <d v="2011-01-04T00:00:00"/>
    <n v="1"/>
    <x v="0"/>
    <x v="18"/>
    <x v="4"/>
    <b v="0"/>
    <x v="0"/>
    <n v="2"/>
    <x v="3"/>
    <x v="1"/>
    <n v="1"/>
    <x v="0"/>
    <n v="0.26"/>
    <n v="0.2576"/>
    <n v="0.48"/>
    <n v="0.19400000000000001"/>
    <n v="3"/>
    <n v="179"/>
    <n v="182"/>
    <n v="-0.25131154419783963"/>
    <x v="0"/>
    <n v="2.6228146466560336"/>
    <x v="1"/>
  </r>
  <r>
    <n v="88"/>
    <d v="2011-01-04T00:00:00"/>
    <n v="1"/>
    <x v="0"/>
    <x v="19"/>
    <x v="4"/>
    <b v="0"/>
    <x v="0"/>
    <n v="2"/>
    <x v="3"/>
    <x v="1"/>
    <n v="1"/>
    <x v="0"/>
    <n v="0.24"/>
    <n v="0.2576"/>
    <n v="0.48"/>
    <n v="0.1045"/>
    <n v="2"/>
    <n v="110"/>
    <n v="112"/>
    <n v="-0.38213483633622569"/>
    <x v="0"/>
    <n v="1.1821321704046797"/>
    <x v="0"/>
  </r>
  <r>
    <n v="89"/>
    <d v="2011-01-04T00:00:00"/>
    <n v="1"/>
    <x v="0"/>
    <x v="20"/>
    <x v="4"/>
    <b v="0"/>
    <x v="0"/>
    <n v="2"/>
    <x v="3"/>
    <x v="1"/>
    <n v="1"/>
    <x v="0"/>
    <n v="0.24"/>
    <n v="0.2576"/>
    <n v="0.48"/>
    <n v="0.1045"/>
    <n v="1"/>
    <n v="53"/>
    <n v="54"/>
    <n v="-0.51295812847461175"/>
    <x v="0"/>
    <n v="-7.9968317160039482E-3"/>
    <x v="0"/>
  </r>
  <r>
    <n v="90"/>
    <d v="2011-01-04T00:00:00"/>
    <n v="1"/>
    <x v="0"/>
    <x v="21"/>
    <x v="0"/>
    <b v="0"/>
    <x v="0"/>
    <n v="2"/>
    <x v="3"/>
    <x v="1"/>
    <n v="1"/>
    <x v="0"/>
    <n v="0.22"/>
    <n v="0.2727"/>
    <n v="0.64"/>
    <n v="0"/>
    <n v="0"/>
    <n v="48"/>
    <n v="48"/>
    <n v="-0.64378142061299781"/>
    <x v="0"/>
    <n v="-0.11239411260378322"/>
    <x v="0"/>
  </r>
  <r>
    <n v="91"/>
    <d v="2011-01-04T00:00:00"/>
    <n v="1"/>
    <x v="0"/>
    <x v="22"/>
    <x v="0"/>
    <b v="0"/>
    <x v="0"/>
    <n v="2"/>
    <x v="3"/>
    <x v="1"/>
    <n v="1"/>
    <x v="0"/>
    <n v="0.22"/>
    <n v="0.2576"/>
    <n v="0.64"/>
    <n v="8.9599999999999999E-2"/>
    <n v="1"/>
    <n v="34"/>
    <n v="35"/>
    <n v="-0.51295812847461175"/>
    <x v="0"/>
    <n v="-0.40470649908956519"/>
    <x v="0"/>
  </r>
  <r>
    <n v="92"/>
    <d v="2011-01-04T00:00:00"/>
    <n v="1"/>
    <x v="0"/>
    <x v="23"/>
    <x v="0"/>
    <b v="0"/>
    <x v="0"/>
    <n v="2"/>
    <x v="3"/>
    <x v="1"/>
    <n v="1"/>
    <x v="0"/>
    <n v="0.2"/>
    <n v="0.2273"/>
    <n v="0.69"/>
    <n v="8.9599999999999999E-2"/>
    <n v="2"/>
    <n v="9"/>
    <n v="11"/>
    <n v="-0.38213483633622569"/>
    <x v="0"/>
    <n v="-0.92669290352846156"/>
    <x v="0"/>
  </r>
  <r>
    <n v="93"/>
    <d v="2011-01-05T00:00:00"/>
    <n v="1"/>
    <x v="0"/>
    <x v="0"/>
    <x v="0"/>
    <b v="0"/>
    <x v="0"/>
    <n v="3"/>
    <x v="4"/>
    <x v="1"/>
    <n v="1"/>
    <x v="0"/>
    <n v="0.2"/>
    <n v="0.2576"/>
    <n v="0.64"/>
    <n v="0"/>
    <n v="0"/>
    <n v="6"/>
    <n v="6"/>
    <n v="-0.64378142061299781"/>
    <x v="0"/>
    <n v="-0.98933127206112903"/>
    <x v="0"/>
  </r>
  <r>
    <n v="94"/>
    <d v="2011-01-05T00:00:00"/>
    <n v="1"/>
    <x v="0"/>
    <x v="1"/>
    <x v="0"/>
    <b v="0"/>
    <x v="0"/>
    <n v="3"/>
    <x v="4"/>
    <x v="1"/>
    <n v="1"/>
    <x v="0"/>
    <n v="0.16"/>
    <n v="0.19700000000000001"/>
    <n v="0.74"/>
    <n v="8.9599999999999999E-2"/>
    <n v="0"/>
    <n v="6"/>
    <n v="6"/>
    <n v="-0.64378142061299781"/>
    <x v="0"/>
    <n v="-0.98933127206112903"/>
    <x v="0"/>
  </r>
  <r>
    <n v="95"/>
    <d v="2011-01-05T00:00:00"/>
    <n v="1"/>
    <x v="0"/>
    <x v="2"/>
    <x v="0"/>
    <b v="0"/>
    <x v="0"/>
    <n v="3"/>
    <x v="4"/>
    <x v="1"/>
    <n v="1"/>
    <x v="0"/>
    <n v="0.16"/>
    <n v="0.19700000000000001"/>
    <n v="0.74"/>
    <n v="8.9599999999999999E-2"/>
    <n v="0"/>
    <n v="2"/>
    <n v="2"/>
    <n v="-0.64378142061299781"/>
    <x v="0"/>
    <n v="-1.0728490967713524"/>
    <x v="0"/>
  </r>
  <r>
    <n v="96"/>
    <d v="2011-01-05T00:00:00"/>
    <n v="1"/>
    <x v="0"/>
    <x v="4"/>
    <x v="0"/>
    <b v="0"/>
    <x v="0"/>
    <n v="3"/>
    <x v="4"/>
    <x v="1"/>
    <n v="1"/>
    <x v="0"/>
    <n v="0.24"/>
    <n v="0.2273"/>
    <n v="0.48"/>
    <n v="0.22389999999999999"/>
    <n v="0"/>
    <n v="2"/>
    <n v="2"/>
    <n v="-0.64378142061299781"/>
    <x v="0"/>
    <n v="-1.0728490967713524"/>
    <x v="0"/>
  </r>
  <r>
    <n v="97"/>
    <d v="2011-01-05T00:00:00"/>
    <n v="1"/>
    <x v="0"/>
    <x v="5"/>
    <x v="1"/>
    <b v="0"/>
    <x v="0"/>
    <n v="3"/>
    <x v="4"/>
    <x v="1"/>
    <n v="1"/>
    <x v="0"/>
    <n v="0.22"/>
    <n v="0.2273"/>
    <n v="0.47"/>
    <n v="0.16420000000000001"/>
    <n v="0"/>
    <n v="3"/>
    <n v="3"/>
    <n v="-0.64378142061299781"/>
    <x v="0"/>
    <n v="-1.0519696405937966"/>
    <x v="0"/>
  </r>
  <r>
    <n v="98"/>
    <d v="2011-01-05T00:00:00"/>
    <n v="1"/>
    <x v="0"/>
    <x v="6"/>
    <x v="1"/>
    <b v="0"/>
    <x v="0"/>
    <n v="3"/>
    <x v="4"/>
    <x v="1"/>
    <n v="1"/>
    <x v="0"/>
    <n v="0.2"/>
    <n v="0.19700000000000001"/>
    <n v="0.47"/>
    <n v="0.22389999999999999"/>
    <n v="0"/>
    <n v="33"/>
    <n v="33"/>
    <n v="-0.64378142061299781"/>
    <x v="0"/>
    <n v="-0.42558595526712101"/>
    <x v="0"/>
  </r>
  <r>
    <n v="99"/>
    <d v="2011-01-05T00:00:00"/>
    <n v="1"/>
    <x v="0"/>
    <x v="7"/>
    <x v="1"/>
    <b v="0"/>
    <x v="0"/>
    <n v="3"/>
    <x v="4"/>
    <x v="1"/>
    <n v="1"/>
    <x v="0"/>
    <n v="0.18"/>
    <n v="0.18179999999999999"/>
    <n v="0.43"/>
    <n v="0.19400000000000001"/>
    <n v="1"/>
    <n v="87"/>
    <n v="88"/>
    <n v="-0.51295812847461175"/>
    <x v="0"/>
    <n v="0.70190467832089509"/>
    <x v="0"/>
  </r>
  <r>
    <n v="100"/>
    <d v="2011-01-05T00:00:00"/>
    <n v="1"/>
    <x v="0"/>
    <x v="8"/>
    <x v="2"/>
    <b v="0"/>
    <x v="0"/>
    <n v="3"/>
    <x v="4"/>
    <x v="1"/>
    <n v="1"/>
    <x v="0"/>
    <n v="0.2"/>
    <n v="0.18179999999999999"/>
    <n v="0.4"/>
    <n v="0.29849999999999999"/>
    <n v="3"/>
    <n v="192"/>
    <n v="195"/>
    <n v="-0.25131154419783963"/>
    <x v="0"/>
    <n v="2.8942475769642595"/>
    <x v="1"/>
  </r>
  <r>
    <n v="101"/>
    <d v="2011-01-05T00:00:00"/>
    <n v="1"/>
    <x v="0"/>
    <x v="9"/>
    <x v="2"/>
    <b v="0"/>
    <x v="0"/>
    <n v="3"/>
    <x v="4"/>
    <x v="1"/>
    <n v="1"/>
    <x v="0"/>
    <n v="0.22"/>
    <n v="0.19700000000000001"/>
    <n v="0.37"/>
    <n v="0.32840000000000003"/>
    <n v="6"/>
    <n v="109"/>
    <n v="115"/>
    <n v="0.14115833221731852"/>
    <x v="0"/>
    <n v="1.1612527142271238"/>
    <x v="0"/>
  </r>
  <r>
    <n v="102"/>
    <d v="2011-01-05T00:00:00"/>
    <n v="1"/>
    <x v="0"/>
    <x v="10"/>
    <x v="2"/>
    <b v="0"/>
    <x v="0"/>
    <n v="3"/>
    <x v="4"/>
    <x v="1"/>
    <n v="1"/>
    <x v="0"/>
    <n v="0.22"/>
    <n v="0.19700000000000001"/>
    <n v="0.37"/>
    <n v="0.32840000000000003"/>
    <n v="4"/>
    <n v="53"/>
    <n v="57"/>
    <n v="-0.1204882520594536"/>
    <x v="0"/>
    <n v="-7.9968317160039482E-3"/>
    <x v="0"/>
  </r>
  <r>
    <n v="103"/>
    <d v="2011-01-05T00:00:00"/>
    <n v="1"/>
    <x v="0"/>
    <x v="11"/>
    <x v="2"/>
    <b v="0"/>
    <x v="0"/>
    <n v="3"/>
    <x v="4"/>
    <x v="1"/>
    <n v="1"/>
    <x v="0"/>
    <n v="0.26"/>
    <n v="0.2273"/>
    <n v="0.33"/>
    <n v="0.32840000000000003"/>
    <n v="12"/>
    <n v="34"/>
    <n v="46"/>
    <n v="0.92609808504763491"/>
    <x v="0"/>
    <n v="-0.40470649908956519"/>
    <x v="0"/>
  </r>
  <r>
    <n v="104"/>
    <d v="2011-01-05T00:00:00"/>
    <n v="1"/>
    <x v="0"/>
    <x v="12"/>
    <x v="3"/>
    <b v="0"/>
    <x v="0"/>
    <n v="3"/>
    <x v="4"/>
    <x v="1"/>
    <n v="1"/>
    <x v="0"/>
    <n v="0.26"/>
    <n v="0.2273"/>
    <n v="0.33"/>
    <n v="0.32840000000000003"/>
    <n v="5"/>
    <n v="74"/>
    <n v="79"/>
    <n v="1.0335040078932463E-2"/>
    <x v="0"/>
    <n v="0.43047174801266896"/>
    <x v="0"/>
  </r>
  <r>
    <n v="105"/>
    <d v="2011-01-05T00:00:00"/>
    <n v="1"/>
    <x v="0"/>
    <x v="13"/>
    <x v="3"/>
    <b v="0"/>
    <x v="0"/>
    <n v="3"/>
    <x v="4"/>
    <x v="1"/>
    <n v="1"/>
    <x v="0"/>
    <n v="0.28000000000000003"/>
    <n v="0.2576"/>
    <n v="0.3"/>
    <n v="0.29849999999999999"/>
    <n v="6"/>
    <n v="65"/>
    <n v="71"/>
    <n v="0.14115833221731852"/>
    <x v="0"/>
    <n v="0.24255664241466629"/>
    <x v="0"/>
  </r>
  <r>
    <n v="106"/>
    <d v="2011-01-05T00:00:00"/>
    <n v="1"/>
    <x v="0"/>
    <x v="14"/>
    <x v="3"/>
    <b v="0"/>
    <x v="0"/>
    <n v="3"/>
    <x v="4"/>
    <x v="1"/>
    <n v="1"/>
    <x v="0"/>
    <n v="0.3"/>
    <n v="0.28789999999999999"/>
    <n v="0.28000000000000003"/>
    <n v="0.19400000000000001"/>
    <n v="10"/>
    <n v="52"/>
    <n v="62"/>
    <n v="0.66445150077086279"/>
    <x v="0"/>
    <n v="-2.8876287893559803E-2"/>
    <x v="0"/>
  </r>
  <r>
    <n v="107"/>
    <d v="2011-01-05T00:00:00"/>
    <n v="1"/>
    <x v="0"/>
    <x v="15"/>
    <x v="3"/>
    <b v="0"/>
    <x v="0"/>
    <n v="3"/>
    <x v="4"/>
    <x v="1"/>
    <n v="1"/>
    <x v="0"/>
    <n v="0.3"/>
    <n v="0.28789999999999999"/>
    <n v="0.28000000000000003"/>
    <n v="0.19400000000000001"/>
    <n v="7"/>
    <n v="55"/>
    <n v="62"/>
    <n v="0.27198162435570455"/>
    <x v="0"/>
    <n v="3.376208063910776E-2"/>
    <x v="0"/>
  </r>
  <r>
    <n v="108"/>
    <d v="2011-01-05T00:00:00"/>
    <n v="1"/>
    <x v="0"/>
    <x v="16"/>
    <x v="3"/>
    <b v="0"/>
    <x v="0"/>
    <n v="3"/>
    <x v="4"/>
    <x v="1"/>
    <n v="1"/>
    <x v="0"/>
    <n v="0.3"/>
    <n v="0.31819999999999998"/>
    <n v="0.28000000000000003"/>
    <n v="8.9599999999999999E-2"/>
    <n v="4"/>
    <n v="85"/>
    <n v="89"/>
    <n v="-0.1204882520594536"/>
    <x v="0"/>
    <n v="0.66014576596578334"/>
    <x v="0"/>
  </r>
  <r>
    <n v="109"/>
    <d v="2011-01-05T00:00:00"/>
    <n v="1"/>
    <x v="0"/>
    <x v="17"/>
    <x v="4"/>
    <b v="0"/>
    <x v="0"/>
    <n v="3"/>
    <x v="4"/>
    <x v="1"/>
    <n v="1"/>
    <x v="0"/>
    <n v="0.24"/>
    <n v="0.2273"/>
    <n v="0.38"/>
    <n v="0.19400000000000001"/>
    <n v="4"/>
    <n v="186"/>
    <n v="190"/>
    <n v="-0.1204882520594536"/>
    <x v="0"/>
    <n v="2.7689708398989246"/>
    <x v="1"/>
  </r>
  <r>
    <n v="110"/>
    <d v="2011-01-05T00:00:00"/>
    <n v="1"/>
    <x v="0"/>
    <x v="18"/>
    <x v="4"/>
    <b v="0"/>
    <x v="0"/>
    <n v="3"/>
    <x v="4"/>
    <x v="1"/>
    <n v="1"/>
    <x v="0"/>
    <n v="0.24"/>
    <n v="0.2424"/>
    <n v="0.38"/>
    <n v="0.1343"/>
    <n v="3"/>
    <n v="166"/>
    <n v="169"/>
    <n v="-0.25131154419783963"/>
    <x v="0"/>
    <n v="2.3513817163478072"/>
    <x v="1"/>
  </r>
  <r>
    <n v="111"/>
    <d v="2011-01-05T00:00:00"/>
    <n v="1"/>
    <x v="0"/>
    <x v="19"/>
    <x v="4"/>
    <b v="0"/>
    <x v="0"/>
    <n v="3"/>
    <x v="4"/>
    <x v="1"/>
    <n v="1"/>
    <x v="0"/>
    <n v="0.24"/>
    <n v="0.2576"/>
    <n v="0.38"/>
    <n v="0.1045"/>
    <n v="5"/>
    <n v="127"/>
    <n v="132"/>
    <n v="1.0335040078932463E-2"/>
    <x v="0"/>
    <n v="1.5370829254231291"/>
    <x v="0"/>
  </r>
  <r>
    <n v="112"/>
    <d v="2011-01-05T00:00:00"/>
    <n v="1"/>
    <x v="0"/>
    <x v="20"/>
    <x v="4"/>
    <b v="0"/>
    <x v="0"/>
    <n v="3"/>
    <x v="4"/>
    <x v="1"/>
    <n v="1"/>
    <x v="0"/>
    <n v="0.22"/>
    <n v="0.2273"/>
    <n v="0.47"/>
    <n v="0.16420000000000001"/>
    <n v="7"/>
    <n v="82"/>
    <n v="89"/>
    <n v="0.27198162435570455"/>
    <x v="0"/>
    <n v="0.59750739743311576"/>
    <x v="0"/>
  </r>
  <r>
    <n v="113"/>
    <d v="2011-01-05T00:00:00"/>
    <n v="1"/>
    <x v="0"/>
    <x v="21"/>
    <x v="0"/>
    <b v="0"/>
    <x v="0"/>
    <n v="3"/>
    <x v="4"/>
    <x v="1"/>
    <n v="1"/>
    <x v="0"/>
    <n v="0.2"/>
    <n v="0.19700000000000001"/>
    <n v="0.51"/>
    <n v="0.19400000000000001"/>
    <n v="3"/>
    <n v="40"/>
    <n v="43"/>
    <n v="-0.25131154419783963"/>
    <x v="0"/>
    <n v="-0.27942976202423003"/>
    <x v="0"/>
  </r>
  <r>
    <n v="114"/>
    <d v="2011-01-05T00:00:00"/>
    <n v="1"/>
    <x v="0"/>
    <x v="22"/>
    <x v="0"/>
    <b v="0"/>
    <x v="0"/>
    <n v="3"/>
    <x v="4"/>
    <x v="1"/>
    <n v="1"/>
    <x v="0"/>
    <n v="0.18"/>
    <n v="0.19700000000000001"/>
    <n v="0.55000000000000004"/>
    <n v="0.1343"/>
    <n v="1"/>
    <n v="41"/>
    <n v="42"/>
    <n v="-0.51295812847461175"/>
    <x v="0"/>
    <n v="-0.25855030584667421"/>
    <x v="0"/>
  </r>
  <r>
    <n v="115"/>
    <d v="2011-01-05T00:00:00"/>
    <n v="1"/>
    <x v="0"/>
    <x v="23"/>
    <x v="0"/>
    <b v="0"/>
    <x v="0"/>
    <n v="3"/>
    <x v="4"/>
    <x v="1"/>
    <n v="1"/>
    <x v="0"/>
    <n v="0.2"/>
    <n v="0.2576"/>
    <n v="0.47"/>
    <n v="0"/>
    <n v="1"/>
    <n v="18"/>
    <n v="19"/>
    <n v="-0.51295812847461175"/>
    <x v="0"/>
    <n v="-0.73877779793045883"/>
    <x v="0"/>
  </r>
  <r>
    <n v="116"/>
    <d v="2011-01-06T00:00:00"/>
    <n v="1"/>
    <x v="0"/>
    <x v="0"/>
    <x v="0"/>
    <b v="0"/>
    <x v="0"/>
    <n v="4"/>
    <x v="5"/>
    <x v="1"/>
    <n v="1"/>
    <x v="0"/>
    <n v="0.18"/>
    <n v="0.2424"/>
    <n v="0.55000000000000004"/>
    <n v="0"/>
    <n v="0"/>
    <n v="11"/>
    <n v="11"/>
    <n v="-0.64378142061299781"/>
    <x v="0"/>
    <n v="-0.88493399117334981"/>
    <x v="0"/>
  </r>
  <r>
    <n v="117"/>
    <d v="2011-01-06T00:00:00"/>
    <n v="1"/>
    <x v="0"/>
    <x v="1"/>
    <x v="0"/>
    <b v="0"/>
    <x v="0"/>
    <n v="4"/>
    <x v="5"/>
    <x v="1"/>
    <n v="1"/>
    <x v="0"/>
    <n v="0.16"/>
    <n v="0.2273"/>
    <n v="0.64"/>
    <n v="0"/>
    <n v="0"/>
    <n v="4"/>
    <n v="4"/>
    <n v="-0.64378142061299781"/>
    <x v="0"/>
    <n v="-1.0310901844162408"/>
    <x v="0"/>
  </r>
  <r>
    <n v="118"/>
    <d v="2011-01-06T00:00:00"/>
    <n v="1"/>
    <x v="0"/>
    <x v="2"/>
    <x v="0"/>
    <b v="0"/>
    <x v="0"/>
    <n v="4"/>
    <x v="5"/>
    <x v="1"/>
    <n v="1"/>
    <x v="0"/>
    <n v="0.16"/>
    <n v="0.2273"/>
    <n v="0.64"/>
    <n v="0"/>
    <n v="0"/>
    <n v="2"/>
    <n v="2"/>
    <n v="-0.64378142061299781"/>
    <x v="0"/>
    <n v="-1.0728490967713524"/>
    <x v="0"/>
  </r>
  <r>
    <n v="119"/>
    <d v="2011-01-06T00:00:00"/>
    <n v="1"/>
    <x v="0"/>
    <x v="4"/>
    <x v="0"/>
    <b v="0"/>
    <x v="0"/>
    <n v="4"/>
    <x v="5"/>
    <x v="1"/>
    <n v="2"/>
    <x v="1"/>
    <n v="0.16"/>
    <n v="0.19700000000000001"/>
    <n v="0.64"/>
    <n v="8.9599999999999999E-2"/>
    <n v="0"/>
    <n v="1"/>
    <n v="1"/>
    <n v="-0.64378142061299781"/>
    <x v="0"/>
    <n v="-1.0937285529489083"/>
    <x v="0"/>
  </r>
  <r>
    <n v="120"/>
    <d v="2011-01-06T00:00:00"/>
    <n v="1"/>
    <x v="0"/>
    <x v="5"/>
    <x v="1"/>
    <b v="0"/>
    <x v="0"/>
    <n v="4"/>
    <x v="5"/>
    <x v="1"/>
    <n v="2"/>
    <x v="1"/>
    <n v="0.14000000000000001"/>
    <n v="0.18179999999999999"/>
    <n v="0.69"/>
    <n v="8.9599999999999999E-2"/>
    <n v="0"/>
    <n v="4"/>
    <n v="4"/>
    <n v="-0.64378142061299781"/>
    <x v="0"/>
    <n v="-1.0310901844162408"/>
    <x v="0"/>
  </r>
  <r>
    <n v="121"/>
    <d v="2011-01-06T00:00:00"/>
    <n v="1"/>
    <x v="0"/>
    <x v="6"/>
    <x v="1"/>
    <b v="0"/>
    <x v="0"/>
    <n v="4"/>
    <x v="5"/>
    <x v="1"/>
    <n v="2"/>
    <x v="1"/>
    <n v="0.14000000000000001"/>
    <n v="0.16669999999999999"/>
    <n v="0.63"/>
    <n v="0.1045"/>
    <n v="0"/>
    <n v="36"/>
    <n v="36"/>
    <n v="-0.64378142061299781"/>
    <x v="0"/>
    <n v="-0.36294758673445349"/>
    <x v="0"/>
  </r>
  <r>
    <n v="122"/>
    <d v="2011-01-06T00:00:00"/>
    <n v="1"/>
    <x v="0"/>
    <x v="7"/>
    <x v="1"/>
    <b v="0"/>
    <x v="0"/>
    <n v="4"/>
    <x v="5"/>
    <x v="1"/>
    <n v="2"/>
    <x v="1"/>
    <n v="0.16"/>
    <n v="0.2273"/>
    <n v="0.59"/>
    <n v="0"/>
    <n v="0"/>
    <n v="95"/>
    <n v="95"/>
    <n v="-0.64378142061299781"/>
    <x v="0"/>
    <n v="0.86894032774134189"/>
    <x v="0"/>
  </r>
  <r>
    <n v="123"/>
    <d v="2011-01-06T00:00:00"/>
    <n v="1"/>
    <x v="0"/>
    <x v="8"/>
    <x v="2"/>
    <b v="0"/>
    <x v="0"/>
    <n v="4"/>
    <x v="5"/>
    <x v="1"/>
    <n v="1"/>
    <x v="0"/>
    <n v="0.16"/>
    <n v="0.2273"/>
    <n v="0.59"/>
    <n v="0"/>
    <n v="3"/>
    <n v="216"/>
    <n v="219"/>
    <n v="-0.25131154419783963"/>
    <x v="0"/>
    <n v="3.3953545252256001"/>
    <x v="1"/>
  </r>
  <r>
    <n v="124"/>
    <d v="2011-01-06T00:00:00"/>
    <n v="1"/>
    <x v="0"/>
    <x v="9"/>
    <x v="2"/>
    <b v="0"/>
    <x v="0"/>
    <n v="4"/>
    <x v="5"/>
    <x v="1"/>
    <n v="2"/>
    <x v="1"/>
    <n v="0.18"/>
    <n v="0.2424"/>
    <n v="0.51"/>
    <n v="0"/>
    <n v="6"/>
    <n v="116"/>
    <n v="122"/>
    <n v="0.14115833221731852"/>
    <x v="0"/>
    <n v="1.3074089074700148"/>
    <x v="0"/>
  </r>
  <r>
    <n v="125"/>
    <d v="2011-01-06T00:00:00"/>
    <n v="1"/>
    <x v="0"/>
    <x v="10"/>
    <x v="2"/>
    <b v="0"/>
    <x v="0"/>
    <n v="4"/>
    <x v="5"/>
    <x v="1"/>
    <n v="1"/>
    <x v="0"/>
    <n v="0.2"/>
    <n v="0.2576"/>
    <n v="0.47"/>
    <n v="0"/>
    <n v="3"/>
    <n v="42"/>
    <n v="45"/>
    <n v="-0.25131154419783963"/>
    <x v="0"/>
    <n v="-0.23767084966911833"/>
    <x v="0"/>
  </r>
  <r>
    <n v="126"/>
    <d v="2011-01-06T00:00:00"/>
    <n v="1"/>
    <x v="0"/>
    <x v="11"/>
    <x v="2"/>
    <b v="0"/>
    <x v="0"/>
    <n v="4"/>
    <x v="5"/>
    <x v="1"/>
    <n v="1"/>
    <x v="0"/>
    <n v="0.22"/>
    <n v="0.2576"/>
    <n v="0.44"/>
    <n v="8.9599999999999999E-2"/>
    <n v="2"/>
    <n v="57"/>
    <n v="59"/>
    <n v="-0.38213483633622569"/>
    <x v="0"/>
    <n v="7.5520992994219466E-2"/>
    <x v="0"/>
  </r>
  <r>
    <n v="127"/>
    <d v="2011-01-06T00:00:00"/>
    <n v="1"/>
    <x v="0"/>
    <x v="12"/>
    <x v="3"/>
    <b v="0"/>
    <x v="0"/>
    <n v="4"/>
    <x v="5"/>
    <x v="1"/>
    <n v="1"/>
    <x v="0"/>
    <n v="0.26"/>
    <n v="0.28789999999999999"/>
    <n v="0.35"/>
    <n v="0"/>
    <n v="6"/>
    <n v="78"/>
    <n v="84"/>
    <n v="0.14115833221731852"/>
    <x v="0"/>
    <n v="0.51398957272289236"/>
    <x v="0"/>
  </r>
  <r>
    <n v="128"/>
    <d v="2011-01-06T00:00:00"/>
    <n v="1"/>
    <x v="0"/>
    <x v="13"/>
    <x v="3"/>
    <b v="0"/>
    <x v="0"/>
    <n v="4"/>
    <x v="5"/>
    <x v="1"/>
    <n v="1"/>
    <x v="0"/>
    <n v="0.26"/>
    <n v="0.2727"/>
    <n v="0.35"/>
    <n v="0.1045"/>
    <n v="12"/>
    <n v="55"/>
    <n v="67"/>
    <n v="0.92609808504763491"/>
    <x v="0"/>
    <n v="3.376208063910776E-2"/>
    <x v="0"/>
  </r>
  <r>
    <n v="129"/>
    <d v="2011-01-06T00:00:00"/>
    <n v="1"/>
    <x v="0"/>
    <x v="14"/>
    <x v="3"/>
    <b v="0"/>
    <x v="0"/>
    <n v="4"/>
    <x v="5"/>
    <x v="1"/>
    <n v="1"/>
    <x v="0"/>
    <n v="0.28000000000000003"/>
    <n v="0.2727"/>
    <n v="0.36"/>
    <n v="0.16420000000000001"/>
    <n v="11"/>
    <n v="59"/>
    <n v="70"/>
    <n v="0.79527479290924885"/>
    <x v="0"/>
    <n v="0.11727990534933118"/>
    <x v="0"/>
  </r>
  <r>
    <n v="130"/>
    <d v="2011-01-06T00:00:00"/>
    <n v="1"/>
    <x v="0"/>
    <x v="15"/>
    <x v="3"/>
    <b v="0"/>
    <x v="0"/>
    <n v="4"/>
    <x v="5"/>
    <x v="1"/>
    <n v="1"/>
    <x v="0"/>
    <n v="0.28000000000000003"/>
    <n v="0.2727"/>
    <n v="0.36"/>
    <n v="0"/>
    <n v="8"/>
    <n v="54"/>
    <n v="62"/>
    <n v="0.40280491649409061"/>
    <x v="0"/>
    <n v="1.2882624461551907E-2"/>
    <x v="0"/>
  </r>
  <r>
    <n v="131"/>
    <d v="2011-01-06T00:00:00"/>
    <n v="1"/>
    <x v="0"/>
    <x v="16"/>
    <x v="3"/>
    <b v="0"/>
    <x v="0"/>
    <n v="4"/>
    <x v="5"/>
    <x v="1"/>
    <n v="1"/>
    <x v="0"/>
    <n v="0.26"/>
    <n v="0.2576"/>
    <n v="0.38"/>
    <n v="0.16420000000000001"/>
    <n v="12"/>
    <n v="74"/>
    <n v="86"/>
    <n v="0.92609808504763491"/>
    <x v="0"/>
    <n v="0.43047174801266896"/>
    <x v="0"/>
  </r>
  <r>
    <n v="132"/>
    <d v="2011-01-06T00:00:00"/>
    <n v="1"/>
    <x v="0"/>
    <x v="17"/>
    <x v="4"/>
    <b v="0"/>
    <x v="0"/>
    <n v="4"/>
    <x v="5"/>
    <x v="1"/>
    <n v="1"/>
    <x v="0"/>
    <n v="0.22"/>
    <n v="0.2273"/>
    <n v="0.51"/>
    <n v="0.16420000000000001"/>
    <n v="9"/>
    <n v="163"/>
    <n v="172"/>
    <n v="0.53362820863247673"/>
    <x v="0"/>
    <n v="2.28874334781514"/>
    <x v="1"/>
  </r>
  <r>
    <n v="133"/>
    <d v="2011-01-06T00:00:00"/>
    <n v="1"/>
    <x v="0"/>
    <x v="18"/>
    <x v="4"/>
    <b v="0"/>
    <x v="0"/>
    <n v="4"/>
    <x v="5"/>
    <x v="1"/>
    <n v="1"/>
    <x v="0"/>
    <n v="0.22"/>
    <n v="0.2273"/>
    <n v="0.51"/>
    <n v="0.1343"/>
    <n v="5"/>
    <n v="158"/>
    <n v="163"/>
    <n v="1.0335040078932463E-2"/>
    <x v="0"/>
    <n v="2.1843460669273607"/>
    <x v="1"/>
  </r>
  <r>
    <n v="134"/>
    <d v="2011-01-06T00:00:00"/>
    <n v="1"/>
    <x v="0"/>
    <x v="19"/>
    <x v="4"/>
    <b v="0"/>
    <x v="0"/>
    <n v="4"/>
    <x v="5"/>
    <x v="1"/>
    <n v="1"/>
    <x v="0"/>
    <n v="0.22"/>
    <n v="0.2576"/>
    <n v="0.55000000000000004"/>
    <n v="8.9599999999999999E-2"/>
    <n v="3"/>
    <n v="109"/>
    <n v="112"/>
    <n v="-0.25131154419783963"/>
    <x v="0"/>
    <n v="1.1612527142271238"/>
    <x v="0"/>
  </r>
  <r>
    <n v="135"/>
    <d v="2011-01-06T00:00:00"/>
    <n v="1"/>
    <x v="0"/>
    <x v="20"/>
    <x v="4"/>
    <b v="0"/>
    <x v="0"/>
    <n v="4"/>
    <x v="5"/>
    <x v="1"/>
    <n v="1"/>
    <x v="0"/>
    <n v="0.2"/>
    <n v="0.21210000000000001"/>
    <n v="0.51"/>
    <n v="0.16420000000000001"/>
    <n v="3"/>
    <n v="66"/>
    <n v="69"/>
    <n v="-0.25131154419783963"/>
    <x v="0"/>
    <n v="0.26343609859222217"/>
    <x v="0"/>
  </r>
  <r>
    <n v="136"/>
    <d v="2011-01-06T00:00:00"/>
    <n v="1"/>
    <x v="0"/>
    <x v="21"/>
    <x v="0"/>
    <b v="0"/>
    <x v="0"/>
    <n v="4"/>
    <x v="5"/>
    <x v="1"/>
    <n v="2"/>
    <x v="1"/>
    <n v="0.22"/>
    <n v="0.21210000000000001"/>
    <n v="0.55000000000000004"/>
    <n v="0.22389999999999999"/>
    <n v="0"/>
    <n v="48"/>
    <n v="48"/>
    <n v="-0.64378142061299781"/>
    <x v="0"/>
    <n v="-0.11239411260378322"/>
    <x v="0"/>
  </r>
  <r>
    <n v="137"/>
    <d v="2011-01-06T00:00:00"/>
    <n v="1"/>
    <x v="0"/>
    <x v="22"/>
    <x v="0"/>
    <b v="0"/>
    <x v="0"/>
    <n v="4"/>
    <x v="5"/>
    <x v="1"/>
    <n v="2"/>
    <x v="1"/>
    <n v="0.22"/>
    <n v="0.21210000000000001"/>
    <n v="0.51"/>
    <n v="0.28360000000000002"/>
    <n v="1"/>
    <n v="51"/>
    <n v="52"/>
    <n v="-0.51295812847461175"/>
    <x v="0"/>
    <n v="-4.9755744071115653E-2"/>
    <x v="0"/>
  </r>
  <r>
    <n v="138"/>
    <d v="2011-01-06T00:00:00"/>
    <n v="1"/>
    <x v="0"/>
    <x v="23"/>
    <x v="0"/>
    <b v="0"/>
    <x v="0"/>
    <n v="4"/>
    <x v="5"/>
    <x v="1"/>
    <n v="2"/>
    <x v="1"/>
    <n v="0.2"/>
    <n v="0.19700000000000001"/>
    <n v="0.59"/>
    <n v="0.19400000000000001"/>
    <n v="4"/>
    <n v="19"/>
    <n v="23"/>
    <n v="-0.1204882520594536"/>
    <x v="0"/>
    <n v="-0.71789834175290301"/>
    <x v="0"/>
  </r>
  <r>
    <n v="139"/>
    <d v="2011-01-07T00:00:00"/>
    <n v="1"/>
    <x v="0"/>
    <x v="0"/>
    <x v="0"/>
    <b v="0"/>
    <x v="0"/>
    <n v="5"/>
    <x v="6"/>
    <x v="1"/>
    <n v="2"/>
    <x v="1"/>
    <n v="0.2"/>
    <n v="0.19700000000000001"/>
    <n v="0.64"/>
    <n v="0.19400000000000001"/>
    <n v="4"/>
    <n v="13"/>
    <n v="17"/>
    <n v="-0.1204882520594536"/>
    <x v="0"/>
    <n v="-0.84317507881823806"/>
    <x v="0"/>
  </r>
  <r>
    <n v="140"/>
    <d v="2011-01-07T00:00:00"/>
    <n v="1"/>
    <x v="0"/>
    <x v="1"/>
    <x v="0"/>
    <b v="0"/>
    <x v="0"/>
    <n v="5"/>
    <x v="6"/>
    <x v="1"/>
    <n v="2"/>
    <x v="1"/>
    <n v="0.2"/>
    <n v="0.19700000000000001"/>
    <n v="0.69"/>
    <n v="0.22389999999999999"/>
    <n v="2"/>
    <n v="5"/>
    <n v="7"/>
    <n v="-0.38213483633622569"/>
    <x v="0"/>
    <n v="-1.010210728238685"/>
    <x v="0"/>
  </r>
  <r>
    <n v="141"/>
    <d v="2011-01-07T00:00:00"/>
    <n v="1"/>
    <x v="0"/>
    <x v="2"/>
    <x v="0"/>
    <b v="0"/>
    <x v="0"/>
    <n v="5"/>
    <x v="6"/>
    <x v="1"/>
    <n v="2"/>
    <x v="1"/>
    <n v="0.2"/>
    <n v="0.19700000000000001"/>
    <n v="0.69"/>
    <n v="0.22389999999999999"/>
    <n v="0"/>
    <n v="1"/>
    <n v="1"/>
    <n v="-0.64378142061299781"/>
    <x v="0"/>
    <n v="-1.0937285529489083"/>
    <x v="0"/>
  </r>
  <r>
    <n v="142"/>
    <d v="2011-01-07T00:00:00"/>
    <n v="1"/>
    <x v="0"/>
    <x v="4"/>
    <x v="0"/>
    <b v="0"/>
    <x v="0"/>
    <n v="5"/>
    <x v="6"/>
    <x v="1"/>
    <n v="2"/>
    <x v="1"/>
    <n v="0.2"/>
    <n v="0.21210000000000001"/>
    <n v="0.69"/>
    <n v="0.1343"/>
    <n v="0"/>
    <n v="1"/>
    <n v="1"/>
    <n v="-0.64378142061299781"/>
    <x v="0"/>
    <n v="-1.0937285529489083"/>
    <x v="0"/>
  </r>
  <r>
    <n v="143"/>
    <d v="2011-01-07T00:00:00"/>
    <n v="1"/>
    <x v="0"/>
    <x v="5"/>
    <x v="1"/>
    <b v="0"/>
    <x v="0"/>
    <n v="5"/>
    <x v="6"/>
    <x v="1"/>
    <n v="3"/>
    <x v="2"/>
    <n v="0.22"/>
    <n v="0.2727"/>
    <n v="0.55000000000000004"/>
    <n v="0"/>
    <n v="0"/>
    <n v="5"/>
    <n v="5"/>
    <n v="-0.64378142061299781"/>
    <x v="0"/>
    <n v="-1.010210728238685"/>
    <x v="0"/>
  </r>
  <r>
    <n v="144"/>
    <d v="2011-01-07T00:00:00"/>
    <n v="1"/>
    <x v="0"/>
    <x v="6"/>
    <x v="1"/>
    <b v="0"/>
    <x v="0"/>
    <n v="5"/>
    <x v="6"/>
    <x v="1"/>
    <n v="2"/>
    <x v="1"/>
    <n v="0.2"/>
    <n v="0.2576"/>
    <n v="0.69"/>
    <n v="0"/>
    <n v="8"/>
    <n v="26"/>
    <n v="34"/>
    <n v="0.40280491649409061"/>
    <x v="0"/>
    <n v="-0.57174214851001204"/>
    <x v="0"/>
  </r>
  <r>
    <n v="145"/>
    <d v="2011-01-07T00:00:00"/>
    <n v="1"/>
    <x v="0"/>
    <x v="7"/>
    <x v="1"/>
    <b v="0"/>
    <x v="0"/>
    <n v="5"/>
    <x v="6"/>
    <x v="1"/>
    <n v="1"/>
    <x v="0"/>
    <n v="0.2"/>
    <n v="0.21210000000000001"/>
    <n v="0.69"/>
    <n v="0.1343"/>
    <n v="8"/>
    <n v="76"/>
    <n v="84"/>
    <n v="0.40280491649409061"/>
    <x v="0"/>
    <n v="0.47223066036778072"/>
    <x v="0"/>
  </r>
  <r>
    <n v="146"/>
    <d v="2011-01-07T00:00:00"/>
    <n v="1"/>
    <x v="0"/>
    <x v="8"/>
    <x v="2"/>
    <b v="0"/>
    <x v="0"/>
    <n v="5"/>
    <x v="6"/>
    <x v="1"/>
    <n v="1"/>
    <x v="0"/>
    <n v="0.2"/>
    <n v="0.19700000000000001"/>
    <n v="0.51"/>
    <n v="0.25369999999999998"/>
    <n v="20"/>
    <n v="190"/>
    <n v="210"/>
    <n v="1.9726844221547235"/>
    <x v="0"/>
    <n v="2.8524886646091479"/>
    <x v="1"/>
  </r>
  <r>
    <n v="147"/>
    <d v="2011-01-07T00:00:00"/>
    <n v="1"/>
    <x v="0"/>
    <x v="9"/>
    <x v="2"/>
    <b v="0"/>
    <x v="0"/>
    <n v="5"/>
    <x v="6"/>
    <x v="1"/>
    <n v="1"/>
    <x v="0"/>
    <n v="0.2"/>
    <n v="0.18179999999999999"/>
    <n v="0.47"/>
    <n v="0.29849999999999999"/>
    <n v="9"/>
    <n v="125"/>
    <n v="134"/>
    <n v="0.53362820863247673"/>
    <x v="0"/>
    <n v="1.4953240130680174"/>
    <x v="0"/>
  </r>
  <r>
    <n v="148"/>
    <d v="2011-01-07T00:00:00"/>
    <n v="1"/>
    <x v="0"/>
    <x v="10"/>
    <x v="2"/>
    <b v="0"/>
    <x v="0"/>
    <n v="5"/>
    <x v="6"/>
    <x v="1"/>
    <n v="1"/>
    <x v="0"/>
    <n v="0.22"/>
    <n v="0.19700000000000001"/>
    <n v="0.37"/>
    <n v="0.32840000000000003"/>
    <n v="16"/>
    <n v="47"/>
    <n v="63"/>
    <n v="1.4493912536011793"/>
    <x v="0"/>
    <n v="-0.13327356878133906"/>
    <x v="0"/>
  </r>
  <r>
    <n v="149"/>
    <d v="2011-01-07T00:00:00"/>
    <n v="1"/>
    <x v="0"/>
    <x v="11"/>
    <x v="2"/>
    <b v="0"/>
    <x v="0"/>
    <n v="5"/>
    <x v="6"/>
    <x v="1"/>
    <n v="2"/>
    <x v="1"/>
    <n v="0.2"/>
    <n v="0.19700000000000001"/>
    <n v="0.4"/>
    <n v="0.22389999999999999"/>
    <n v="19"/>
    <n v="48"/>
    <n v="67"/>
    <n v="1.8418611300163374"/>
    <x v="0"/>
    <n v="-0.11239411260378322"/>
    <x v="0"/>
  </r>
  <r>
    <n v="150"/>
    <d v="2011-01-07T00:00:00"/>
    <n v="1"/>
    <x v="0"/>
    <x v="12"/>
    <x v="3"/>
    <b v="0"/>
    <x v="0"/>
    <n v="5"/>
    <x v="6"/>
    <x v="1"/>
    <n v="2"/>
    <x v="1"/>
    <n v="0.2"/>
    <n v="0.19700000000000001"/>
    <n v="0.37"/>
    <n v="0.25369999999999998"/>
    <n v="9"/>
    <n v="50"/>
    <n v="59"/>
    <n v="0.53362820863247673"/>
    <x v="0"/>
    <n v="-7.0635200248671509E-2"/>
    <x v="0"/>
  </r>
  <r>
    <n v="151"/>
    <d v="2011-01-07T00:00:00"/>
    <n v="1"/>
    <x v="0"/>
    <x v="13"/>
    <x v="3"/>
    <b v="0"/>
    <x v="0"/>
    <n v="5"/>
    <x v="6"/>
    <x v="1"/>
    <n v="2"/>
    <x v="1"/>
    <n v="0.2"/>
    <n v="0.18179999999999999"/>
    <n v="0.37"/>
    <n v="0.28360000000000002"/>
    <n v="9"/>
    <n v="64"/>
    <n v="73"/>
    <n v="0.53362820863247673"/>
    <x v="0"/>
    <n v="0.22167718623711044"/>
    <x v="0"/>
  </r>
  <r>
    <n v="152"/>
    <d v="2011-01-07T00:00:00"/>
    <n v="1"/>
    <x v="0"/>
    <x v="14"/>
    <x v="3"/>
    <b v="0"/>
    <x v="0"/>
    <n v="5"/>
    <x v="6"/>
    <x v="1"/>
    <n v="2"/>
    <x v="1"/>
    <n v="0.2"/>
    <n v="0.19700000000000001"/>
    <n v="0.4"/>
    <n v="0.25369999999999998"/>
    <n v="7"/>
    <n v="43"/>
    <n v="50"/>
    <n v="0.27198162435570455"/>
    <x v="0"/>
    <n v="-0.21679139349156248"/>
    <x v="0"/>
  </r>
  <r>
    <n v="153"/>
    <d v="2011-01-07T00:00:00"/>
    <n v="1"/>
    <x v="0"/>
    <x v="15"/>
    <x v="3"/>
    <b v="0"/>
    <x v="0"/>
    <n v="5"/>
    <x v="6"/>
    <x v="1"/>
    <n v="2"/>
    <x v="1"/>
    <n v="0.2"/>
    <n v="0.21210000000000001"/>
    <n v="0.37"/>
    <n v="0.16420000000000001"/>
    <n v="9"/>
    <n v="63"/>
    <n v="72"/>
    <n v="0.53362820863247673"/>
    <x v="0"/>
    <n v="0.20079773005955459"/>
    <x v="0"/>
  </r>
  <r>
    <n v="154"/>
    <d v="2011-01-07T00:00:00"/>
    <n v="1"/>
    <x v="0"/>
    <x v="16"/>
    <x v="3"/>
    <b v="0"/>
    <x v="0"/>
    <n v="5"/>
    <x v="6"/>
    <x v="1"/>
    <n v="2"/>
    <x v="1"/>
    <n v="0.2"/>
    <n v="0.21210000000000001"/>
    <n v="0.37"/>
    <n v="0.16420000000000001"/>
    <n v="5"/>
    <n v="82"/>
    <n v="87"/>
    <n v="1.0335040078932463E-2"/>
    <x v="0"/>
    <n v="0.59750739743311576"/>
    <x v="0"/>
  </r>
  <r>
    <n v="155"/>
    <d v="2011-01-07T00:00:00"/>
    <n v="1"/>
    <x v="0"/>
    <x v="17"/>
    <x v="4"/>
    <b v="0"/>
    <x v="0"/>
    <n v="5"/>
    <x v="6"/>
    <x v="1"/>
    <n v="2"/>
    <x v="1"/>
    <n v="0.2"/>
    <n v="0.2576"/>
    <n v="0.37"/>
    <n v="0"/>
    <n v="9"/>
    <n v="178"/>
    <n v="187"/>
    <n v="0.53362820863247673"/>
    <x v="0"/>
    <n v="2.6019351904784775"/>
    <x v="1"/>
  </r>
  <r>
    <n v="156"/>
    <d v="2011-01-07T00:00:00"/>
    <n v="1"/>
    <x v="0"/>
    <x v="18"/>
    <x v="4"/>
    <b v="0"/>
    <x v="0"/>
    <n v="5"/>
    <x v="6"/>
    <x v="1"/>
    <n v="1"/>
    <x v="0"/>
    <n v="0.2"/>
    <n v="0.2273"/>
    <n v="0.4"/>
    <n v="8.9599999999999999E-2"/>
    <n v="7"/>
    <n v="116"/>
    <n v="123"/>
    <n v="0.27198162435570455"/>
    <x v="0"/>
    <n v="1.3074089074700148"/>
    <x v="0"/>
  </r>
  <r>
    <n v="157"/>
    <d v="2011-01-07T00:00:00"/>
    <n v="1"/>
    <x v="0"/>
    <x v="19"/>
    <x v="4"/>
    <b v="0"/>
    <x v="0"/>
    <n v="5"/>
    <x v="6"/>
    <x v="1"/>
    <n v="1"/>
    <x v="0"/>
    <n v="0.16"/>
    <n v="0.19700000000000001"/>
    <n v="0.55000000000000004"/>
    <n v="8.9599999999999999E-2"/>
    <n v="3"/>
    <n v="92"/>
    <n v="95"/>
    <n v="-0.25131154419783963"/>
    <x v="0"/>
    <n v="0.80630195920867431"/>
    <x v="0"/>
  </r>
  <r>
    <n v="158"/>
    <d v="2011-01-07T00:00:00"/>
    <n v="1"/>
    <x v="0"/>
    <x v="20"/>
    <x v="4"/>
    <b v="0"/>
    <x v="0"/>
    <n v="5"/>
    <x v="6"/>
    <x v="1"/>
    <n v="1"/>
    <x v="0"/>
    <n v="0.18"/>
    <n v="0.21210000000000001"/>
    <n v="0.47"/>
    <n v="0.1045"/>
    <n v="1"/>
    <n v="50"/>
    <n v="51"/>
    <n v="-0.51295812847461175"/>
    <x v="0"/>
    <n v="-7.0635200248671509E-2"/>
    <x v="0"/>
  </r>
  <r>
    <n v="159"/>
    <d v="2011-01-07T00:00:00"/>
    <n v="1"/>
    <x v="0"/>
    <x v="21"/>
    <x v="0"/>
    <b v="0"/>
    <x v="0"/>
    <n v="5"/>
    <x v="6"/>
    <x v="1"/>
    <n v="1"/>
    <x v="0"/>
    <n v="0.18"/>
    <n v="0.19700000000000001"/>
    <n v="0.47"/>
    <n v="0.1343"/>
    <n v="0"/>
    <n v="39"/>
    <n v="39"/>
    <n v="-0.64378142061299781"/>
    <x v="0"/>
    <n v="-0.30030921820178591"/>
    <x v="0"/>
  </r>
  <r>
    <n v="160"/>
    <d v="2011-01-07T00:00:00"/>
    <n v="1"/>
    <x v="0"/>
    <x v="22"/>
    <x v="0"/>
    <b v="0"/>
    <x v="0"/>
    <n v="5"/>
    <x v="6"/>
    <x v="1"/>
    <n v="2"/>
    <x v="1"/>
    <n v="0.18"/>
    <n v="0.19700000000000001"/>
    <n v="0.43"/>
    <n v="0.16420000000000001"/>
    <n v="2"/>
    <n v="34"/>
    <n v="36"/>
    <n v="-0.38213483633622569"/>
    <x v="0"/>
    <n v="-0.40470649908956519"/>
    <x v="0"/>
  </r>
  <r>
    <n v="161"/>
    <d v="2011-01-07T00:00:00"/>
    <n v="1"/>
    <x v="0"/>
    <x v="23"/>
    <x v="0"/>
    <b v="0"/>
    <x v="0"/>
    <n v="5"/>
    <x v="6"/>
    <x v="1"/>
    <n v="2"/>
    <x v="1"/>
    <n v="0.18"/>
    <n v="0.19700000000000001"/>
    <n v="0.51"/>
    <n v="0.16420000000000001"/>
    <n v="1"/>
    <n v="14"/>
    <n v="15"/>
    <n v="-0.51295812847461175"/>
    <x v="0"/>
    <n v="-0.82229562264068223"/>
    <x v="0"/>
  </r>
  <r>
    <n v="162"/>
    <d v="2011-01-08T00:00:00"/>
    <n v="1"/>
    <x v="0"/>
    <x v="0"/>
    <x v="0"/>
    <b v="0"/>
    <x v="0"/>
    <n v="6"/>
    <x v="0"/>
    <x v="0"/>
    <n v="2"/>
    <x v="1"/>
    <n v="0.18"/>
    <n v="0.19700000000000001"/>
    <n v="0.51"/>
    <n v="0.16420000000000001"/>
    <n v="1"/>
    <n v="24"/>
    <n v="25"/>
    <n v="-0.51295812847461175"/>
    <x v="0"/>
    <n v="-0.61350106086512368"/>
    <x v="0"/>
  </r>
  <r>
    <n v="163"/>
    <d v="2011-01-08T00:00:00"/>
    <n v="1"/>
    <x v="0"/>
    <x v="1"/>
    <x v="0"/>
    <b v="0"/>
    <x v="0"/>
    <n v="6"/>
    <x v="0"/>
    <x v="0"/>
    <n v="2"/>
    <x v="1"/>
    <n v="0.18"/>
    <n v="0.21210000000000001"/>
    <n v="0.55000000000000004"/>
    <n v="8.9599999999999999E-2"/>
    <n v="1"/>
    <n v="15"/>
    <n v="16"/>
    <n v="-0.51295812847461175"/>
    <x v="0"/>
    <n v="-0.80141616646312641"/>
    <x v="0"/>
  </r>
  <r>
    <n v="164"/>
    <d v="2011-01-08T00:00:00"/>
    <n v="1"/>
    <x v="0"/>
    <x v="2"/>
    <x v="0"/>
    <b v="0"/>
    <x v="0"/>
    <n v="6"/>
    <x v="0"/>
    <x v="0"/>
    <n v="2"/>
    <x v="1"/>
    <n v="0.18"/>
    <n v="0.2424"/>
    <n v="0.55000000000000004"/>
    <n v="0"/>
    <n v="3"/>
    <n v="13"/>
    <n v="16"/>
    <n v="-0.25131154419783963"/>
    <x v="0"/>
    <n v="-0.84317507881823806"/>
    <x v="0"/>
  </r>
  <r>
    <n v="165"/>
    <d v="2011-01-08T00:00:00"/>
    <n v="1"/>
    <x v="0"/>
    <x v="3"/>
    <x v="0"/>
    <b v="0"/>
    <x v="0"/>
    <n v="6"/>
    <x v="0"/>
    <x v="0"/>
    <n v="3"/>
    <x v="2"/>
    <n v="0.18"/>
    <n v="0.19700000000000001"/>
    <n v="0.55000000000000004"/>
    <n v="0.16420000000000001"/>
    <n v="0"/>
    <n v="7"/>
    <n v="7"/>
    <n v="-0.64378142061299781"/>
    <x v="0"/>
    <n v="-0.96845181588357321"/>
    <x v="0"/>
  </r>
  <r>
    <n v="166"/>
    <d v="2011-01-08T00:00:00"/>
    <n v="1"/>
    <x v="0"/>
    <x v="4"/>
    <x v="0"/>
    <b v="0"/>
    <x v="0"/>
    <n v="6"/>
    <x v="0"/>
    <x v="0"/>
    <n v="3"/>
    <x v="2"/>
    <n v="0.18"/>
    <n v="0.19700000000000001"/>
    <n v="0.55000000000000004"/>
    <n v="0.16420000000000001"/>
    <n v="0"/>
    <n v="1"/>
    <n v="1"/>
    <n v="-0.64378142061299781"/>
    <x v="0"/>
    <n v="-1.0937285529489083"/>
    <x v="0"/>
  </r>
  <r>
    <n v="167"/>
    <d v="2011-01-08T00:00:00"/>
    <n v="1"/>
    <x v="0"/>
    <x v="5"/>
    <x v="1"/>
    <b v="0"/>
    <x v="0"/>
    <n v="6"/>
    <x v="0"/>
    <x v="0"/>
    <n v="2"/>
    <x v="1"/>
    <n v="0.16"/>
    <n v="0.16669999999999999"/>
    <n v="0.74"/>
    <n v="0.16420000000000001"/>
    <n v="0"/>
    <n v="5"/>
    <n v="5"/>
    <n v="-0.64378142061299781"/>
    <x v="0"/>
    <n v="-1.010210728238685"/>
    <x v="0"/>
  </r>
  <r>
    <n v="168"/>
    <d v="2011-01-08T00:00:00"/>
    <n v="1"/>
    <x v="0"/>
    <x v="6"/>
    <x v="1"/>
    <b v="0"/>
    <x v="0"/>
    <n v="6"/>
    <x v="0"/>
    <x v="0"/>
    <n v="2"/>
    <x v="1"/>
    <n v="0.16"/>
    <n v="0.16669999999999999"/>
    <n v="0.74"/>
    <n v="0.16420000000000001"/>
    <n v="0"/>
    <n v="2"/>
    <n v="2"/>
    <n v="-0.64378142061299781"/>
    <x v="0"/>
    <n v="-1.0728490967713524"/>
    <x v="0"/>
  </r>
  <r>
    <n v="169"/>
    <d v="2011-01-08T00:00:00"/>
    <n v="1"/>
    <x v="0"/>
    <x v="7"/>
    <x v="1"/>
    <b v="0"/>
    <x v="0"/>
    <n v="6"/>
    <x v="0"/>
    <x v="0"/>
    <n v="2"/>
    <x v="1"/>
    <n v="0.16"/>
    <n v="0.18179999999999999"/>
    <n v="0.74"/>
    <n v="0.1045"/>
    <n v="1"/>
    <n v="8"/>
    <n v="9"/>
    <n v="-0.51295812847461175"/>
    <x v="0"/>
    <n v="-0.94757235970601739"/>
    <x v="0"/>
  </r>
  <r>
    <n v="170"/>
    <d v="2011-01-08T00:00:00"/>
    <n v="1"/>
    <x v="0"/>
    <x v="8"/>
    <x v="2"/>
    <b v="0"/>
    <x v="0"/>
    <n v="6"/>
    <x v="0"/>
    <x v="0"/>
    <n v="3"/>
    <x v="2"/>
    <n v="0.16"/>
    <n v="0.18179999999999999"/>
    <n v="0.93"/>
    <n v="0.1045"/>
    <n v="0"/>
    <n v="15"/>
    <n v="15"/>
    <n v="-0.64378142061299781"/>
    <x v="0"/>
    <n v="-0.80141616646312641"/>
    <x v="0"/>
  </r>
  <r>
    <n v="171"/>
    <d v="2011-01-08T00:00:00"/>
    <n v="1"/>
    <x v="0"/>
    <x v="9"/>
    <x v="2"/>
    <b v="0"/>
    <x v="0"/>
    <n v="6"/>
    <x v="0"/>
    <x v="0"/>
    <n v="3"/>
    <x v="2"/>
    <n v="0.16"/>
    <n v="0.18179999999999999"/>
    <n v="0.93"/>
    <n v="0.1045"/>
    <n v="0"/>
    <n v="20"/>
    <n v="20"/>
    <n v="-0.64378142061299781"/>
    <x v="0"/>
    <n v="-0.69701888557534708"/>
    <x v="0"/>
  </r>
  <r>
    <n v="172"/>
    <d v="2011-01-08T00:00:00"/>
    <n v="1"/>
    <x v="0"/>
    <x v="10"/>
    <x v="2"/>
    <b v="0"/>
    <x v="0"/>
    <n v="6"/>
    <x v="0"/>
    <x v="0"/>
    <n v="2"/>
    <x v="1"/>
    <n v="0.18"/>
    <n v="0.19700000000000001"/>
    <n v="0.8"/>
    <n v="0.16420000000000001"/>
    <n v="5"/>
    <n v="56"/>
    <n v="61"/>
    <n v="1.0335040078932463E-2"/>
    <x v="0"/>
    <n v="5.4641536816663616E-2"/>
    <x v="0"/>
  </r>
  <r>
    <n v="173"/>
    <d v="2011-01-08T00:00:00"/>
    <n v="1"/>
    <x v="0"/>
    <x v="11"/>
    <x v="2"/>
    <b v="0"/>
    <x v="0"/>
    <n v="6"/>
    <x v="0"/>
    <x v="0"/>
    <n v="2"/>
    <x v="1"/>
    <n v="0.2"/>
    <n v="0.18179999999999999"/>
    <n v="0.69"/>
    <n v="0.3881"/>
    <n v="2"/>
    <n v="60"/>
    <n v="62"/>
    <n v="-0.38213483633622569"/>
    <x v="0"/>
    <n v="0.13815936152688704"/>
    <x v="0"/>
  </r>
  <r>
    <n v="174"/>
    <d v="2011-01-08T00:00:00"/>
    <n v="1"/>
    <x v="0"/>
    <x v="12"/>
    <x v="3"/>
    <b v="0"/>
    <x v="0"/>
    <n v="6"/>
    <x v="0"/>
    <x v="0"/>
    <n v="2"/>
    <x v="1"/>
    <n v="0.2"/>
    <n v="0.18179999999999999"/>
    <n v="0.59"/>
    <n v="0.35820000000000002"/>
    <n v="8"/>
    <n v="90"/>
    <n v="98"/>
    <n v="0.40280491649409061"/>
    <x v="0"/>
    <n v="0.76454304685356267"/>
    <x v="0"/>
  </r>
  <r>
    <n v="175"/>
    <d v="2011-01-08T00:00:00"/>
    <n v="1"/>
    <x v="0"/>
    <x v="13"/>
    <x v="3"/>
    <b v="0"/>
    <x v="0"/>
    <n v="6"/>
    <x v="0"/>
    <x v="0"/>
    <n v="1"/>
    <x v="0"/>
    <n v="0.2"/>
    <n v="0.18179999999999999"/>
    <n v="0.44"/>
    <n v="0.32840000000000003"/>
    <n v="7"/>
    <n v="95"/>
    <n v="102"/>
    <n v="0.27198162435570455"/>
    <x v="0"/>
    <n v="0.86894032774134189"/>
    <x v="0"/>
  </r>
  <r>
    <n v="176"/>
    <d v="2011-01-08T00:00:00"/>
    <n v="1"/>
    <x v="0"/>
    <x v="14"/>
    <x v="3"/>
    <b v="0"/>
    <x v="0"/>
    <n v="6"/>
    <x v="0"/>
    <x v="0"/>
    <n v="1"/>
    <x v="0"/>
    <n v="0.2"/>
    <n v="0.16669999999999999"/>
    <n v="0.32"/>
    <n v="0.49249999999999999"/>
    <n v="12"/>
    <n v="83"/>
    <n v="95"/>
    <n v="0.92609808504763491"/>
    <x v="0"/>
    <n v="0.61838685361067169"/>
    <x v="0"/>
  </r>
  <r>
    <n v="177"/>
    <d v="2011-01-08T00:00:00"/>
    <n v="1"/>
    <x v="0"/>
    <x v="15"/>
    <x v="3"/>
    <b v="0"/>
    <x v="0"/>
    <n v="6"/>
    <x v="0"/>
    <x v="0"/>
    <n v="1"/>
    <x v="0"/>
    <n v="0.2"/>
    <n v="0.16669999999999999"/>
    <n v="0.32"/>
    <n v="0.44779999999999998"/>
    <n v="5"/>
    <n v="69"/>
    <n v="74"/>
    <n v="1.0335040078932463E-2"/>
    <x v="0"/>
    <n v="0.32607446712488969"/>
    <x v="0"/>
  </r>
  <r>
    <n v="178"/>
    <d v="2011-01-08T00:00:00"/>
    <n v="1"/>
    <x v="0"/>
    <x v="16"/>
    <x v="3"/>
    <b v="0"/>
    <x v="0"/>
    <n v="6"/>
    <x v="0"/>
    <x v="0"/>
    <n v="1"/>
    <x v="0"/>
    <n v="0.18"/>
    <n v="0.13639999999999999"/>
    <n v="0.28999999999999998"/>
    <n v="0.44779999999999998"/>
    <n v="8"/>
    <n v="68"/>
    <n v="76"/>
    <n v="0.40280491649409061"/>
    <x v="0"/>
    <n v="0.30519501094733387"/>
    <x v="0"/>
  </r>
  <r>
    <n v="179"/>
    <d v="2011-01-08T00:00:00"/>
    <n v="1"/>
    <x v="0"/>
    <x v="17"/>
    <x v="4"/>
    <b v="0"/>
    <x v="0"/>
    <n v="6"/>
    <x v="0"/>
    <x v="0"/>
    <n v="1"/>
    <x v="0"/>
    <n v="0.16"/>
    <n v="0.1212"/>
    <n v="0.37"/>
    <n v="0.55220000000000002"/>
    <n v="5"/>
    <n v="64"/>
    <n v="69"/>
    <n v="1.0335040078932463E-2"/>
    <x v="0"/>
    <n v="0.22167718623711044"/>
    <x v="0"/>
  </r>
  <r>
    <n v="180"/>
    <d v="2011-01-08T00:00:00"/>
    <n v="1"/>
    <x v="0"/>
    <x v="18"/>
    <x v="4"/>
    <b v="0"/>
    <x v="0"/>
    <n v="6"/>
    <x v="0"/>
    <x v="0"/>
    <n v="1"/>
    <x v="0"/>
    <n v="0.14000000000000001"/>
    <n v="0.1212"/>
    <n v="0.39"/>
    <n v="0.29849999999999999"/>
    <n v="3"/>
    <n v="52"/>
    <n v="55"/>
    <n v="-0.25131154419783963"/>
    <x v="0"/>
    <n v="-2.8876287893559803E-2"/>
    <x v="0"/>
  </r>
  <r>
    <n v="181"/>
    <d v="2011-01-08T00:00:00"/>
    <n v="1"/>
    <x v="0"/>
    <x v="19"/>
    <x v="4"/>
    <b v="0"/>
    <x v="0"/>
    <n v="6"/>
    <x v="0"/>
    <x v="0"/>
    <n v="1"/>
    <x v="0"/>
    <n v="0.14000000000000001"/>
    <n v="0.1212"/>
    <n v="0.36"/>
    <n v="0.25369999999999998"/>
    <n v="4"/>
    <n v="26"/>
    <n v="30"/>
    <n v="-0.1204882520594536"/>
    <x v="0"/>
    <n v="-0.57174214851001204"/>
    <x v="0"/>
  </r>
  <r>
    <n v="182"/>
    <d v="2011-01-08T00:00:00"/>
    <n v="1"/>
    <x v="0"/>
    <x v="20"/>
    <x v="4"/>
    <b v="0"/>
    <x v="0"/>
    <n v="6"/>
    <x v="0"/>
    <x v="0"/>
    <n v="1"/>
    <x v="0"/>
    <n v="0.12"/>
    <n v="0.1212"/>
    <n v="0.36"/>
    <n v="0.25369999999999998"/>
    <n v="0"/>
    <n v="28"/>
    <n v="28"/>
    <n v="-0.64378142061299781"/>
    <x v="0"/>
    <n v="-0.52998323615490028"/>
    <x v="0"/>
  </r>
  <r>
    <n v="183"/>
    <d v="2011-01-08T00:00:00"/>
    <n v="1"/>
    <x v="0"/>
    <x v="21"/>
    <x v="0"/>
    <b v="0"/>
    <x v="0"/>
    <n v="6"/>
    <x v="0"/>
    <x v="0"/>
    <n v="1"/>
    <x v="0"/>
    <n v="0.12"/>
    <n v="0.1061"/>
    <n v="0.39"/>
    <n v="0.35820000000000002"/>
    <n v="2"/>
    <n v="35"/>
    <n v="37"/>
    <n v="-0.38213483633622569"/>
    <x v="0"/>
    <n v="-0.38382704291200931"/>
    <x v="0"/>
  </r>
  <r>
    <n v="184"/>
    <d v="2011-01-08T00:00:00"/>
    <n v="1"/>
    <x v="0"/>
    <x v="22"/>
    <x v="0"/>
    <b v="0"/>
    <x v="0"/>
    <n v="6"/>
    <x v="0"/>
    <x v="0"/>
    <n v="1"/>
    <x v="0"/>
    <n v="0.12"/>
    <n v="0.1061"/>
    <n v="0.36"/>
    <n v="0.3881"/>
    <n v="1"/>
    <n v="33"/>
    <n v="34"/>
    <n v="-0.51295812847461175"/>
    <x v="0"/>
    <n v="-0.42558595526712101"/>
    <x v="0"/>
  </r>
  <r>
    <n v="185"/>
    <d v="2011-01-08T00:00:00"/>
    <n v="1"/>
    <x v="0"/>
    <x v="23"/>
    <x v="0"/>
    <b v="0"/>
    <x v="0"/>
    <n v="6"/>
    <x v="0"/>
    <x v="0"/>
    <n v="1"/>
    <x v="0"/>
    <n v="0.1"/>
    <n v="6.0600000000000001E-2"/>
    <n v="0.39"/>
    <n v="0.44779999999999998"/>
    <n v="0"/>
    <n v="22"/>
    <n v="22"/>
    <n v="-0.64378142061299781"/>
    <x v="0"/>
    <n v="-0.65525997322023544"/>
    <x v="0"/>
  </r>
  <r>
    <n v="186"/>
    <d v="2011-01-09T00:00:00"/>
    <n v="1"/>
    <x v="0"/>
    <x v="0"/>
    <x v="0"/>
    <b v="0"/>
    <x v="0"/>
    <n v="0"/>
    <x v="1"/>
    <x v="0"/>
    <n v="1"/>
    <x v="0"/>
    <n v="0.1"/>
    <n v="7.5800000000000006E-2"/>
    <n v="0.42"/>
    <n v="0.3881"/>
    <n v="1"/>
    <n v="24"/>
    <n v="25"/>
    <n v="-0.51295812847461175"/>
    <x v="0"/>
    <n v="-0.61350106086512368"/>
    <x v="0"/>
  </r>
  <r>
    <n v="187"/>
    <d v="2011-01-09T00:00:00"/>
    <n v="1"/>
    <x v="0"/>
    <x v="1"/>
    <x v="0"/>
    <b v="0"/>
    <x v="0"/>
    <n v="0"/>
    <x v="1"/>
    <x v="0"/>
    <n v="1"/>
    <x v="0"/>
    <n v="0.1"/>
    <n v="6.0600000000000001E-2"/>
    <n v="0.42"/>
    <n v="0.4627"/>
    <n v="0"/>
    <n v="12"/>
    <n v="12"/>
    <n v="-0.64378142061299781"/>
    <x v="0"/>
    <n v="-0.86405453499579399"/>
    <x v="0"/>
  </r>
  <r>
    <n v="188"/>
    <d v="2011-01-09T00:00:00"/>
    <n v="1"/>
    <x v="0"/>
    <x v="2"/>
    <x v="0"/>
    <b v="0"/>
    <x v="0"/>
    <n v="0"/>
    <x v="1"/>
    <x v="0"/>
    <n v="1"/>
    <x v="0"/>
    <n v="0.1"/>
    <n v="6.0600000000000001E-2"/>
    <n v="0.46"/>
    <n v="0.4627"/>
    <n v="0"/>
    <n v="11"/>
    <n v="11"/>
    <n v="-0.64378142061299781"/>
    <x v="0"/>
    <n v="-0.88493399117334981"/>
    <x v="0"/>
  </r>
  <r>
    <n v="189"/>
    <d v="2011-01-09T00:00:00"/>
    <n v="1"/>
    <x v="0"/>
    <x v="3"/>
    <x v="0"/>
    <b v="0"/>
    <x v="0"/>
    <n v="0"/>
    <x v="1"/>
    <x v="0"/>
    <n v="1"/>
    <x v="0"/>
    <n v="0.1"/>
    <n v="7.5800000000000006E-2"/>
    <n v="0.46"/>
    <n v="0.41789999999999999"/>
    <n v="0"/>
    <n v="4"/>
    <n v="4"/>
    <n v="-0.64378142061299781"/>
    <x v="0"/>
    <n v="-1.0310901844162408"/>
    <x v="0"/>
  </r>
  <r>
    <n v="190"/>
    <d v="2011-01-09T00:00:00"/>
    <n v="1"/>
    <x v="0"/>
    <x v="4"/>
    <x v="0"/>
    <b v="0"/>
    <x v="0"/>
    <n v="0"/>
    <x v="1"/>
    <x v="0"/>
    <n v="1"/>
    <x v="0"/>
    <n v="0.08"/>
    <n v="9.0899999999999995E-2"/>
    <n v="0.53"/>
    <n v="0.19400000000000001"/>
    <n v="0"/>
    <n v="1"/>
    <n v="1"/>
    <n v="-0.64378142061299781"/>
    <x v="0"/>
    <n v="-1.0937285529489083"/>
    <x v="0"/>
  </r>
  <r>
    <n v="191"/>
    <d v="2011-01-09T00:00:00"/>
    <n v="1"/>
    <x v="0"/>
    <x v="5"/>
    <x v="1"/>
    <b v="0"/>
    <x v="0"/>
    <n v="0"/>
    <x v="1"/>
    <x v="0"/>
    <n v="1"/>
    <x v="0"/>
    <n v="0.08"/>
    <n v="9.0899999999999995E-2"/>
    <n v="0.53"/>
    <n v="0.19400000000000001"/>
    <n v="0"/>
    <n v="1"/>
    <n v="1"/>
    <n v="-0.64378142061299781"/>
    <x v="0"/>
    <n v="-1.0937285529489083"/>
    <x v="0"/>
  </r>
  <r>
    <n v="192"/>
    <d v="2011-01-09T00:00:00"/>
    <n v="1"/>
    <x v="0"/>
    <x v="6"/>
    <x v="1"/>
    <b v="0"/>
    <x v="0"/>
    <n v="0"/>
    <x v="1"/>
    <x v="0"/>
    <n v="1"/>
    <x v="0"/>
    <n v="0.1"/>
    <n v="9.0899999999999995E-2"/>
    <n v="0.49"/>
    <n v="0.28360000000000002"/>
    <n v="0"/>
    <n v="1"/>
    <n v="1"/>
    <n v="-0.64378142061299781"/>
    <x v="0"/>
    <n v="-1.0937285529489083"/>
    <x v="0"/>
  </r>
  <r>
    <n v="193"/>
    <d v="2011-01-09T00:00:00"/>
    <n v="1"/>
    <x v="0"/>
    <x v="7"/>
    <x v="1"/>
    <b v="0"/>
    <x v="0"/>
    <n v="0"/>
    <x v="1"/>
    <x v="0"/>
    <n v="1"/>
    <x v="0"/>
    <n v="0.08"/>
    <n v="9.0899999999999995E-2"/>
    <n v="0.53"/>
    <n v="0.19400000000000001"/>
    <n v="1"/>
    <n v="5"/>
    <n v="6"/>
    <n v="-0.51295812847461175"/>
    <x v="0"/>
    <n v="-1.010210728238685"/>
    <x v="0"/>
  </r>
  <r>
    <n v="194"/>
    <d v="2011-01-09T00:00:00"/>
    <n v="1"/>
    <x v="0"/>
    <x v="8"/>
    <x v="2"/>
    <b v="0"/>
    <x v="0"/>
    <n v="0"/>
    <x v="1"/>
    <x v="0"/>
    <n v="1"/>
    <x v="0"/>
    <n v="0.1"/>
    <n v="9.0899999999999995E-2"/>
    <n v="0.49"/>
    <n v="0.28360000000000002"/>
    <n v="0"/>
    <n v="10"/>
    <n v="10"/>
    <n v="-0.64378142061299781"/>
    <x v="0"/>
    <n v="-0.90581344735090563"/>
    <x v="0"/>
  </r>
  <r>
    <n v="195"/>
    <d v="2011-01-09T00:00:00"/>
    <n v="1"/>
    <x v="0"/>
    <x v="9"/>
    <x v="2"/>
    <b v="0"/>
    <x v="0"/>
    <n v="0"/>
    <x v="1"/>
    <x v="0"/>
    <n v="1"/>
    <x v="0"/>
    <n v="0.12"/>
    <n v="7.5800000000000006E-2"/>
    <n v="0.46"/>
    <n v="0.52239999999999998"/>
    <n v="0"/>
    <n v="19"/>
    <n v="19"/>
    <n v="-0.64378142061299781"/>
    <x v="0"/>
    <n v="-0.71789834175290301"/>
    <x v="0"/>
  </r>
  <r>
    <n v="196"/>
    <d v="2011-01-09T00:00:00"/>
    <n v="1"/>
    <x v="0"/>
    <x v="10"/>
    <x v="2"/>
    <b v="0"/>
    <x v="0"/>
    <n v="0"/>
    <x v="1"/>
    <x v="0"/>
    <n v="1"/>
    <x v="0"/>
    <n v="0.14000000000000001"/>
    <n v="0.1061"/>
    <n v="0.43"/>
    <n v="0.3881"/>
    <n v="0"/>
    <n v="49"/>
    <n v="49"/>
    <n v="-0.64378142061299781"/>
    <x v="0"/>
    <n v="-9.1514656426227359E-2"/>
    <x v="0"/>
  </r>
  <r>
    <n v="197"/>
    <d v="2011-01-09T00:00:00"/>
    <n v="1"/>
    <x v="0"/>
    <x v="11"/>
    <x v="2"/>
    <b v="0"/>
    <x v="0"/>
    <n v="0"/>
    <x v="1"/>
    <x v="0"/>
    <n v="1"/>
    <x v="0"/>
    <n v="0.16"/>
    <n v="0.1212"/>
    <n v="0.4"/>
    <n v="0.52239999999999998"/>
    <n v="2"/>
    <n v="47"/>
    <n v="49"/>
    <n v="-0.38213483633622569"/>
    <x v="0"/>
    <n v="-0.13327356878133906"/>
    <x v="0"/>
  </r>
  <r>
    <n v="198"/>
    <d v="2011-01-09T00:00:00"/>
    <n v="1"/>
    <x v="0"/>
    <x v="12"/>
    <x v="3"/>
    <b v="0"/>
    <x v="0"/>
    <n v="0"/>
    <x v="1"/>
    <x v="0"/>
    <n v="1"/>
    <x v="0"/>
    <n v="0.18"/>
    <n v="0.13639999999999999"/>
    <n v="0.37"/>
    <n v="0.44779999999999998"/>
    <n v="4"/>
    <n v="79"/>
    <n v="83"/>
    <n v="-0.1204882520594536"/>
    <x v="0"/>
    <n v="0.5348690289004483"/>
    <x v="0"/>
  </r>
  <r>
    <n v="199"/>
    <d v="2011-01-09T00:00:00"/>
    <n v="1"/>
    <x v="0"/>
    <x v="13"/>
    <x v="3"/>
    <b v="0"/>
    <x v="0"/>
    <n v="0"/>
    <x v="1"/>
    <x v="0"/>
    <n v="1"/>
    <x v="0"/>
    <n v="0.2"/>
    <n v="0.16669999999999999"/>
    <n v="0.34"/>
    <n v="0.44779999999999998"/>
    <n v="6"/>
    <n v="69"/>
    <n v="75"/>
    <n v="0.14115833221731852"/>
    <x v="0"/>
    <n v="0.32607446712488969"/>
    <x v="0"/>
  </r>
  <r>
    <n v="200"/>
    <d v="2011-01-09T00:00:00"/>
    <n v="1"/>
    <x v="0"/>
    <x v="14"/>
    <x v="3"/>
    <b v="0"/>
    <x v="0"/>
    <n v="0"/>
    <x v="1"/>
    <x v="0"/>
    <n v="1"/>
    <x v="0"/>
    <n v="0.22"/>
    <n v="0.18179999999999999"/>
    <n v="0.32"/>
    <n v="0.4627"/>
    <n v="8"/>
    <n v="64"/>
    <n v="72"/>
    <n v="0.40280491649409061"/>
    <x v="0"/>
    <n v="0.22167718623711044"/>
    <x v="0"/>
  </r>
  <r>
    <n v="201"/>
    <d v="2011-01-09T00:00:00"/>
    <n v="1"/>
    <x v="0"/>
    <x v="15"/>
    <x v="3"/>
    <b v="0"/>
    <x v="0"/>
    <n v="0"/>
    <x v="1"/>
    <x v="0"/>
    <n v="1"/>
    <x v="0"/>
    <n v="0.22"/>
    <n v="0.19700000000000001"/>
    <n v="0.35"/>
    <n v="0.35820000000000002"/>
    <n v="5"/>
    <n v="77"/>
    <n v="82"/>
    <n v="1.0335040078932463E-2"/>
    <x v="0"/>
    <n v="0.49311011654533654"/>
    <x v="0"/>
  </r>
  <r>
    <n v="202"/>
    <d v="2011-01-09T00:00:00"/>
    <n v="1"/>
    <x v="0"/>
    <x v="16"/>
    <x v="3"/>
    <b v="0"/>
    <x v="0"/>
    <n v="0"/>
    <x v="1"/>
    <x v="0"/>
    <n v="1"/>
    <x v="0"/>
    <n v="0.2"/>
    <n v="0.16669999999999999"/>
    <n v="0.34"/>
    <n v="0.44779999999999998"/>
    <n v="13"/>
    <n v="79"/>
    <n v="92"/>
    <n v="1.0569213771860211"/>
    <x v="0"/>
    <n v="0.5348690289004483"/>
    <x v="0"/>
  </r>
  <r>
    <n v="203"/>
    <d v="2011-01-09T00:00:00"/>
    <n v="1"/>
    <x v="0"/>
    <x v="17"/>
    <x v="4"/>
    <b v="0"/>
    <x v="0"/>
    <n v="0"/>
    <x v="1"/>
    <x v="0"/>
    <n v="1"/>
    <x v="0"/>
    <n v="0.18"/>
    <n v="0.1515"/>
    <n v="0.37"/>
    <n v="0.3881"/>
    <n v="3"/>
    <n v="59"/>
    <n v="62"/>
    <n v="-0.25131154419783963"/>
    <x v="0"/>
    <n v="0.11727990534933118"/>
    <x v="0"/>
  </r>
  <r>
    <n v="204"/>
    <d v="2011-01-09T00:00:00"/>
    <n v="1"/>
    <x v="0"/>
    <x v="18"/>
    <x v="4"/>
    <b v="0"/>
    <x v="0"/>
    <n v="0"/>
    <x v="1"/>
    <x v="0"/>
    <n v="1"/>
    <x v="0"/>
    <n v="0.16"/>
    <n v="0.13639999999999999"/>
    <n v="0.4"/>
    <n v="0.32840000000000003"/>
    <n v="4"/>
    <n v="44"/>
    <n v="48"/>
    <n v="-0.1204882520594536"/>
    <x v="0"/>
    <n v="-0.19591193731400663"/>
    <x v="0"/>
  </r>
  <r>
    <n v="205"/>
    <d v="2011-01-09T00:00:00"/>
    <n v="1"/>
    <x v="0"/>
    <x v="19"/>
    <x v="4"/>
    <b v="0"/>
    <x v="0"/>
    <n v="0"/>
    <x v="1"/>
    <x v="0"/>
    <n v="1"/>
    <x v="0"/>
    <n v="0.16"/>
    <n v="0.13639999999999999"/>
    <n v="0.43"/>
    <n v="0.32840000000000003"/>
    <n v="1"/>
    <n v="40"/>
    <n v="41"/>
    <n v="-0.51295812847461175"/>
    <x v="0"/>
    <n v="-0.27942976202423003"/>
    <x v="0"/>
  </r>
  <r>
    <n v="206"/>
    <d v="2011-01-09T00:00:00"/>
    <n v="1"/>
    <x v="0"/>
    <x v="20"/>
    <x v="4"/>
    <b v="0"/>
    <x v="0"/>
    <n v="0"/>
    <x v="1"/>
    <x v="0"/>
    <n v="1"/>
    <x v="0"/>
    <n v="0.14000000000000001"/>
    <n v="0.1212"/>
    <n v="0.46"/>
    <n v="0.25369999999999998"/>
    <n v="0"/>
    <n v="38"/>
    <n v="38"/>
    <n v="-0.64378142061299781"/>
    <x v="0"/>
    <n v="-0.32118867437934173"/>
    <x v="0"/>
  </r>
  <r>
    <n v="207"/>
    <d v="2011-01-09T00:00:00"/>
    <n v="1"/>
    <x v="0"/>
    <x v="21"/>
    <x v="0"/>
    <b v="0"/>
    <x v="0"/>
    <n v="0"/>
    <x v="1"/>
    <x v="0"/>
    <n v="1"/>
    <x v="0"/>
    <n v="0.14000000000000001"/>
    <n v="0.1061"/>
    <n v="0.46"/>
    <n v="0.41789999999999999"/>
    <n v="1"/>
    <n v="19"/>
    <n v="20"/>
    <n v="-0.51295812847461175"/>
    <x v="0"/>
    <n v="-0.71789834175290301"/>
    <x v="0"/>
  </r>
  <r>
    <n v="208"/>
    <d v="2011-01-09T00:00:00"/>
    <n v="1"/>
    <x v="0"/>
    <x v="22"/>
    <x v="0"/>
    <b v="0"/>
    <x v="0"/>
    <n v="0"/>
    <x v="1"/>
    <x v="0"/>
    <n v="1"/>
    <x v="0"/>
    <n v="0.14000000000000001"/>
    <n v="0.1212"/>
    <n v="0.46"/>
    <n v="0.29849999999999999"/>
    <n v="5"/>
    <n v="10"/>
    <n v="15"/>
    <n v="1.0335040078932463E-2"/>
    <x v="0"/>
    <n v="-0.90581344735090563"/>
    <x v="0"/>
  </r>
  <r>
    <n v="209"/>
    <d v="2011-01-09T00:00:00"/>
    <n v="1"/>
    <x v="0"/>
    <x v="23"/>
    <x v="0"/>
    <b v="0"/>
    <x v="0"/>
    <n v="0"/>
    <x v="1"/>
    <x v="0"/>
    <n v="1"/>
    <x v="0"/>
    <n v="0.12"/>
    <n v="0.13639999999999999"/>
    <n v="0.5"/>
    <n v="0.19400000000000001"/>
    <n v="0"/>
    <n v="6"/>
    <n v="6"/>
    <n v="-0.64378142061299781"/>
    <x v="0"/>
    <n v="-0.98933127206112903"/>
    <x v="0"/>
  </r>
  <r>
    <n v="210"/>
    <d v="2011-01-10T00:00:00"/>
    <n v="1"/>
    <x v="0"/>
    <x v="0"/>
    <x v="0"/>
    <b v="0"/>
    <x v="0"/>
    <n v="1"/>
    <x v="2"/>
    <x v="1"/>
    <n v="1"/>
    <x v="0"/>
    <n v="0.12"/>
    <n v="0.1212"/>
    <n v="0.5"/>
    <n v="0.28360000000000002"/>
    <n v="2"/>
    <n v="3"/>
    <n v="5"/>
    <n v="-0.38213483633622569"/>
    <x v="0"/>
    <n v="-1.0519696405937966"/>
    <x v="0"/>
  </r>
  <r>
    <n v="211"/>
    <d v="2011-01-10T00:00:00"/>
    <n v="1"/>
    <x v="0"/>
    <x v="1"/>
    <x v="0"/>
    <b v="0"/>
    <x v="0"/>
    <n v="1"/>
    <x v="2"/>
    <x v="1"/>
    <n v="1"/>
    <x v="0"/>
    <n v="0.12"/>
    <n v="0.1212"/>
    <n v="0.5"/>
    <n v="0.28360000000000002"/>
    <n v="1"/>
    <n v="0"/>
    <n v="1"/>
    <n v="-0.51295812847461175"/>
    <x v="0"/>
    <n v="-1.1146080091264643"/>
    <x v="0"/>
  </r>
  <r>
    <n v="212"/>
    <d v="2011-01-10T00:00:00"/>
    <n v="1"/>
    <x v="0"/>
    <x v="2"/>
    <x v="0"/>
    <b v="0"/>
    <x v="0"/>
    <n v="1"/>
    <x v="2"/>
    <x v="1"/>
    <n v="1"/>
    <x v="0"/>
    <n v="0.12"/>
    <n v="0.1212"/>
    <n v="0.5"/>
    <n v="0.22389999999999999"/>
    <n v="0"/>
    <n v="3"/>
    <n v="3"/>
    <n v="-0.64378142061299781"/>
    <x v="0"/>
    <n v="-1.0519696405937966"/>
    <x v="0"/>
  </r>
  <r>
    <n v="213"/>
    <d v="2011-01-10T00:00:00"/>
    <n v="1"/>
    <x v="0"/>
    <x v="3"/>
    <x v="0"/>
    <b v="0"/>
    <x v="0"/>
    <n v="1"/>
    <x v="2"/>
    <x v="1"/>
    <n v="1"/>
    <x v="0"/>
    <n v="0.12"/>
    <n v="0.1212"/>
    <n v="0.5"/>
    <n v="0.22389999999999999"/>
    <n v="0"/>
    <n v="1"/>
    <n v="1"/>
    <n v="-0.64378142061299781"/>
    <x v="0"/>
    <n v="-1.0937285529489083"/>
    <x v="0"/>
  </r>
  <r>
    <n v="214"/>
    <d v="2011-01-10T00:00:00"/>
    <n v="1"/>
    <x v="0"/>
    <x v="4"/>
    <x v="0"/>
    <b v="0"/>
    <x v="0"/>
    <n v="1"/>
    <x v="2"/>
    <x v="1"/>
    <n v="1"/>
    <x v="0"/>
    <n v="0.1"/>
    <n v="0.1212"/>
    <n v="0.54"/>
    <n v="0.1343"/>
    <n v="1"/>
    <n v="2"/>
    <n v="3"/>
    <n v="-0.51295812847461175"/>
    <x v="0"/>
    <n v="-1.0728490967713524"/>
    <x v="0"/>
  </r>
  <r>
    <n v="215"/>
    <d v="2011-01-10T00:00:00"/>
    <n v="1"/>
    <x v="0"/>
    <x v="5"/>
    <x v="1"/>
    <b v="0"/>
    <x v="0"/>
    <n v="1"/>
    <x v="2"/>
    <x v="1"/>
    <n v="1"/>
    <x v="0"/>
    <n v="0.1"/>
    <n v="0.1061"/>
    <n v="0.54"/>
    <n v="0.25369999999999998"/>
    <n v="0"/>
    <n v="3"/>
    <n v="3"/>
    <n v="-0.64378142061299781"/>
    <x v="0"/>
    <n v="-1.0519696405937966"/>
    <x v="0"/>
  </r>
  <r>
    <n v="216"/>
    <d v="2011-01-10T00:00:00"/>
    <n v="1"/>
    <x v="0"/>
    <x v="6"/>
    <x v="1"/>
    <b v="0"/>
    <x v="0"/>
    <n v="1"/>
    <x v="2"/>
    <x v="1"/>
    <n v="1"/>
    <x v="0"/>
    <n v="0.12"/>
    <n v="0.1212"/>
    <n v="0.5"/>
    <n v="0.28360000000000002"/>
    <n v="0"/>
    <n v="31"/>
    <n v="31"/>
    <n v="-0.64378142061299781"/>
    <x v="0"/>
    <n v="-0.46734486762223271"/>
    <x v="0"/>
  </r>
  <r>
    <n v="217"/>
    <d v="2011-01-10T00:00:00"/>
    <n v="1"/>
    <x v="0"/>
    <x v="7"/>
    <x v="1"/>
    <b v="0"/>
    <x v="0"/>
    <n v="1"/>
    <x v="2"/>
    <x v="1"/>
    <n v="1"/>
    <x v="0"/>
    <n v="0.12"/>
    <n v="0.1212"/>
    <n v="0.5"/>
    <n v="0.22389999999999999"/>
    <n v="2"/>
    <n v="75"/>
    <n v="77"/>
    <n v="-0.38213483633622569"/>
    <x v="0"/>
    <n v="0.45135120419022484"/>
    <x v="0"/>
  </r>
  <r>
    <n v="218"/>
    <d v="2011-01-10T00:00:00"/>
    <n v="1"/>
    <x v="0"/>
    <x v="8"/>
    <x v="2"/>
    <b v="0"/>
    <x v="0"/>
    <n v="1"/>
    <x v="2"/>
    <x v="1"/>
    <n v="2"/>
    <x v="1"/>
    <n v="0.12"/>
    <n v="0.1212"/>
    <n v="0.5"/>
    <n v="0.28360000000000002"/>
    <n v="4"/>
    <n v="184"/>
    <n v="188"/>
    <n v="-0.1204882520594536"/>
    <x v="0"/>
    <n v="2.7272119275438129"/>
    <x v="1"/>
  </r>
  <r>
    <n v="219"/>
    <d v="2011-01-10T00:00:00"/>
    <n v="1"/>
    <x v="0"/>
    <x v="9"/>
    <x v="2"/>
    <b v="0"/>
    <x v="0"/>
    <n v="1"/>
    <x v="2"/>
    <x v="1"/>
    <n v="2"/>
    <x v="1"/>
    <n v="0.14000000000000001"/>
    <n v="0.1212"/>
    <n v="0.5"/>
    <n v="0.25369999999999998"/>
    <n v="2"/>
    <n v="92"/>
    <n v="94"/>
    <n v="-0.38213483633622569"/>
    <x v="0"/>
    <n v="0.80630195920867431"/>
    <x v="0"/>
  </r>
  <r>
    <n v="220"/>
    <d v="2011-01-10T00:00:00"/>
    <n v="1"/>
    <x v="0"/>
    <x v="10"/>
    <x v="2"/>
    <b v="0"/>
    <x v="0"/>
    <n v="1"/>
    <x v="2"/>
    <x v="1"/>
    <n v="2"/>
    <x v="1"/>
    <n v="0.14000000000000001"/>
    <n v="0.1212"/>
    <n v="0.5"/>
    <n v="0.29849999999999999"/>
    <n v="0"/>
    <n v="31"/>
    <n v="31"/>
    <n v="-0.64378142061299781"/>
    <x v="0"/>
    <n v="-0.46734486762223271"/>
    <x v="0"/>
  </r>
  <r>
    <n v="221"/>
    <d v="2011-01-10T00:00:00"/>
    <n v="1"/>
    <x v="0"/>
    <x v="11"/>
    <x v="2"/>
    <b v="0"/>
    <x v="0"/>
    <n v="1"/>
    <x v="2"/>
    <x v="1"/>
    <n v="2"/>
    <x v="1"/>
    <n v="0.16"/>
    <n v="0.13639999999999999"/>
    <n v="0.47"/>
    <n v="0.28360000000000002"/>
    <n v="2"/>
    <n v="28"/>
    <n v="30"/>
    <n v="-0.38213483633622569"/>
    <x v="0"/>
    <n v="-0.52998323615490028"/>
    <x v="0"/>
  </r>
  <r>
    <n v="222"/>
    <d v="2011-01-10T00:00:00"/>
    <n v="1"/>
    <x v="0"/>
    <x v="12"/>
    <x v="3"/>
    <b v="0"/>
    <x v="0"/>
    <n v="1"/>
    <x v="2"/>
    <x v="1"/>
    <n v="2"/>
    <x v="1"/>
    <n v="0.2"/>
    <n v="0.18179999999999999"/>
    <n v="0.4"/>
    <n v="0.28360000000000002"/>
    <n v="5"/>
    <n v="47"/>
    <n v="52"/>
    <n v="1.0335040078932463E-2"/>
    <x v="0"/>
    <n v="-0.13327356878133906"/>
    <x v="0"/>
  </r>
  <r>
    <n v="223"/>
    <d v="2011-01-10T00:00:00"/>
    <n v="1"/>
    <x v="0"/>
    <x v="13"/>
    <x v="3"/>
    <b v="0"/>
    <x v="0"/>
    <n v="1"/>
    <x v="2"/>
    <x v="1"/>
    <n v="2"/>
    <x v="1"/>
    <n v="0.2"/>
    <n v="0.18179999999999999"/>
    <n v="0.4"/>
    <n v="0.28360000000000002"/>
    <n v="4"/>
    <n v="50"/>
    <n v="54"/>
    <n v="-0.1204882520594536"/>
    <x v="0"/>
    <n v="-7.0635200248671509E-2"/>
    <x v="0"/>
  </r>
  <r>
    <n v="224"/>
    <d v="2011-01-10T00:00:00"/>
    <n v="1"/>
    <x v="0"/>
    <x v="14"/>
    <x v="3"/>
    <b v="0"/>
    <x v="0"/>
    <n v="1"/>
    <x v="2"/>
    <x v="1"/>
    <n v="2"/>
    <x v="1"/>
    <n v="0.2"/>
    <n v="0.19700000000000001"/>
    <n v="0.4"/>
    <n v="0.22389999999999999"/>
    <n v="0"/>
    <n v="47"/>
    <n v="47"/>
    <n v="-0.64378142061299781"/>
    <x v="0"/>
    <n v="-0.13327356878133906"/>
    <x v="0"/>
  </r>
  <r>
    <n v="225"/>
    <d v="2011-01-10T00:00:00"/>
    <n v="1"/>
    <x v="0"/>
    <x v="15"/>
    <x v="3"/>
    <b v="0"/>
    <x v="0"/>
    <n v="1"/>
    <x v="2"/>
    <x v="1"/>
    <n v="2"/>
    <x v="1"/>
    <n v="0.2"/>
    <n v="0.19700000000000001"/>
    <n v="0.4"/>
    <n v="0.22389999999999999"/>
    <n v="2"/>
    <n v="43"/>
    <n v="45"/>
    <n v="-0.38213483633622569"/>
    <x v="0"/>
    <n v="-0.21679139349156248"/>
    <x v="0"/>
  </r>
  <r>
    <n v="226"/>
    <d v="2011-01-10T00:00:00"/>
    <n v="1"/>
    <x v="0"/>
    <x v="16"/>
    <x v="3"/>
    <b v="0"/>
    <x v="0"/>
    <n v="1"/>
    <x v="2"/>
    <x v="1"/>
    <n v="1"/>
    <x v="0"/>
    <n v="0.2"/>
    <n v="0.21210000000000001"/>
    <n v="0.4"/>
    <n v="0.1343"/>
    <n v="4"/>
    <n v="70"/>
    <n v="74"/>
    <n v="-0.1204882520594536"/>
    <x v="0"/>
    <n v="0.34695392330244557"/>
    <x v="0"/>
  </r>
  <r>
    <n v="227"/>
    <d v="2011-01-10T00:00:00"/>
    <n v="1"/>
    <x v="0"/>
    <x v="17"/>
    <x v="4"/>
    <b v="0"/>
    <x v="0"/>
    <n v="1"/>
    <x v="2"/>
    <x v="1"/>
    <n v="1"/>
    <x v="0"/>
    <n v="0.2"/>
    <n v="0.2273"/>
    <n v="0.4"/>
    <n v="0.1045"/>
    <n v="4"/>
    <n v="174"/>
    <n v="178"/>
    <n v="-0.1204882520594536"/>
    <x v="0"/>
    <n v="2.5184173657682543"/>
    <x v="1"/>
  </r>
  <r>
    <n v="228"/>
    <d v="2011-01-10T00:00:00"/>
    <n v="1"/>
    <x v="0"/>
    <x v="18"/>
    <x v="4"/>
    <b v="0"/>
    <x v="0"/>
    <n v="1"/>
    <x v="2"/>
    <x v="1"/>
    <n v="1"/>
    <x v="0"/>
    <n v="0.2"/>
    <n v="0.19700000000000001"/>
    <n v="0.4"/>
    <n v="0.22389999999999999"/>
    <n v="1"/>
    <n v="154"/>
    <n v="155"/>
    <n v="-0.51295812847461175"/>
    <x v="0"/>
    <n v="2.1008282422171369"/>
    <x v="1"/>
  </r>
  <r>
    <n v="229"/>
    <d v="2011-01-10T00:00:00"/>
    <n v="1"/>
    <x v="0"/>
    <x v="19"/>
    <x v="4"/>
    <b v="0"/>
    <x v="0"/>
    <n v="1"/>
    <x v="2"/>
    <x v="1"/>
    <n v="1"/>
    <x v="0"/>
    <n v="0.16"/>
    <n v="0.16669999999999999"/>
    <n v="0.47"/>
    <n v="0.16420000000000001"/>
    <n v="3"/>
    <n v="92"/>
    <n v="95"/>
    <n v="-0.25131154419783963"/>
    <x v="0"/>
    <n v="0.80630195920867431"/>
    <x v="0"/>
  </r>
  <r>
    <n v="230"/>
    <d v="2011-01-10T00:00:00"/>
    <n v="1"/>
    <x v="0"/>
    <x v="20"/>
    <x v="4"/>
    <b v="0"/>
    <x v="0"/>
    <n v="1"/>
    <x v="2"/>
    <x v="1"/>
    <n v="1"/>
    <x v="0"/>
    <n v="0.16"/>
    <n v="0.16669999999999999"/>
    <n v="0.5"/>
    <n v="0.16420000000000001"/>
    <n v="1"/>
    <n v="73"/>
    <n v="74"/>
    <n v="-0.51295812847461175"/>
    <x v="0"/>
    <n v="0.40959229183511314"/>
    <x v="0"/>
  </r>
  <r>
    <n v="231"/>
    <d v="2011-01-10T00:00:00"/>
    <n v="1"/>
    <x v="0"/>
    <x v="21"/>
    <x v="0"/>
    <b v="0"/>
    <x v="0"/>
    <n v="1"/>
    <x v="2"/>
    <x v="1"/>
    <n v="1"/>
    <x v="0"/>
    <n v="0.14000000000000001"/>
    <n v="0.13639999999999999"/>
    <n v="0.59"/>
    <n v="0.19400000000000001"/>
    <n v="1"/>
    <n v="37"/>
    <n v="38"/>
    <n v="-0.51295812847461175"/>
    <x v="0"/>
    <n v="-0.34206813055689761"/>
    <x v="0"/>
  </r>
  <r>
    <n v="232"/>
    <d v="2011-01-10T00:00:00"/>
    <n v="1"/>
    <x v="0"/>
    <x v="22"/>
    <x v="0"/>
    <b v="0"/>
    <x v="0"/>
    <n v="1"/>
    <x v="2"/>
    <x v="1"/>
    <n v="1"/>
    <x v="0"/>
    <n v="0.14000000000000001"/>
    <n v="0.1515"/>
    <n v="0.59"/>
    <n v="0.16420000000000001"/>
    <n v="2"/>
    <n v="22"/>
    <n v="24"/>
    <n v="-0.38213483633622569"/>
    <x v="0"/>
    <n v="-0.65525997322023544"/>
    <x v="0"/>
  </r>
  <r>
    <n v="233"/>
    <d v="2011-01-10T00:00:00"/>
    <n v="1"/>
    <x v="0"/>
    <x v="23"/>
    <x v="0"/>
    <b v="0"/>
    <x v="0"/>
    <n v="1"/>
    <x v="2"/>
    <x v="1"/>
    <n v="1"/>
    <x v="0"/>
    <n v="0.14000000000000001"/>
    <n v="0.1515"/>
    <n v="0.59"/>
    <n v="0.16420000000000001"/>
    <n v="0"/>
    <n v="18"/>
    <n v="18"/>
    <n v="-0.64378142061299781"/>
    <x v="0"/>
    <n v="-0.73877779793045883"/>
    <x v="0"/>
  </r>
  <r>
    <n v="234"/>
    <d v="2011-01-11T00:00:00"/>
    <n v="1"/>
    <x v="0"/>
    <x v="0"/>
    <x v="0"/>
    <b v="0"/>
    <x v="0"/>
    <n v="2"/>
    <x v="3"/>
    <x v="1"/>
    <n v="1"/>
    <x v="0"/>
    <n v="0.14000000000000001"/>
    <n v="0.16669999999999999"/>
    <n v="0.59"/>
    <n v="0.1045"/>
    <n v="2"/>
    <n v="10"/>
    <n v="12"/>
    <n v="-0.38213483633622569"/>
    <x v="0"/>
    <n v="-0.90581344735090563"/>
    <x v="0"/>
  </r>
  <r>
    <n v="235"/>
    <d v="2011-01-11T00:00:00"/>
    <n v="1"/>
    <x v="0"/>
    <x v="1"/>
    <x v="0"/>
    <b v="0"/>
    <x v="0"/>
    <n v="2"/>
    <x v="3"/>
    <x v="1"/>
    <n v="1"/>
    <x v="0"/>
    <n v="0.14000000000000001"/>
    <n v="0.1515"/>
    <n v="0.59"/>
    <n v="0.16420000000000001"/>
    <n v="0"/>
    <n v="3"/>
    <n v="3"/>
    <n v="-0.64378142061299781"/>
    <x v="0"/>
    <n v="-1.0519696405937966"/>
    <x v="0"/>
  </r>
  <r>
    <n v="236"/>
    <d v="2011-01-11T00:00:00"/>
    <n v="1"/>
    <x v="0"/>
    <x v="2"/>
    <x v="0"/>
    <b v="0"/>
    <x v="0"/>
    <n v="2"/>
    <x v="3"/>
    <x v="1"/>
    <n v="2"/>
    <x v="1"/>
    <n v="0.16"/>
    <n v="0.1515"/>
    <n v="0.55000000000000004"/>
    <n v="0.19400000000000001"/>
    <n v="0"/>
    <n v="3"/>
    <n v="3"/>
    <n v="-0.64378142061299781"/>
    <x v="0"/>
    <n v="-1.0519696405937966"/>
    <x v="0"/>
  </r>
  <r>
    <n v="237"/>
    <d v="2011-01-11T00:00:00"/>
    <n v="1"/>
    <x v="0"/>
    <x v="5"/>
    <x v="1"/>
    <b v="0"/>
    <x v="0"/>
    <n v="2"/>
    <x v="3"/>
    <x v="1"/>
    <n v="2"/>
    <x v="1"/>
    <n v="0.16"/>
    <n v="0.18179999999999999"/>
    <n v="0.55000000000000004"/>
    <n v="0.1343"/>
    <n v="0"/>
    <n v="6"/>
    <n v="6"/>
    <n v="-0.64378142061299781"/>
    <x v="0"/>
    <n v="-0.98933127206112903"/>
    <x v="0"/>
  </r>
  <r>
    <n v="238"/>
    <d v="2011-01-11T00:00:00"/>
    <n v="1"/>
    <x v="0"/>
    <x v="6"/>
    <x v="1"/>
    <b v="0"/>
    <x v="0"/>
    <n v="2"/>
    <x v="3"/>
    <x v="1"/>
    <n v="2"/>
    <x v="1"/>
    <n v="0.16"/>
    <n v="0.18179999999999999"/>
    <n v="0.55000000000000004"/>
    <n v="0.1343"/>
    <n v="0"/>
    <n v="27"/>
    <n v="27"/>
    <n v="-0.64378142061299781"/>
    <x v="0"/>
    <n v="-0.55086269233245611"/>
    <x v="0"/>
  </r>
  <r>
    <n v="239"/>
    <d v="2011-01-11T00:00:00"/>
    <n v="1"/>
    <x v="0"/>
    <x v="7"/>
    <x v="1"/>
    <b v="0"/>
    <x v="0"/>
    <n v="2"/>
    <x v="3"/>
    <x v="1"/>
    <n v="2"/>
    <x v="1"/>
    <n v="0.16"/>
    <n v="0.2273"/>
    <n v="0.55000000000000004"/>
    <n v="0"/>
    <n v="2"/>
    <n v="97"/>
    <n v="99"/>
    <n v="-0.38213483633622569"/>
    <x v="0"/>
    <n v="0.91069924009645364"/>
    <x v="0"/>
  </r>
  <r>
    <n v="240"/>
    <d v="2011-01-11T00:00:00"/>
    <n v="1"/>
    <x v="0"/>
    <x v="8"/>
    <x v="2"/>
    <b v="0"/>
    <x v="0"/>
    <n v="2"/>
    <x v="3"/>
    <x v="1"/>
    <n v="2"/>
    <x v="1"/>
    <n v="0.18"/>
    <n v="0.21210000000000001"/>
    <n v="0.51"/>
    <n v="8.9599999999999999E-2"/>
    <n v="3"/>
    <n v="214"/>
    <n v="217"/>
    <n v="-0.25131154419783963"/>
    <x v="0"/>
    <n v="3.3535956128704885"/>
    <x v="1"/>
  </r>
  <r>
    <n v="241"/>
    <d v="2011-01-11T00:00:00"/>
    <n v="1"/>
    <x v="0"/>
    <x v="9"/>
    <x v="2"/>
    <b v="0"/>
    <x v="0"/>
    <n v="2"/>
    <x v="3"/>
    <x v="1"/>
    <n v="2"/>
    <x v="1"/>
    <n v="0.18"/>
    <n v="0.19700000000000001"/>
    <n v="0.51"/>
    <n v="0.16420000000000001"/>
    <n v="3"/>
    <n v="127"/>
    <n v="130"/>
    <n v="-0.25131154419783963"/>
    <x v="0"/>
    <n v="1.5370829254231291"/>
    <x v="0"/>
  </r>
  <r>
    <n v="242"/>
    <d v="2011-01-11T00:00:00"/>
    <n v="1"/>
    <x v="0"/>
    <x v="10"/>
    <x v="2"/>
    <b v="0"/>
    <x v="0"/>
    <n v="2"/>
    <x v="3"/>
    <x v="1"/>
    <n v="2"/>
    <x v="1"/>
    <n v="0.2"/>
    <n v="0.21210000000000001"/>
    <n v="0.51"/>
    <n v="0.16420000000000001"/>
    <n v="3"/>
    <n v="51"/>
    <n v="54"/>
    <n v="-0.25131154419783963"/>
    <x v="0"/>
    <n v="-4.9755744071115653E-2"/>
    <x v="0"/>
  </r>
  <r>
    <n v="243"/>
    <d v="2011-01-11T00:00:00"/>
    <n v="1"/>
    <x v="0"/>
    <x v="11"/>
    <x v="2"/>
    <b v="0"/>
    <x v="0"/>
    <n v="2"/>
    <x v="3"/>
    <x v="1"/>
    <n v="2"/>
    <x v="1"/>
    <n v="0.2"/>
    <n v="0.21210000000000001"/>
    <n v="0.47"/>
    <n v="0.1343"/>
    <n v="4"/>
    <n v="31"/>
    <n v="35"/>
    <n v="-0.1204882520594536"/>
    <x v="0"/>
    <n v="-0.46734486762223271"/>
    <x v="0"/>
  </r>
  <r>
    <n v="244"/>
    <d v="2011-01-11T00:00:00"/>
    <n v="1"/>
    <x v="0"/>
    <x v="12"/>
    <x v="3"/>
    <b v="0"/>
    <x v="0"/>
    <n v="2"/>
    <x v="3"/>
    <x v="1"/>
    <n v="2"/>
    <x v="1"/>
    <n v="0.2"/>
    <n v="0.2273"/>
    <n v="0.51"/>
    <n v="0.1045"/>
    <n v="2"/>
    <n v="55"/>
    <n v="57"/>
    <n v="-0.38213483633622569"/>
    <x v="0"/>
    <n v="3.376208063910776E-2"/>
    <x v="0"/>
  </r>
  <r>
    <n v="245"/>
    <d v="2011-01-11T00:00:00"/>
    <n v="1"/>
    <x v="0"/>
    <x v="13"/>
    <x v="3"/>
    <b v="0"/>
    <x v="0"/>
    <n v="2"/>
    <x v="3"/>
    <x v="1"/>
    <n v="2"/>
    <x v="1"/>
    <n v="0.2"/>
    <n v="0.2273"/>
    <n v="0.59"/>
    <n v="8.9599999999999999E-2"/>
    <n v="6"/>
    <n v="46"/>
    <n v="52"/>
    <n v="0.14115833221731852"/>
    <x v="0"/>
    <n v="-0.15415302495889494"/>
    <x v="0"/>
  </r>
  <r>
    <n v="246"/>
    <d v="2011-01-11T00:00:00"/>
    <n v="1"/>
    <x v="0"/>
    <x v="14"/>
    <x v="3"/>
    <b v="0"/>
    <x v="0"/>
    <n v="2"/>
    <x v="3"/>
    <x v="1"/>
    <n v="2"/>
    <x v="1"/>
    <n v="0.2"/>
    <n v="0.2273"/>
    <n v="0.59"/>
    <n v="8.9599999999999999E-2"/>
    <n v="3"/>
    <n v="60"/>
    <n v="63"/>
    <n v="-0.25131154419783963"/>
    <x v="0"/>
    <n v="0.13815936152688704"/>
    <x v="0"/>
  </r>
  <r>
    <n v="247"/>
    <d v="2011-01-11T00:00:00"/>
    <n v="1"/>
    <x v="0"/>
    <x v="15"/>
    <x v="3"/>
    <b v="0"/>
    <x v="0"/>
    <n v="2"/>
    <x v="3"/>
    <x v="1"/>
    <n v="2"/>
    <x v="1"/>
    <n v="0.16"/>
    <n v="0.19700000000000001"/>
    <n v="0.8"/>
    <n v="8.9599999999999999E-2"/>
    <n v="2"/>
    <n v="45"/>
    <n v="47"/>
    <n v="-0.38213483633622569"/>
    <x v="0"/>
    <n v="-0.17503248113645078"/>
    <x v="0"/>
  </r>
  <r>
    <n v="248"/>
    <d v="2011-01-11T00:00:00"/>
    <n v="1"/>
    <x v="0"/>
    <x v="16"/>
    <x v="3"/>
    <b v="0"/>
    <x v="0"/>
    <n v="2"/>
    <x v="3"/>
    <x v="1"/>
    <n v="2"/>
    <x v="1"/>
    <n v="0.16"/>
    <n v="0.1515"/>
    <n v="0.86"/>
    <n v="0.22389999999999999"/>
    <n v="4"/>
    <n v="72"/>
    <n v="76"/>
    <n v="-0.1204882520594536"/>
    <x v="0"/>
    <n v="0.38871283565755727"/>
    <x v="0"/>
  </r>
  <r>
    <n v="249"/>
    <d v="2011-01-11T00:00:00"/>
    <n v="1"/>
    <x v="0"/>
    <x v="17"/>
    <x v="4"/>
    <b v="0"/>
    <x v="0"/>
    <n v="2"/>
    <x v="3"/>
    <x v="1"/>
    <n v="2"/>
    <x v="1"/>
    <n v="0.16"/>
    <n v="0.1515"/>
    <n v="0.86"/>
    <n v="0.22389999999999999"/>
    <n v="6"/>
    <n v="130"/>
    <n v="136"/>
    <n v="0.14115833221731852"/>
    <x v="0"/>
    <n v="1.5997212939557968"/>
    <x v="0"/>
  </r>
  <r>
    <n v="250"/>
    <d v="2011-01-11T00:00:00"/>
    <n v="1"/>
    <x v="0"/>
    <x v="18"/>
    <x v="4"/>
    <b v="0"/>
    <x v="0"/>
    <n v="2"/>
    <x v="3"/>
    <x v="1"/>
    <n v="3"/>
    <x v="2"/>
    <n v="0.16"/>
    <n v="0.18179999999999999"/>
    <n v="0.93"/>
    <n v="0.1045"/>
    <n v="1"/>
    <n v="94"/>
    <n v="95"/>
    <n v="-0.51295812847461175"/>
    <x v="0"/>
    <n v="0.84806087156378607"/>
    <x v="0"/>
  </r>
  <r>
    <n v="251"/>
    <d v="2011-01-11T00:00:00"/>
    <n v="1"/>
    <x v="0"/>
    <x v="19"/>
    <x v="4"/>
    <b v="0"/>
    <x v="0"/>
    <n v="2"/>
    <x v="3"/>
    <x v="1"/>
    <n v="3"/>
    <x v="2"/>
    <n v="0.16"/>
    <n v="0.2273"/>
    <n v="0.93"/>
    <n v="0"/>
    <n v="0"/>
    <n v="51"/>
    <n v="51"/>
    <n v="-0.64378142061299781"/>
    <x v="0"/>
    <n v="-4.9755744071115653E-2"/>
    <x v="0"/>
  </r>
  <r>
    <n v="252"/>
    <d v="2011-01-11T00:00:00"/>
    <n v="1"/>
    <x v="0"/>
    <x v="20"/>
    <x v="4"/>
    <b v="0"/>
    <x v="0"/>
    <n v="2"/>
    <x v="3"/>
    <x v="1"/>
    <n v="3"/>
    <x v="2"/>
    <n v="0.16"/>
    <n v="0.1515"/>
    <n v="0.93"/>
    <n v="0.19400000000000001"/>
    <n v="0"/>
    <n v="32"/>
    <n v="32"/>
    <n v="-0.64378142061299781"/>
    <x v="0"/>
    <n v="-0.44646541144467689"/>
    <x v="0"/>
  </r>
  <r>
    <n v="253"/>
    <d v="2011-01-11T00:00:00"/>
    <n v="1"/>
    <x v="0"/>
    <x v="21"/>
    <x v="0"/>
    <b v="0"/>
    <x v="0"/>
    <n v="2"/>
    <x v="3"/>
    <x v="1"/>
    <n v="3"/>
    <x v="2"/>
    <n v="0.16"/>
    <n v="0.19700000000000001"/>
    <n v="0.86"/>
    <n v="8.9599999999999999E-2"/>
    <n v="0"/>
    <n v="20"/>
    <n v="20"/>
    <n v="-0.64378142061299781"/>
    <x v="0"/>
    <n v="-0.69701888557534708"/>
    <x v="0"/>
  </r>
  <r>
    <n v="254"/>
    <d v="2011-01-11T00:00:00"/>
    <n v="1"/>
    <x v="0"/>
    <x v="22"/>
    <x v="0"/>
    <b v="0"/>
    <x v="0"/>
    <n v="2"/>
    <x v="3"/>
    <x v="1"/>
    <n v="3"/>
    <x v="2"/>
    <n v="0.16"/>
    <n v="0.18179999999999999"/>
    <n v="0.93"/>
    <n v="0.1045"/>
    <n v="1"/>
    <n v="28"/>
    <n v="29"/>
    <n v="-0.51295812847461175"/>
    <x v="0"/>
    <n v="-0.52998323615490028"/>
    <x v="0"/>
  </r>
  <r>
    <n v="255"/>
    <d v="2011-01-11T00:00:00"/>
    <n v="1"/>
    <x v="0"/>
    <x v="23"/>
    <x v="0"/>
    <b v="0"/>
    <x v="0"/>
    <n v="2"/>
    <x v="3"/>
    <x v="1"/>
    <n v="3"/>
    <x v="2"/>
    <n v="0.16"/>
    <n v="0.19700000000000001"/>
    <n v="0.93"/>
    <n v="8.9599999999999999E-2"/>
    <n v="1"/>
    <n v="18"/>
    <n v="19"/>
    <n v="-0.51295812847461175"/>
    <x v="0"/>
    <n v="-0.73877779793045883"/>
    <x v="0"/>
  </r>
  <r>
    <n v="256"/>
    <d v="2011-01-12T00:00:00"/>
    <n v="1"/>
    <x v="0"/>
    <x v="0"/>
    <x v="0"/>
    <b v="0"/>
    <x v="0"/>
    <n v="3"/>
    <x v="4"/>
    <x v="1"/>
    <n v="2"/>
    <x v="1"/>
    <n v="0.16"/>
    <n v="0.19700000000000001"/>
    <n v="0.86"/>
    <n v="8.9599999999999999E-2"/>
    <n v="0"/>
    <n v="7"/>
    <n v="7"/>
    <n v="-0.64378142061299781"/>
    <x v="0"/>
    <n v="-0.96845181588357321"/>
    <x v="0"/>
  </r>
  <r>
    <n v="257"/>
    <d v="2011-01-12T00:00:00"/>
    <n v="1"/>
    <x v="0"/>
    <x v="1"/>
    <x v="0"/>
    <b v="0"/>
    <x v="0"/>
    <n v="3"/>
    <x v="4"/>
    <x v="1"/>
    <n v="2"/>
    <x v="1"/>
    <n v="0.16"/>
    <n v="0.18179999999999999"/>
    <n v="0.86"/>
    <n v="0.1045"/>
    <n v="0"/>
    <n v="6"/>
    <n v="6"/>
    <n v="-0.64378142061299781"/>
    <x v="0"/>
    <n v="-0.98933127206112903"/>
    <x v="0"/>
  </r>
  <r>
    <n v="258"/>
    <d v="2011-01-12T00:00:00"/>
    <n v="1"/>
    <x v="0"/>
    <x v="2"/>
    <x v="0"/>
    <b v="0"/>
    <x v="0"/>
    <n v="3"/>
    <x v="4"/>
    <x v="1"/>
    <n v="1"/>
    <x v="0"/>
    <n v="0.14000000000000001"/>
    <n v="0.1515"/>
    <n v="0.86"/>
    <n v="0.1343"/>
    <n v="0"/>
    <n v="1"/>
    <n v="1"/>
    <n v="-0.64378142061299781"/>
    <x v="0"/>
    <n v="-1.0937285529489083"/>
    <x v="0"/>
  </r>
  <r>
    <n v="259"/>
    <d v="2011-01-12T00:00:00"/>
    <n v="1"/>
    <x v="0"/>
    <x v="5"/>
    <x v="1"/>
    <b v="0"/>
    <x v="0"/>
    <n v="3"/>
    <x v="4"/>
    <x v="1"/>
    <n v="1"/>
    <x v="0"/>
    <n v="0.14000000000000001"/>
    <n v="0.1515"/>
    <n v="0.86"/>
    <n v="0.16420000000000001"/>
    <n v="0"/>
    <n v="5"/>
    <n v="5"/>
    <n v="-0.64378142061299781"/>
    <x v="0"/>
    <n v="-1.010210728238685"/>
    <x v="0"/>
  </r>
  <r>
    <n v="260"/>
    <d v="2011-01-12T00:00:00"/>
    <n v="1"/>
    <x v="0"/>
    <x v="6"/>
    <x v="1"/>
    <b v="0"/>
    <x v="0"/>
    <n v="3"/>
    <x v="4"/>
    <x v="1"/>
    <n v="1"/>
    <x v="0"/>
    <n v="0.12"/>
    <n v="0.1515"/>
    <n v="0.93"/>
    <n v="0.1343"/>
    <n v="0"/>
    <n v="16"/>
    <n v="16"/>
    <n v="-0.64378142061299781"/>
    <x v="0"/>
    <n v="-0.78053671028557059"/>
    <x v="0"/>
  </r>
  <r>
    <n v="261"/>
    <d v="2011-01-12T00:00:00"/>
    <n v="1"/>
    <x v="0"/>
    <x v="7"/>
    <x v="1"/>
    <b v="0"/>
    <x v="0"/>
    <n v="3"/>
    <x v="4"/>
    <x v="1"/>
    <n v="1"/>
    <x v="0"/>
    <n v="0.14000000000000001"/>
    <n v="0.1515"/>
    <n v="0.69"/>
    <n v="0.1343"/>
    <n v="0"/>
    <n v="54"/>
    <n v="54"/>
    <n v="-0.64378142061299781"/>
    <x v="0"/>
    <n v="1.2882624461551907E-2"/>
    <x v="0"/>
  </r>
  <r>
    <n v="262"/>
    <d v="2011-01-12T00:00:00"/>
    <n v="1"/>
    <x v="0"/>
    <x v="8"/>
    <x v="2"/>
    <b v="0"/>
    <x v="0"/>
    <n v="3"/>
    <x v="4"/>
    <x v="1"/>
    <n v="1"/>
    <x v="0"/>
    <n v="0.16"/>
    <n v="0.16669999999999999"/>
    <n v="0.59"/>
    <n v="0.16420000000000001"/>
    <n v="3"/>
    <n v="125"/>
    <n v="128"/>
    <n v="-0.25131154419783963"/>
    <x v="0"/>
    <n v="1.4953240130680174"/>
    <x v="0"/>
  </r>
  <r>
    <n v="263"/>
    <d v="2011-01-12T00:00:00"/>
    <n v="1"/>
    <x v="0"/>
    <x v="9"/>
    <x v="2"/>
    <b v="0"/>
    <x v="0"/>
    <n v="3"/>
    <x v="4"/>
    <x v="1"/>
    <n v="1"/>
    <x v="0"/>
    <n v="0.16"/>
    <n v="0.13639999999999999"/>
    <n v="0.59"/>
    <n v="0.32840000000000003"/>
    <n v="3"/>
    <n v="78"/>
    <n v="81"/>
    <n v="-0.25131154419783963"/>
    <x v="0"/>
    <n v="0.51398957272289236"/>
    <x v="0"/>
  </r>
  <r>
    <n v="264"/>
    <d v="2011-01-12T00:00:00"/>
    <n v="1"/>
    <x v="0"/>
    <x v="10"/>
    <x v="2"/>
    <b v="0"/>
    <x v="0"/>
    <n v="3"/>
    <x v="4"/>
    <x v="1"/>
    <n v="1"/>
    <x v="0"/>
    <n v="0.18"/>
    <n v="0.18179999999999999"/>
    <n v="0.55000000000000004"/>
    <n v="0.22389999999999999"/>
    <n v="0"/>
    <n v="39"/>
    <n v="39"/>
    <n v="-0.64378142061299781"/>
    <x v="0"/>
    <n v="-0.30030921820178591"/>
    <x v="0"/>
  </r>
  <r>
    <n v="265"/>
    <d v="2011-01-12T00:00:00"/>
    <n v="1"/>
    <x v="0"/>
    <x v="11"/>
    <x v="2"/>
    <b v="0"/>
    <x v="0"/>
    <n v="3"/>
    <x v="4"/>
    <x v="1"/>
    <n v="1"/>
    <x v="0"/>
    <n v="0.2"/>
    <n v="0.18179999999999999"/>
    <n v="0.51"/>
    <n v="0.3881"/>
    <n v="3"/>
    <n v="32"/>
    <n v="35"/>
    <n v="-0.25131154419783963"/>
    <x v="0"/>
    <n v="-0.44646541144467689"/>
    <x v="0"/>
  </r>
  <r>
    <n v="266"/>
    <d v="2011-01-12T00:00:00"/>
    <n v="1"/>
    <x v="0"/>
    <x v="12"/>
    <x v="3"/>
    <b v="0"/>
    <x v="0"/>
    <n v="3"/>
    <x v="4"/>
    <x v="1"/>
    <n v="1"/>
    <x v="0"/>
    <n v="0.2"/>
    <n v="0.1515"/>
    <n v="0.47"/>
    <n v="0.58209999999999995"/>
    <n v="3"/>
    <n v="52"/>
    <n v="55"/>
    <n v="-0.25131154419783963"/>
    <x v="0"/>
    <n v="-2.8876287893559803E-2"/>
    <x v="0"/>
  </r>
  <r>
    <n v="267"/>
    <d v="2011-01-12T00:00:00"/>
    <n v="1"/>
    <x v="0"/>
    <x v="13"/>
    <x v="3"/>
    <b v="0"/>
    <x v="0"/>
    <n v="3"/>
    <x v="4"/>
    <x v="1"/>
    <n v="1"/>
    <x v="0"/>
    <n v="0.22"/>
    <n v="0.19700000000000001"/>
    <n v="0.44"/>
    <n v="0.35820000000000002"/>
    <n v="0"/>
    <n v="49"/>
    <n v="49"/>
    <n v="-0.64378142061299781"/>
    <x v="0"/>
    <n v="-9.1514656426227359E-2"/>
    <x v="0"/>
  </r>
  <r>
    <n v="268"/>
    <d v="2011-01-12T00:00:00"/>
    <n v="1"/>
    <x v="0"/>
    <x v="14"/>
    <x v="3"/>
    <b v="0"/>
    <x v="0"/>
    <n v="3"/>
    <x v="4"/>
    <x v="1"/>
    <n v="1"/>
    <x v="0"/>
    <n v="0.2"/>
    <n v="0.18179999999999999"/>
    <n v="0.47"/>
    <n v="0.32840000000000003"/>
    <n v="0"/>
    <n v="44"/>
    <n v="44"/>
    <n v="-0.64378142061299781"/>
    <x v="0"/>
    <n v="-0.19591193731400663"/>
    <x v="0"/>
  </r>
  <r>
    <n v="269"/>
    <d v="2011-01-12T00:00:00"/>
    <n v="1"/>
    <x v="0"/>
    <x v="15"/>
    <x v="3"/>
    <b v="0"/>
    <x v="0"/>
    <n v="3"/>
    <x v="4"/>
    <x v="1"/>
    <n v="1"/>
    <x v="0"/>
    <n v="0.2"/>
    <n v="0.16669999999999999"/>
    <n v="0.47"/>
    <n v="0.41789999999999999"/>
    <n v="1"/>
    <n v="48"/>
    <n v="49"/>
    <n v="-0.51295812847461175"/>
    <x v="0"/>
    <n v="-0.11239411260378322"/>
    <x v="0"/>
  </r>
  <r>
    <n v="270"/>
    <d v="2011-01-12T00:00:00"/>
    <n v="1"/>
    <x v="0"/>
    <x v="16"/>
    <x v="3"/>
    <b v="0"/>
    <x v="0"/>
    <n v="3"/>
    <x v="4"/>
    <x v="1"/>
    <n v="1"/>
    <x v="0"/>
    <n v="0.22"/>
    <n v="0.19700000000000001"/>
    <n v="0.44"/>
    <n v="0.32840000000000003"/>
    <n v="5"/>
    <n v="63"/>
    <n v="68"/>
    <n v="1.0335040078932463E-2"/>
    <x v="0"/>
    <n v="0.20079773005955459"/>
    <x v="0"/>
  </r>
  <r>
    <n v="271"/>
    <d v="2011-01-12T00:00:00"/>
    <n v="1"/>
    <x v="0"/>
    <x v="17"/>
    <x v="4"/>
    <b v="0"/>
    <x v="0"/>
    <n v="3"/>
    <x v="4"/>
    <x v="1"/>
    <n v="1"/>
    <x v="0"/>
    <n v="0.2"/>
    <n v="0.18179999999999999"/>
    <n v="0.47"/>
    <n v="0.35820000000000002"/>
    <n v="0"/>
    <n v="139"/>
    <n v="139"/>
    <n v="-0.64378142061299781"/>
    <x v="0"/>
    <n v="1.7876363995537994"/>
    <x v="0"/>
  </r>
  <r>
    <n v="272"/>
    <d v="2011-01-12T00:00:00"/>
    <n v="1"/>
    <x v="0"/>
    <x v="18"/>
    <x v="4"/>
    <b v="0"/>
    <x v="0"/>
    <n v="3"/>
    <x v="4"/>
    <x v="1"/>
    <n v="1"/>
    <x v="0"/>
    <n v="0.2"/>
    <n v="0.1515"/>
    <n v="0.47"/>
    <n v="0.52239999999999998"/>
    <n v="2"/>
    <n v="135"/>
    <n v="137"/>
    <n v="-0.38213483633622569"/>
    <x v="0"/>
    <n v="1.7041185748435759"/>
    <x v="0"/>
  </r>
  <r>
    <n v="273"/>
    <d v="2011-01-12T00:00:00"/>
    <n v="1"/>
    <x v="0"/>
    <x v="19"/>
    <x v="4"/>
    <b v="0"/>
    <x v="0"/>
    <n v="3"/>
    <x v="4"/>
    <x v="1"/>
    <n v="1"/>
    <x v="0"/>
    <n v="0.18"/>
    <n v="0.1515"/>
    <n v="0.47"/>
    <n v="0.41789999999999999"/>
    <n v="1"/>
    <n v="82"/>
    <n v="83"/>
    <n v="-0.51295812847461175"/>
    <x v="0"/>
    <n v="0.59750739743311576"/>
    <x v="0"/>
  </r>
  <r>
    <n v="274"/>
    <d v="2011-01-12T00:00:00"/>
    <n v="1"/>
    <x v="0"/>
    <x v="20"/>
    <x v="4"/>
    <b v="0"/>
    <x v="0"/>
    <n v="3"/>
    <x v="4"/>
    <x v="1"/>
    <n v="1"/>
    <x v="0"/>
    <n v="0.16"/>
    <n v="0.13639999999999999"/>
    <n v="0.5"/>
    <n v="0.32840000000000003"/>
    <n v="2"/>
    <n v="54"/>
    <n v="56"/>
    <n v="-0.38213483633622569"/>
    <x v="0"/>
    <n v="1.2882624461551907E-2"/>
    <x v="0"/>
  </r>
  <r>
    <n v="275"/>
    <d v="2011-01-12T00:00:00"/>
    <n v="1"/>
    <x v="0"/>
    <x v="21"/>
    <x v="0"/>
    <b v="0"/>
    <x v="0"/>
    <n v="3"/>
    <x v="4"/>
    <x v="1"/>
    <n v="1"/>
    <x v="0"/>
    <n v="0.16"/>
    <n v="0.13639999999999999"/>
    <n v="0.55000000000000004"/>
    <n v="0.32840000000000003"/>
    <n v="0"/>
    <n v="57"/>
    <n v="57"/>
    <n v="-0.64378142061299781"/>
    <x v="0"/>
    <n v="7.5520992994219466E-2"/>
    <x v="0"/>
  </r>
  <r>
    <n v="276"/>
    <d v="2011-01-12T00:00:00"/>
    <n v="1"/>
    <x v="0"/>
    <x v="22"/>
    <x v="0"/>
    <b v="0"/>
    <x v="0"/>
    <n v="3"/>
    <x v="4"/>
    <x v="1"/>
    <n v="1"/>
    <x v="0"/>
    <n v="0.16"/>
    <n v="0.1212"/>
    <n v="0.55000000000000004"/>
    <n v="0.44779999999999998"/>
    <n v="1"/>
    <n v="32"/>
    <n v="33"/>
    <n v="-0.51295812847461175"/>
    <x v="0"/>
    <n v="-0.44646541144467689"/>
    <x v="0"/>
  </r>
  <r>
    <n v="277"/>
    <d v="2011-01-12T00:00:00"/>
    <n v="1"/>
    <x v="0"/>
    <x v="23"/>
    <x v="0"/>
    <b v="0"/>
    <x v="0"/>
    <n v="3"/>
    <x v="4"/>
    <x v="1"/>
    <n v="1"/>
    <x v="0"/>
    <n v="0.14000000000000001"/>
    <n v="0.1061"/>
    <n v="0.59"/>
    <n v="0.41789999999999999"/>
    <n v="1"/>
    <n v="19"/>
    <n v="20"/>
    <n v="-0.51295812847461175"/>
    <x v="0"/>
    <n v="-0.71789834175290301"/>
    <x v="0"/>
  </r>
  <r>
    <n v="278"/>
    <d v="2011-01-13T00:00:00"/>
    <n v="1"/>
    <x v="0"/>
    <x v="0"/>
    <x v="0"/>
    <b v="0"/>
    <x v="0"/>
    <n v="4"/>
    <x v="5"/>
    <x v="1"/>
    <n v="1"/>
    <x v="0"/>
    <n v="0.14000000000000001"/>
    <n v="0.1212"/>
    <n v="0.59"/>
    <n v="0.28360000000000002"/>
    <n v="1"/>
    <n v="6"/>
    <n v="7"/>
    <n v="-0.51295812847461175"/>
    <x v="0"/>
    <n v="-0.98933127206112903"/>
    <x v="0"/>
  </r>
  <r>
    <n v="279"/>
    <d v="2011-01-13T00:00:00"/>
    <n v="1"/>
    <x v="0"/>
    <x v="1"/>
    <x v="0"/>
    <b v="0"/>
    <x v="0"/>
    <n v="4"/>
    <x v="5"/>
    <x v="1"/>
    <n v="1"/>
    <x v="0"/>
    <n v="0.14000000000000001"/>
    <n v="0.1212"/>
    <n v="0.5"/>
    <n v="0.28360000000000002"/>
    <n v="0"/>
    <n v="2"/>
    <n v="2"/>
    <n v="-0.64378142061299781"/>
    <x v="0"/>
    <n v="-1.0728490967713524"/>
    <x v="0"/>
  </r>
  <r>
    <n v="280"/>
    <d v="2011-01-13T00:00:00"/>
    <n v="1"/>
    <x v="0"/>
    <x v="2"/>
    <x v="0"/>
    <b v="0"/>
    <x v="0"/>
    <n v="4"/>
    <x v="5"/>
    <x v="1"/>
    <n v="1"/>
    <x v="0"/>
    <n v="0.14000000000000001"/>
    <n v="0.1212"/>
    <n v="0.5"/>
    <n v="0.35820000000000002"/>
    <n v="0"/>
    <n v="2"/>
    <n v="2"/>
    <n v="-0.64378142061299781"/>
    <x v="0"/>
    <n v="-1.0728490967713524"/>
    <x v="0"/>
  </r>
  <r>
    <n v="281"/>
    <d v="2011-01-13T00:00:00"/>
    <n v="1"/>
    <x v="0"/>
    <x v="3"/>
    <x v="0"/>
    <b v="0"/>
    <x v="0"/>
    <n v="4"/>
    <x v="5"/>
    <x v="1"/>
    <n v="1"/>
    <x v="0"/>
    <n v="0.14000000000000001"/>
    <n v="0.1212"/>
    <n v="0.5"/>
    <n v="0.32840000000000003"/>
    <n v="0"/>
    <n v="3"/>
    <n v="3"/>
    <n v="-0.64378142061299781"/>
    <x v="0"/>
    <n v="-1.0519696405937966"/>
    <x v="0"/>
  </r>
  <r>
    <n v="282"/>
    <d v="2011-01-13T00:00:00"/>
    <n v="1"/>
    <x v="0"/>
    <x v="4"/>
    <x v="0"/>
    <b v="0"/>
    <x v="0"/>
    <n v="4"/>
    <x v="5"/>
    <x v="1"/>
    <n v="1"/>
    <x v="0"/>
    <n v="0.14000000000000001"/>
    <n v="0.1212"/>
    <n v="0.5"/>
    <n v="0.25369999999999998"/>
    <n v="0"/>
    <n v="4"/>
    <n v="4"/>
    <n v="-0.64378142061299781"/>
    <x v="0"/>
    <n v="-1.0310901844162408"/>
    <x v="0"/>
  </r>
  <r>
    <n v="283"/>
    <d v="2011-01-13T00:00:00"/>
    <n v="1"/>
    <x v="0"/>
    <x v="5"/>
    <x v="1"/>
    <b v="0"/>
    <x v="0"/>
    <n v="4"/>
    <x v="5"/>
    <x v="1"/>
    <n v="1"/>
    <x v="0"/>
    <n v="0.14000000000000001"/>
    <n v="0.1212"/>
    <n v="0.5"/>
    <n v="0.29849999999999999"/>
    <n v="0"/>
    <n v="3"/>
    <n v="3"/>
    <n v="-0.64378142061299781"/>
    <x v="0"/>
    <n v="-1.0519696405937966"/>
    <x v="0"/>
  </r>
  <r>
    <n v="284"/>
    <d v="2011-01-13T00:00:00"/>
    <n v="1"/>
    <x v="0"/>
    <x v="6"/>
    <x v="1"/>
    <b v="0"/>
    <x v="0"/>
    <n v="4"/>
    <x v="5"/>
    <x v="1"/>
    <n v="1"/>
    <x v="0"/>
    <n v="0.12"/>
    <n v="0.1515"/>
    <n v="0.54"/>
    <n v="0.1343"/>
    <n v="0"/>
    <n v="28"/>
    <n v="28"/>
    <n v="-0.64378142061299781"/>
    <x v="0"/>
    <n v="-0.52998323615490028"/>
    <x v="0"/>
  </r>
  <r>
    <n v="285"/>
    <d v="2011-01-13T00:00:00"/>
    <n v="1"/>
    <x v="0"/>
    <x v="7"/>
    <x v="1"/>
    <b v="0"/>
    <x v="0"/>
    <n v="4"/>
    <x v="5"/>
    <x v="1"/>
    <n v="1"/>
    <x v="0"/>
    <n v="0.12"/>
    <n v="0.1515"/>
    <n v="0.54"/>
    <n v="0.1343"/>
    <n v="0"/>
    <n v="72"/>
    <n v="72"/>
    <n v="-0.64378142061299781"/>
    <x v="0"/>
    <n v="0.38871283565755727"/>
    <x v="0"/>
  </r>
  <r>
    <n v="286"/>
    <d v="2011-01-13T00:00:00"/>
    <n v="1"/>
    <x v="0"/>
    <x v="8"/>
    <x v="2"/>
    <b v="0"/>
    <x v="0"/>
    <n v="4"/>
    <x v="5"/>
    <x v="1"/>
    <n v="1"/>
    <x v="0"/>
    <n v="0.14000000000000001"/>
    <n v="0.13639999999999999"/>
    <n v="0.5"/>
    <n v="0.19400000000000001"/>
    <n v="5"/>
    <n v="197"/>
    <n v="202"/>
    <n v="1.0335040078932463E-2"/>
    <x v="0"/>
    <n v="2.9986448578520388"/>
    <x v="1"/>
  </r>
  <r>
    <n v="287"/>
    <d v="2011-01-13T00:00:00"/>
    <n v="1"/>
    <x v="0"/>
    <x v="9"/>
    <x v="2"/>
    <b v="0"/>
    <x v="0"/>
    <n v="4"/>
    <x v="5"/>
    <x v="1"/>
    <n v="1"/>
    <x v="0"/>
    <n v="0.14000000000000001"/>
    <n v="0.1212"/>
    <n v="0.5"/>
    <n v="0.32840000000000003"/>
    <n v="2"/>
    <n v="137"/>
    <n v="139"/>
    <n v="-0.38213483633622569"/>
    <x v="0"/>
    <n v="1.7458774871986877"/>
    <x v="0"/>
  </r>
  <r>
    <n v="288"/>
    <d v="2011-01-13T00:00:00"/>
    <n v="1"/>
    <x v="0"/>
    <x v="10"/>
    <x v="2"/>
    <b v="0"/>
    <x v="0"/>
    <n v="4"/>
    <x v="5"/>
    <x v="1"/>
    <n v="2"/>
    <x v="1"/>
    <n v="0.16"/>
    <n v="0.13639999999999999"/>
    <n v="0.5"/>
    <n v="0.35820000000000002"/>
    <n v="2"/>
    <n v="36"/>
    <n v="38"/>
    <n v="-0.38213483633622569"/>
    <x v="0"/>
    <n v="-0.36294758673445349"/>
    <x v="0"/>
  </r>
  <r>
    <n v="289"/>
    <d v="2011-01-13T00:00:00"/>
    <n v="1"/>
    <x v="0"/>
    <x v="11"/>
    <x v="2"/>
    <b v="0"/>
    <x v="0"/>
    <n v="4"/>
    <x v="5"/>
    <x v="1"/>
    <n v="2"/>
    <x v="1"/>
    <n v="0.2"/>
    <n v="0.16669999999999999"/>
    <n v="0.44"/>
    <n v="0.44779999999999998"/>
    <n v="4"/>
    <n v="33"/>
    <n v="37"/>
    <n v="-0.1204882520594536"/>
    <x v="0"/>
    <n v="-0.42558595526712101"/>
    <x v="0"/>
  </r>
  <r>
    <n v="290"/>
    <d v="2011-01-13T00:00:00"/>
    <n v="1"/>
    <x v="0"/>
    <x v="12"/>
    <x v="3"/>
    <b v="0"/>
    <x v="0"/>
    <n v="4"/>
    <x v="5"/>
    <x v="1"/>
    <n v="1"/>
    <x v="0"/>
    <n v="0.2"/>
    <n v="0.16669999999999999"/>
    <n v="0.44"/>
    <n v="0.41789999999999999"/>
    <n v="3"/>
    <n v="49"/>
    <n v="52"/>
    <n v="-0.25131154419783963"/>
    <x v="0"/>
    <n v="-9.1514656426227359E-2"/>
    <x v="0"/>
  </r>
  <r>
    <n v="291"/>
    <d v="2011-01-13T00:00:00"/>
    <n v="1"/>
    <x v="0"/>
    <x v="13"/>
    <x v="3"/>
    <b v="0"/>
    <x v="0"/>
    <n v="4"/>
    <x v="5"/>
    <x v="1"/>
    <n v="1"/>
    <x v="0"/>
    <n v="0.22"/>
    <n v="0.19700000000000001"/>
    <n v="0.41"/>
    <n v="0.44779999999999998"/>
    <n v="2"/>
    <n v="81"/>
    <n v="83"/>
    <n v="-0.38213483633622569"/>
    <x v="0"/>
    <n v="0.57662794125555994"/>
    <x v="0"/>
  </r>
  <r>
    <n v="292"/>
    <d v="2011-01-13T00:00:00"/>
    <n v="1"/>
    <x v="0"/>
    <x v="14"/>
    <x v="3"/>
    <b v="0"/>
    <x v="0"/>
    <n v="4"/>
    <x v="5"/>
    <x v="1"/>
    <n v="1"/>
    <x v="0"/>
    <n v="0.22"/>
    <n v="0.19700000000000001"/>
    <n v="0.41"/>
    <n v="0.3881"/>
    <n v="3"/>
    <n v="39"/>
    <n v="42"/>
    <n v="-0.25131154419783963"/>
    <x v="0"/>
    <n v="-0.30030921820178591"/>
    <x v="0"/>
  </r>
  <r>
    <n v="293"/>
    <d v="2011-01-13T00:00:00"/>
    <n v="1"/>
    <x v="0"/>
    <x v="15"/>
    <x v="3"/>
    <b v="0"/>
    <x v="0"/>
    <n v="4"/>
    <x v="5"/>
    <x v="1"/>
    <n v="1"/>
    <x v="0"/>
    <n v="0.24"/>
    <n v="0.21210000000000001"/>
    <n v="0.38"/>
    <n v="0.29849999999999999"/>
    <n v="5"/>
    <n v="55"/>
    <n v="60"/>
    <n v="1.0335040078932463E-2"/>
    <x v="0"/>
    <n v="3.376208063910776E-2"/>
    <x v="0"/>
  </r>
  <r>
    <n v="294"/>
    <d v="2011-01-13T00:00:00"/>
    <n v="1"/>
    <x v="0"/>
    <x v="16"/>
    <x v="3"/>
    <b v="0"/>
    <x v="0"/>
    <n v="4"/>
    <x v="5"/>
    <x v="1"/>
    <n v="1"/>
    <x v="0"/>
    <n v="0.24"/>
    <n v="0.21210000000000001"/>
    <n v="0.38"/>
    <n v="0.35820000000000002"/>
    <n v="2"/>
    <n v="76"/>
    <n v="78"/>
    <n v="-0.38213483633622569"/>
    <x v="0"/>
    <n v="0.47223066036778072"/>
    <x v="0"/>
  </r>
  <r>
    <n v="295"/>
    <d v="2011-01-13T00:00:00"/>
    <n v="1"/>
    <x v="0"/>
    <x v="17"/>
    <x v="4"/>
    <b v="0"/>
    <x v="0"/>
    <n v="4"/>
    <x v="5"/>
    <x v="1"/>
    <n v="1"/>
    <x v="0"/>
    <n v="0.2"/>
    <n v="0.18179999999999999"/>
    <n v="0.4"/>
    <n v="0.28360000000000002"/>
    <n v="4"/>
    <n v="158"/>
    <n v="162"/>
    <n v="-0.1204882520594536"/>
    <x v="0"/>
    <n v="2.1843460669273607"/>
    <x v="1"/>
  </r>
  <r>
    <n v="296"/>
    <d v="2011-01-13T00:00:00"/>
    <n v="1"/>
    <x v="0"/>
    <x v="18"/>
    <x v="4"/>
    <b v="0"/>
    <x v="0"/>
    <n v="4"/>
    <x v="5"/>
    <x v="1"/>
    <n v="1"/>
    <x v="0"/>
    <n v="0.2"/>
    <n v="0.18179999999999999"/>
    <n v="0.4"/>
    <n v="0.32840000000000003"/>
    <n v="3"/>
    <n v="141"/>
    <n v="144"/>
    <n v="-0.25131154419783963"/>
    <x v="0"/>
    <n v="1.829395311908911"/>
    <x v="0"/>
  </r>
  <r>
    <n v="297"/>
    <d v="2011-01-13T00:00:00"/>
    <n v="1"/>
    <x v="0"/>
    <x v="19"/>
    <x v="4"/>
    <b v="0"/>
    <x v="0"/>
    <n v="4"/>
    <x v="5"/>
    <x v="1"/>
    <n v="1"/>
    <x v="0"/>
    <n v="0.16"/>
    <n v="0.1515"/>
    <n v="0.47"/>
    <n v="0.25369999999999998"/>
    <n v="1"/>
    <n v="98"/>
    <n v="99"/>
    <n v="-0.51295812847461175"/>
    <x v="0"/>
    <n v="0.93157869627400947"/>
    <x v="0"/>
  </r>
  <r>
    <n v="298"/>
    <d v="2011-01-13T00:00:00"/>
    <n v="1"/>
    <x v="0"/>
    <x v="20"/>
    <x v="4"/>
    <b v="0"/>
    <x v="0"/>
    <n v="4"/>
    <x v="5"/>
    <x v="1"/>
    <n v="1"/>
    <x v="0"/>
    <n v="0.16"/>
    <n v="0.1515"/>
    <n v="0.47"/>
    <n v="0.22389999999999999"/>
    <n v="0"/>
    <n v="64"/>
    <n v="64"/>
    <n v="-0.64378142061299781"/>
    <x v="0"/>
    <n v="0.22167718623711044"/>
    <x v="0"/>
  </r>
  <r>
    <n v="299"/>
    <d v="2011-01-13T00:00:00"/>
    <n v="1"/>
    <x v="0"/>
    <x v="21"/>
    <x v="0"/>
    <b v="0"/>
    <x v="0"/>
    <n v="4"/>
    <x v="5"/>
    <x v="1"/>
    <n v="1"/>
    <x v="0"/>
    <n v="0.14000000000000001"/>
    <n v="0.1212"/>
    <n v="0.46"/>
    <n v="0.29849999999999999"/>
    <n v="0"/>
    <n v="40"/>
    <n v="40"/>
    <n v="-0.64378142061299781"/>
    <x v="0"/>
    <n v="-0.27942976202423003"/>
    <x v="0"/>
  </r>
  <r>
    <n v="300"/>
    <d v="2011-01-13T00:00:00"/>
    <n v="1"/>
    <x v="0"/>
    <x v="22"/>
    <x v="0"/>
    <b v="0"/>
    <x v="0"/>
    <n v="4"/>
    <x v="5"/>
    <x v="1"/>
    <n v="1"/>
    <x v="0"/>
    <n v="0.14000000000000001"/>
    <n v="0.1212"/>
    <n v="0.46"/>
    <n v="0.32840000000000003"/>
    <n v="0"/>
    <n v="30"/>
    <n v="30"/>
    <n v="-0.64378142061299781"/>
    <x v="0"/>
    <n v="-0.48822432379978858"/>
    <x v="0"/>
  </r>
  <r>
    <n v="301"/>
    <d v="2011-01-13T00:00:00"/>
    <n v="1"/>
    <x v="0"/>
    <x v="23"/>
    <x v="0"/>
    <b v="0"/>
    <x v="0"/>
    <n v="4"/>
    <x v="5"/>
    <x v="1"/>
    <n v="1"/>
    <x v="0"/>
    <n v="0.12"/>
    <n v="0.13639999999999999"/>
    <n v="0.5"/>
    <n v="0.19400000000000001"/>
    <n v="1"/>
    <n v="14"/>
    <n v="15"/>
    <n v="-0.51295812847461175"/>
    <x v="0"/>
    <n v="-0.82229562264068223"/>
    <x v="0"/>
  </r>
  <r>
    <n v="302"/>
    <d v="2011-01-14T00:00:00"/>
    <n v="1"/>
    <x v="0"/>
    <x v="0"/>
    <x v="0"/>
    <b v="0"/>
    <x v="0"/>
    <n v="5"/>
    <x v="6"/>
    <x v="1"/>
    <n v="1"/>
    <x v="0"/>
    <n v="0.12"/>
    <n v="0.13639999999999999"/>
    <n v="0.5"/>
    <n v="0.19400000000000001"/>
    <n v="0"/>
    <n v="14"/>
    <n v="14"/>
    <n v="-0.64378142061299781"/>
    <x v="0"/>
    <n v="-0.82229562264068223"/>
    <x v="0"/>
  </r>
  <r>
    <n v="303"/>
    <d v="2011-01-14T00:00:00"/>
    <n v="1"/>
    <x v="0"/>
    <x v="1"/>
    <x v="0"/>
    <b v="0"/>
    <x v="0"/>
    <n v="5"/>
    <x v="6"/>
    <x v="1"/>
    <n v="1"/>
    <x v="0"/>
    <n v="0.1"/>
    <n v="0.1212"/>
    <n v="0.54"/>
    <n v="0.16420000000000001"/>
    <n v="0"/>
    <n v="5"/>
    <n v="5"/>
    <n v="-0.64378142061299781"/>
    <x v="0"/>
    <n v="-1.010210728238685"/>
    <x v="0"/>
  </r>
  <r>
    <n v="304"/>
    <d v="2011-01-14T00:00:00"/>
    <n v="1"/>
    <x v="0"/>
    <x v="2"/>
    <x v="0"/>
    <b v="0"/>
    <x v="0"/>
    <n v="5"/>
    <x v="6"/>
    <x v="1"/>
    <n v="1"/>
    <x v="0"/>
    <n v="0.1"/>
    <n v="0.1212"/>
    <n v="0.54"/>
    <n v="0.1343"/>
    <n v="0"/>
    <n v="1"/>
    <n v="1"/>
    <n v="-0.64378142061299781"/>
    <x v="0"/>
    <n v="-1.0937285529489083"/>
    <x v="0"/>
  </r>
  <r>
    <n v="305"/>
    <d v="2011-01-14T00:00:00"/>
    <n v="1"/>
    <x v="0"/>
    <x v="3"/>
    <x v="0"/>
    <b v="0"/>
    <x v="0"/>
    <n v="5"/>
    <x v="6"/>
    <x v="1"/>
    <n v="1"/>
    <x v="0"/>
    <n v="0.1"/>
    <n v="0.13639999999999999"/>
    <n v="0.54"/>
    <n v="0.1045"/>
    <n v="0"/>
    <n v="1"/>
    <n v="1"/>
    <n v="-0.64378142061299781"/>
    <x v="0"/>
    <n v="-1.0937285529489083"/>
    <x v="0"/>
  </r>
  <r>
    <n v="306"/>
    <d v="2011-01-14T00:00:00"/>
    <n v="1"/>
    <x v="0"/>
    <x v="5"/>
    <x v="1"/>
    <b v="0"/>
    <x v="0"/>
    <n v="5"/>
    <x v="6"/>
    <x v="1"/>
    <n v="1"/>
    <x v="0"/>
    <n v="0.1"/>
    <n v="0.13639999999999999"/>
    <n v="0.54"/>
    <n v="8.9599999999999999E-2"/>
    <n v="0"/>
    <n v="8"/>
    <n v="8"/>
    <n v="-0.64378142061299781"/>
    <x v="0"/>
    <n v="-0.94757235970601739"/>
    <x v="0"/>
  </r>
  <r>
    <n v="307"/>
    <d v="2011-01-14T00:00:00"/>
    <n v="1"/>
    <x v="0"/>
    <x v="6"/>
    <x v="1"/>
    <b v="0"/>
    <x v="0"/>
    <n v="5"/>
    <x v="6"/>
    <x v="1"/>
    <n v="1"/>
    <x v="0"/>
    <n v="0.1"/>
    <n v="0.18179999999999999"/>
    <n v="0.54"/>
    <n v="0"/>
    <n v="0"/>
    <n v="17"/>
    <n v="17"/>
    <n v="-0.64378142061299781"/>
    <x v="0"/>
    <n v="-0.75965725410801466"/>
    <x v="0"/>
  </r>
  <r>
    <n v="308"/>
    <d v="2011-01-14T00:00:00"/>
    <n v="1"/>
    <x v="0"/>
    <x v="7"/>
    <x v="1"/>
    <b v="0"/>
    <x v="0"/>
    <n v="5"/>
    <x v="6"/>
    <x v="1"/>
    <n v="1"/>
    <x v="0"/>
    <n v="0.1"/>
    <n v="0.1212"/>
    <n v="0.74"/>
    <n v="0.16420000000000001"/>
    <n v="0"/>
    <n v="70"/>
    <n v="70"/>
    <n v="-0.64378142061299781"/>
    <x v="0"/>
    <n v="0.34695392330244557"/>
    <x v="0"/>
  </r>
  <r>
    <n v="309"/>
    <d v="2011-01-14T00:00:00"/>
    <n v="1"/>
    <x v="0"/>
    <x v="8"/>
    <x v="2"/>
    <b v="0"/>
    <x v="0"/>
    <n v="5"/>
    <x v="6"/>
    <x v="1"/>
    <n v="1"/>
    <x v="0"/>
    <n v="0.12"/>
    <n v="0.16669999999999999"/>
    <n v="0.68"/>
    <n v="0"/>
    <n v="2"/>
    <n v="156"/>
    <n v="158"/>
    <n v="-0.38213483633622569"/>
    <x v="0"/>
    <n v="2.142587154572249"/>
    <x v="1"/>
  </r>
  <r>
    <n v="310"/>
    <d v="2011-01-14T00:00:00"/>
    <n v="1"/>
    <x v="0"/>
    <x v="9"/>
    <x v="2"/>
    <b v="0"/>
    <x v="0"/>
    <n v="5"/>
    <x v="6"/>
    <x v="1"/>
    <n v="1"/>
    <x v="0"/>
    <n v="0.14000000000000001"/>
    <n v="0.1515"/>
    <n v="0.69"/>
    <n v="0.1343"/>
    <n v="0"/>
    <n v="117"/>
    <n v="117"/>
    <n v="-0.64378142061299781"/>
    <x v="0"/>
    <n v="1.3282883636475706"/>
    <x v="0"/>
  </r>
  <r>
    <n v="311"/>
    <d v="2011-01-14T00:00:00"/>
    <n v="1"/>
    <x v="0"/>
    <x v="10"/>
    <x v="2"/>
    <b v="0"/>
    <x v="0"/>
    <n v="5"/>
    <x v="6"/>
    <x v="1"/>
    <n v="1"/>
    <x v="0"/>
    <n v="0.18"/>
    <n v="0.18179999999999999"/>
    <n v="0.55000000000000004"/>
    <n v="0.19400000000000001"/>
    <n v="4"/>
    <n v="40"/>
    <n v="44"/>
    <n v="-0.1204882520594536"/>
    <x v="0"/>
    <n v="-0.27942976202423003"/>
    <x v="0"/>
  </r>
  <r>
    <n v="312"/>
    <d v="2011-01-14T00:00:00"/>
    <n v="1"/>
    <x v="0"/>
    <x v="11"/>
    <x v="2"/>
    <b v="0"/>
    <x v="0"/>
    <n v="5"/>
    <x v="6"/>
    <x v="1"/>
    <n v="1"/>
    <x v="0"/>
    <n v="0.18"/>
    <n v="0.16669999999999999"/>
    <n v="0.51"/>
    <n v="0.28360000000000002"/>
    <n v="6"/>
    <n v="47"/>
    <n v="53"/>
    <n v="0.14115833221731852"/>
    <x v="0"/>
    <n v="-0.13327356878133906"/>
    <x v="0"/>
  </r>
  <r>
    <n v="313"/>
    <d v="2011-01-14T00:00:00"/>
    <n v="1"/>
    <x v="0"/>
    <x v="12"/>
    <x v="3"/>
    <b v="0"/>
    <x v="0"/>
    <n v="5"/>
    <x v="6"/>
    <x v="1"/>
    <n v="1"/>
    <x v="0"/>
    <n v="0.2"/>
    <n v="0.19700000000000001"/>
    <n v="0.44"/>
    <n v="0.25369999999999998"/>
    <n v="2"/>
    <n v="59"/>
    <n v="61"/>
    <n v="-0.38213483633622569"/>
    <x v="0"/>
    <n v="0.11727990534933118"/>
    <x v="0"/>
  </r>
  <r>
    <n v="314"/>
    <d v="2011-01-14T00:00:00"/>
    <n v="1"/>
    <x v="0"/>
    <x v="13"/>
    <x v="3"/>
    <b v="0"/>
    <x v="0"/>
    <n v="5"/>
    <x v="6"/>
    <x v="1"/>
    <n v="1"/>
    <x v="0"/>
    <n v="0.22"/>
    <n v="0.19700000000000001"/>
    <n v="0.37"/>
    <n v="0.3881"/>
    <n v="4"/>
    <n v="73"/>
    <n v="77"/>
    <n v="-0.1204882520594536"/>
    <x v="0"/>
    <n v="0.40959229183511314"/>
    <x v="0"/>
  </r>
  <r>
    <n v="315"/>
    <d v="2011-01-14T00:00:00"/>
    <n v="1"/>
    <x v="0"/>
    <x v="14"/>
    <x v="3"/>
    <b v="0"/>
    <x v="0"/>
    <n v="5"/>
    <x v="6"/>
    <x v="1"/>
    <n v="1"/>
    <x v="0"/>
    <n v="0.22"/>
    <n v="0.21210000000000001"/>
    <n v="0.41"/>
    <n v="0.28360000000000002"/>
    <n v="5"/>
    <n v="59"/>
    <n v="64"/>
    <n v="1.0335040078932463E-2"/>
    <x v="0"/>
    <n v="0.11727990534933118"/>
    <x v="0"/>
  </r>
  <r>
    <n v="316"/>
    <d v="2011-01-14T00:00:00"/>
    <n v="1"/>
    <x v="0"/>
    <x v="15"/>
    <x v="3"/>
    <b v="0"/>
    <x v="0"/>
    <n v="5"/>
    <x v="6"/>
    <x v="1"/>
    <n v="1"/>
    <x v="0"/>
    <n v="0.24"/>
    <n v="0.2424"/>
    <n v="0.38"/>
    <n v="0.16420000000000001"/>
    <n v="9"/>
    <n v="59"/>
    <n v="68"/>
    <n v="0.53362820863247673"/>
    <x v="0"/>
    <n v="0.11727990534933118"/>
    <x v="0"/>
  </r>
  <r>
    <n v="317"/>
    <d v="2011-01-14T00:00:00"/>
    <n v="1"/>
    <x v="0"/>
    <x v="16"/>
    <x v="3"/>
    <b v="0"/>
    <x v="0"/>
    <n v="5"/>
    <x v="6"/>
    <x v="1"/>
    <n v="1"/>
    <x v="0"/>
    <n v="0.22"/>
    <n v="0.2424"/>
    <n v="0.41"/>
    <n v="0.1045"/>
    <n v="3"/>
    <n v="87"/>
    <n v="90"/>
    <n v="-0.25131154419783963"/>
    <x v="0"/>
    <n v="0.70190467832089509"/>
    <x v="0"/>
  </r>
  <r>
    <n v="318"/>
    <d v="2011-01-14T00:00:00"/>
    <n v="1"/>
    <x v="0"/>
    <x v="17"/>
    <x v="4"/>
    <b v="0"/>
    <x v="0"/>
    <n v="5"/>
    <x v="6"/>
    <x v="1"/>
    <n v="1"/>
    <x v="0"/>
    <n v="0.22"/>
    <n v="0.2273"/>
    <n v="0.41"/>
    <n v="0.16420000000000001"/>
    <n v="4"/>
    <n v="155"/>
    <n v="159"/>
    <n v="-0.1204882520594536"/>
    <x v="0"/>
    <n v="2.121707698394693"/>
    <x v="1"/>
  </r>
  <r>
    <n v="319"/>
    <d v="2011-01-14T00:00:00"/>
    <n v="1"/>
    <x v="0"/>
    <x v="18"/>
    <x v="4"/>
    <b v="0"/>
    <x v="0"/>
    <n v="5"/>
    <x v="6"/>
    <x v="1"/>
    <n v="1"/>
    <x v="0"/>
    <n v="0.2"/>
    <n v="0.2576"/>
    <n v="0.47"/>
    <n v="0"/>
    <n v="5"/>
    <n v="134"/>
    <n v="139"/>
    <n v="1.0335040078932463E-2"/>
    <x v="0"/>
    <n v="1.6832391186660201"/>
    <x v="0"/>
  </r>
  <r>
    <n v="320"/>
    <d v="2011-01-14T00:00:00"/>
    <n v="1"/>
    <x v="0"/>
    <x v="19"/>
    <x v="4"/>
    <b v="0"/>
    <x v="0"/>
    <n v="5"/>
    <x v="6"/>
    <x v="1"/>
    <n v="1"/>
    <x v="0"/>
    <n v="0.16"/>
    <n v="0.19700000000000001"/>
    <n v="0.59"/>
    <n v="8.9599999999999999E-2"/>
    <n v="3"/>
    <n v="89"/>
    <n v="92"/>
    <n v="-0.25131154419783963"/>
    <x v="0"/>
    <n v="0.74366359067600685"/>
    <x v="0"/>
  </r>
  <r>
    <n v="321"/>
    <d v="2011-01-14T00:00:00"/>
    <n v="1"/>
    <x v="0"/>
    <x v="20"/>
    <x v="4"/>
    <b v="0"/>
    <x v="0"/>
    <n v="5"/>
    <x v="6"/>
    <x v="1"/>
    <n v="1"/>
    <x v="0"/>
    <n v="0.18"/>
    <n v="0.2424"/>
    <n v="0.59"/>
    <n v="0"/>
    <n v="0"/>
    <n v="68"/>
    <n v="68"/>
    <n v="-0.64378142061299781"/>
    <x v="0"/>
    <n v="0.30519501094733387"/>
    <x v="0"/>
  </r>
  <r>
    <n v="322"/>
    <d v="2011-01-14T00:00:00"/>
    <n v="1"/>
    <x v="0"/>
    <x v="21"/>
    <x v="0"/>
    <b v="0"/>
    <x v="0"/>
    <n v="5"/>
    <x v="6"/>
    <x v="1"/>
    <n v="1"/>
    <x v="0"/>
    <n v="0.16"/>
    <n v="0.2273"/>
    <n v="0.69"/>
    <n v="0"/>
    <n v="4"/>
    <n v="48"/>
    <n v="52"/>
    <n v="-0.1204882520594536"/>
    <x v="0"/>
    <n v="-0.11239411260378322"/>
    <x v="0"/>
  </r>
  <r>
    <n v="323"/>
    <d v="2011-01-14T00:00:00"/>
    <n v="1"/>
    <x v="0"/>
    <x v="22"/>
    <x v="0"/>
    <b v="0"/>
    <x v="0"/>
    <n v="5"/>
    <x v="6"/>
    <x v="1"/>
    <n v="2"/>
    <x v="1"/>
    <n v="0.16"/>
    <n v="0.2273"/>
    <n v="0.69"/>
    <n v="0"/>
    <n v="2"/>
    <n v="34"/>
    <n v="36"/>
    <n v="-0.38213483633622569"/>
    <x v="0"/>
    <n v="-0.40470649908956519"/>
    <x v="0"/>
  </r>
  <r>
    <n v="324"/>
    <d v="2011-01-14T00:00:00"/>
    <n v="1"/>
    <x v="0"/>
    <x v="23"/>
    <x v="0"/>
    <b v="0"/>
    <x v="0"/>
    <n v="5"/>
    <x v="6"/>
    <x v="1"/>
    <n v="2"/>
    <x v="1"/>
    <n v="0.18"/>
    <n v="0.2424"/>
    <n v="0.55000000000000004"/>
    <n v="0"/>
    <n v="1"/>
    <n v="26"/>
    <n v="27"/>
    <n v="-0.51295812847461175"/>
    <x v="0"/>
    <n v="-0.57174214851001204"/>
    <x v="0"/>
  </r>
  <r>
    <n v="325"/>
    <d v="2011-01-15T00:00:00"/>
    <n v="1"/>
    <x v="0"/>
    <x v="0"/>
    <x v="0"/>
    <b v="0"/>
    <x v="0"/>
    <n v="6"/>
    <x v="0"/>
    <x v="0"/>
    <n v="1"/>
    <x v="0"/>
    <n v="0.18"/>
    <n v="0.2424"/>
    <n v="0.55000000000000004"/>
    <n v="0"/>
    <n v="3"/>
    <n v="25"/>
    <n v="28"/>
    <n v="-0.25131154419783963"/>
    <x v="0"/>
    <n v="-0.59262160468756786"/>
    <x v="0"/>
  </r>
  <r>
    <n v="326"/>
    <d v="2011-01-15T00:00:00"/>
    <n v="1"/>
    <x v="0"/>
    <x v="1"/>
    <x v="0"/>
    <b v="0"/>
    <x v="0"/>
    <n v="6"/>
    <x v="0"/>
    <x v="0"/>
    <n v="2"/>
    <x v="1"/>
    <n v="0.16"/>
    <n v="0.19700000000000001"/>
    <n v="0.59"/>
    <n v="8.9599999999999999E-2"/>
    <n v="2"/>
    <n v="18"/>
    <n v="20"/>
    <n v="-0.38213483633622569"/>
    <x v="0"/>
    <n v="-0.73877779793045883"/>
    <x v="0"/>
  </r>
  <r>
    <n v="327"/>
    <d v="2011-01-15T00:00:00"/>
    <n v="1"/>
    <x v="0"/>
    <x v="2"/>
    <x v="0"/>
    <b v="0"/>
    <x v="0"/>
    <n v="6"/>
    <x v="0"/>
    <x v="0"/>
    <n v="2"/>
    <x v="1"/>
    <n v="0.16"/>
    <n v="0.19700000000000001"/>
    <n v="0.59"/>
    <n v="8.9599999999999999E-2"/>
    <n v="0"/>
    <n v="12"/>
    <n v="12"/>
    <n v="-0.64378142061299781"/>
    <x v="0"/>
    <n v="-0.86405453499579399"/>
    <x v="0"/>
  </r>
  <r>
    <n v="328"/>
    <d v="2011-01-15T00:00:00"/>
    <n v="1"/>
    <x v="0"/>
    <x v="3"/>
    <x v="0"/>
    <b v="0"/>
    <x v="0"/>
    <n v="6"/>
    <x v="0"/>
    <x v="0"/>
    <n v="2"/>
    <x v="1"/>
    <n v="0.16"/>
    <n v="0.2273"/>
    <n v="0.59"/>
    <n v="0"/>
    <n v="1"/>
    <n v="7"/>
    <n v="8"/>
    <n v="-0.51295812847461175"/>
    <x v="0"/>
    <n v="-0.96845181588357321"/>
    <x v="0"/>
  </r>
  <r>
    <n v="329"/>
    <d v="2011-01-15T00:00:00"/>
    <n v="1"/>
    <x v="0"/>
    <x v="4"/>
    <x v="0"/>
    <b v="0"/>
    <x v="0"/>
    <n v="6"/>
    <x v="0"/>
    <x v="0"/>
    <n v="2"/>
    <x v="1"/>
    <n v="0.16"/>
    <n v="0.2273"/>
    <n v="0.59"/>
    <n v="0"/>
    <n v="0"/>
    <n v="5"/>
    <n v="5"/>
    <n v="-0.64378142061299781"/>
    <x v="0"/>
    <n v="-1.010210728238685"/>
    <x v="0"/>
  </r>
  <r>
    <n v="330"/>
    <d v="2011-01-15T00:00:00"/>
    <n v="1"/>
    <x v="0"/>
    <x v="5"/>
    <x v="1"/>
    <b v="0"/>
    <x v="0"/>
    <n v="6"/>
    <x v="0"/>
    <x v="0"/>
    <n v="1"/>
    <x v="0"/>
    <n v="0.16"/>
    <n v="0.2273"/>
    <n v="0.59"/>
    <n v="0"/>
    <n v="0"/>
    <n v="1"/>
    <n v="1"/>
    <n v="-0.64378142061299781"/>
    <x v="0"/>
    <n v="-1.0937285529489083"/>
    <x v="0"/>
  </r>
  <r>
    <n v="331"/>
    <d v="2011-01-15T00:00:00"/>
    <n v="1"/>
    <x v="0"/>
    <x v="6"/>
    <x v="1"/>
    <b v="0"/>
    <x v="0"/>
    <n v="6"/>
    <x v="0"/>
    <x v="0"/>
    <n v="1"/>
    <x v="0"/>
    <n v="0.14000000000000001"/>
    <n v="0.16669999999999999"/>
    <n v="0.63"/>
    <n v="0.1045"/>
    <n v="1"/>
    <n v="2"/>
    <n v="3"/>
    <n v="-0.51295812847461175"/>
    <x v="0"/>
    <n v="-1.0728490967713524"/>
    <x v="0"/>
  </r>
  <r>
    <n v="332"/>
    <d v="2011-01-15T00:00:00"/>
    <n v="1"/>
    <x v="0"/>
    <x v="7"/>
    <x v="1"/>
    <b v="0"/>
    <x v="0"/>
    <n v="6"/>
    <x v="0"/>
    <x v="0"/>
    <n v="1"/>
    <x v="0"/>
    <n v="0.14000000000000001"/>
    <n v="0.21210000000000001"/>
    <n v="0.63"/>
    <n v="0"/>
    <n v="1"/>
    <n v="9"/>
    <n v="10"/>
    <n v="-0.51295812847461175"/>
    <x v="0"/>
    <n v="-0.92669290352846156"/>
    <x v="0"/>
  </r>
  <r>
    <n v="333"/>
    <d v="2011-01-15T00:00:00"/>
    <n v="1"/>
    <x v="0"/>
    <x v="8"/>
    <x v="2"/>
    <b v="0"/>
    <x v="0"/>
    <n v="6"/>
    <x v="0"/>
    <x v="0"/>
    <n v="1"/>
    <x v="0"/>
    <n v="0.14000000000000001"/>
    <n v="0.1515"/>
    <n v="0.63"/>
    <n v="0.1343"/>
    <n v="1"/>
    <n v="22"/>
    <n v="23"/>
    <n v="-0.51295812847461175"/>
    <x v="0"/>
    <n v="-0.65525997322023544"/>
    <x v="0"/>
  </r>
  <r>
    <n v="334"/>
    <d v="2011-01-15T00:00:00"/>
    <n v="1"/>
    <x v="0"/>
    <x v="9"/>
    <x v="2"/>
    <b v="0"/>
    <x v="0"/>
    <n v="6"/>
    <x v="0"/>
    <x v="0"/>
    <n v="1"/>
    <x v="0"/>
    <n v="0.16"/>
    <n v="0.18179999999999999"/>
    <n v="0.64"/>
    <n v="0.1343"/>
    <n v="2"/>
    <n v="31"/>
    <n v="33"/>
    <n v="-0.38213483633622569"/>
    <x v="0"/>
    <n v="-0.46734486762223271"/>
    <x v="0"/>
  </r>
  <r>
    <n v="335"/>
    <d v="2011-01-15T00:00:00"/>
    <n v="1"/>
    <x v="0"/>
    <x v="10"/>
    <x v="2"/>
    <b v="0"/>
    <x v="0"/>
    <n v="6"/>
    <x v="0"/>
    <x v="0"/>
    <n v="1"/>
    <x v="0"/>
    <n v="0.18"/>
    <n v="0.19700000000000001"/>
    <n v="0.59"/>
    <n v="0.16420000000000001"/>
    <n v="2"/>
    <n v="57"/>
    <n v="59"/>
    <n v="-0.38213483633622569"/>
    <x v="0"/>
    <n v="7.5520992994219466E-2"/>
    <x v="0"/>
  </r>
  <r>
    <n v="336"/>
    <d v="2011-01-15T00:00:00"/>
    <n v="1"/>
    <x v="0"/>
    <x v="11"/>
    <x v="2"/>
    <b v="0"/>
    <x v="0"/>
    <n v="6"/>
    <x v="0"/>
    <x v="0"/>
    <n v="1"/>
    <x v="0"/>
    <n v="0.2"/>
    <n v="0.19700000000000001"/>
    <n v="0.55000000000000004"/>
    <n v="0.22389999999999999"/>
    <n v="18"/>
    <n v="54"/>
    <n v="72"/>
    <n v="1.7110378378779514"/>
    <x v="0"/>
    <n v="1.2882624461551907E-2"/>
    <x v="0"/>
  </r>
  <r>
    <n v="337"/>
    <d v="2011-01-15T00:00:00"/>
    <n v="1"/>
    <x v="0"/>
    <x v="12"/>
    <x v="3"/>
    <b v="0"/>
    <x v="0"/>
    <n v="6"/>
    <x v="0"/>
    <x v="0"/>
    <n v="1"/>
    <x v="0"/>
    <n v="0.24"/>
    <n v="0.2273"/>
    <n v="0.48"/>
    <n v="0.22389999999999999"/>
    <n v="15"/>
    <n v="74"/>
    <n v="89"/>
    <n v="1.3185679614627932"/>
    <x v="0"/>
    <n v="0.43047174801266896"/>
    <x v="0"/>
  </r>
  <r>
    <n v="338"/>
    <d v="2011-01-15T00:00:00"/>
    <n v="1"/>
    <x v="0"/>
    <x v="13"/>
    <x v="3"/>
    <b v="0"/>
    <x v="0"/>
    <n v="6"/>
    <x v="0"/>
    <x v="0"/>
    <n v="1"/>
    <x v="0"/>
    <n v="0.28000000000000003"/>
    <n v="0.2576"/>
    <n v="0.38"/>
    <n v="0.29849999999999999"/>
    <n v="21"/>
    <n v="80"/>
    <n v="101"/>
    <n v="2.1035077142931096"/>
    <x v="1"/>
    <n v="0.55574848507800412"/>
    <x v="0"/>
  </r>
  <r>
    <n v="339"/>
    <d v="2011-01-15T00:00:00"/>
    <n v="1"/>
    <x v="0"/>
    <x v="14"/>
    <x v="3"/>
    <b v="0"/>
    <x v="0"/>
    <n v="6"/>
    <x v="0"/>
    <x v="0"/>
    <n v="1"/>
    <x v="0"/>
    <n v="0.3"/>
    <n v="0.28789999999999999"/>
    <n v="0.39"/>
    <n v="0.28360000000000002"/>
    <n v="26"/>
    <n v="92"/>
    <n v="118"/>
    <n v="2.7576241749850396"/>
    <x v="1"/>
    <n v="0.80630195920867431"/>
    <x v="0"/>
  </r>
  <r>
    <n v="340"/>
    <d v="2011-01-15T00:00:00"/>
    <n v="1"/>
    <x v="0"/>
    <x v="15"/>
    <x v="3"/>
    <b v="0"/>
    <x v="0"/>
    <n v="6"/>
    <x v="0"/>
    <x v="0"/>
    <n v="2"/>
    <x v="1"/>
    <n v="0.32"/>
    <n v="0.31819999999999998"/>
    <n v="0.36"/>
    <n v="0.19400000000000001"/>
    <n v="21"/>
    <n v="108"/>
    <n v="129"/>
    <n v="2.1035077142931096"/>
    <x v="1"/>
    <n v="1.140373258049568"/>
    <x v="0"/>
  </r>
  <r>
    <n v="341"/>
    <d v="2011-01-15T00:00:00"/>
    <n v="1"/>
    <x v="0"/>
    <x v="16"/>
    <x v="3"/>
    <b v="0"/>
    <x v="0"/>
    <n v="6"/>
    <x v="0"/>
    <x v="0"/>
    <n v="2"/>
    <x v="1"/>
    <n v="0.34"/>
    <n v="0.33329999999999999"/>
    <n v="0.34"/>
    <n v="0.19400000000000001"/>
    <n v="33"/>
    <n v="95"/>
    <n v="128"/>
    <n v="3.6733872199537423"/>
    <x v="1"/>
    <n v="0.86894032774134189"/>
    <x v="0"/>
  </r>
  <r>
    <n v="342"/>
    <d v="2011-01-15T00:00:00"/>
    <n v="1"/>
    <x v="0"/>
    <x v="17"/>
    <x v="4"/>
    <b v="0"/>
    <x v="0"/>
    <n v="6"/>
    <x v="0"/>
    <x v="0"/>
    <n v="2"/>
    <x v="1"/>
    <n v="0.32"/>
    <n v="0.30299999999999999"/>
    <n v="0.36"/>
    <n v="0.28360000000000002"/>
    <n v="29"/>
    <n v="54"/>
    <n v="83"/>
    <n v="3.150094051400198"/>
    <x v="1"/>
    <n v="1.2882624461551907E-2"/>
    <x v="0"/>
  </r>
  <r>
    <n v="343"/>
    <d v="2011-01-15T00:00:00"/>
    <n v="1"/>
    <x v="0"/>
    <x v="18"/>
    <x v="4"/>
    <b v="0"/>
    <x v="0"/>
    <n v="6"/>
    <x v="0"/>
    <x v="0"/>
    <n v="2"/>
    <x v="1"/>
    <n v="0.3"/>
    <n v="0.28789999999999999"/>
    <n v="0.45"/>
    <n v="0.25369999999999998"/>
    <n v="15"/>
    <n v="69"/>
    <n v="84"/>
    <n v="1.3185679614627932"/>
    <x v="0"/>
    <n v="0.32607446712488969"/>
    <x v="0"/>
  </r>
  <r>
    <n v="344"/>
    <d v="2011-01-15T00:00:00"/>
    <n v="1"/>
    <x v="0"/>
    <x v="19"/>
    <x v="4"/>
    <b v="0"/>
    <x v="0"/>
    <n v="6"/>
    <x v="0"/>
    <x v="0"/>
    <n v="2"/>
    <x v="1"/>
    <n v="0.32"/>
    <n v="0.30299999999999999"/>
    <n v="0.39"/>
    <n v="0.25369999999999998"/>
    <n v="14"/>
    <n v="60"/>
    <n v="74"/>
    <n v="1.1877446693244071"/>
    <x v="0"/>
    <n v="0.13815936152688704"/>
    <x v="0"/>
  </r>
  <r>
    <n v="345"/>
    <d v="2011-01-15T00:00:00"/>
    <n v="1"/>
    <x v="0"/>
    <x v="20"/>
    <x v="4"/>
    <b v="0"/>
    <x v="0"/>
    <n v="6"/>
    <x v="0"/>
    <x v="0"/>
    <n v="2"/>
    <x v="1"/>
    <n v="0.32"/>
    <n v="0.30299999999999999"/>
    <n v="0.39"/>
    <n v="0.25369999999999998"/>
    <n v="6"/>
    <n v="35"/>
    <n v="41"/>
    <n v="0.14115833221731852"/>
    <x v="0"/>
    <n v="-0.38382704291200931"/>
    <x v="0"/>
  </r>
  <r>
    <n v="346"/>
    <d v="2011-01-15T00:00:00"/>
    <n v="1"/>
    <x v="0"/>
    <x v="21"/>
    <x v="0"/>
    <b v="0"/>
    <x v="0"/>
    <n v="6"/>
    <x v="0"/>
    <x v="0"/>
    <n v="2"/>
    <x v="1"/>
    <n v="0.32"/>
    <n v="0.30299999999999999"/>
    <n v="0.39"/>
    <n v="0.22389999999999999"/>
    <n v="6"/>
    <n v="51"/>
    <n v="57"/>
    <n v="0.14115833221731852"/>
    <x v="0"/>
    <n v="-4.9755744071115653E-2"/>
    <x v="0"/>
  </r>
  <r>
    <n v="347"/>
    <d v="2011-01-15T00:00:00"/>
    <n v="1"/>
    <x v="0"/>
    <x v="22"/>
    <x v="0"/>
    <b v="0"/>
    <x v="0"/>
    <n v="6"/>
    <x v="0"/>
    <x v="0"/>
    <n v="2"/>
    <x v="1"/>
    <n v="0.3"/>
    <n v="0.31819999999999998"/>
    <n v="0.42"/>
    <n v="0.1045"/>
    <n v="0"/>
    <n v="26"/>
    <n v="26"/>
    <n v="-0.64378142061299781"/>
    <x v="0"/>
    <n v="-0.57174214851001204"/>
    <x v="0"/>
  </r>
  <r>
    <n v="348"/>
    <d v="2011-01-15T00:00:00"/>
    <n v="1"/>
    <x v="0"/>
    <x v="23"/>
    <x v="0"/>
    <b v="0"/>
    <x v="0"/>
    <n v="6"/>
    <x v="0"/>
    <x v="0"/>
    <n v="1"/>
    <x v="0"/>
    <n v="0.3"/>
    <n v="0.28789999999999999"/>
    <n v="0.45"/>
    <n v="0.28360000000000002"/>
    <n v="5"/>
    <n v="39"/>
    <n v="44"/>
    <n v="1.0335040078932463E-2"/>
    <x v="0"/>
    <n v="-0.30030921820178591"/>
    <x v="0"/>
  </r>
  <r>
    <n v="349"/>
    <d v="2011-01-16T00:00:00"/>
    <n v="1"/>
    <x v="0"/>
    <x v="0"/>
    <x v="0"/>
    <b v="0"/>
    <x v="0"/>
    <n v="0"/>
    <x v="1"/>
    <x v="0"/>
    <n v="1"/>
    <x v="0"/>
    <n v="0.26"/>
    <n v="0.30299999999999999"/>
    <n v="0.56000000000000005"/>
    <n v="0"/>
    <n v="6"/>
    <n v="33"/>
    <n v="39"/>
    <n v="0.14115833221731852"/>
    <x v="0"/>
    <n v="-0.42558595526712101"/>
    <x v="0"/>
  </r>
  <r>
    <n v="350"/>
    <d v="2011-01-16T00:00:00"/>
    <n v="1"/>
    <x v="0"/>
    <x v="1"/>
    <x v="0"/>
    <b v="0"/>
    <x v="0"/>
    <n v="0"/>
    <x v="1"/>
    <x v="0"/>
    <n v="1"/>
    <x v="0"/>
    <n v="0.26"/>
    <n v="0.2727"/>
    <n v="0.56000000000000005"/>
    <n v="0.1343"/>
    <n v="4"/>
    <n v="19"/>
    <n v="23"/>
    <n v="-0.1204882520594536"/>
    <x v="0"/>
    <n v="-0.71789834175290301"/>
    <x v="0"/>
  </r>
  <r>
    <n v="351"/>
    <d v="2011-01-16T00:00:00"/>
    <n v="1"/>
    <x v="0"/>
    <x v="2"/>
    <x v="0"/>
    <b v="0"/>
    <x v="0"/>
    <n v="0"/>
    <x v="1"/>
    <x v="0"/>
    <n v="1"/>
    <x v="0"/>
    <n v="0.26"/>
    <n v="0.28789999999999999"/>
    <n v="0.56000000000000005"/>
    <n v="8.9599999999999999E-2"/>
    <n v="3"/>
    <n v="13"/>
    <n v="16"/>
    <n v="-0.25131154419783963"/>
    <x v="0"/>
    <n v="-0.84317507881823806"/>
    <x v="0"/>
  </r>
  <r>
    <n v="352"/>
    <d v="2011-01-16T00:00:00"/>
    <n v="1"/>
    <x v="0"/>
    <x v="3"/>
    <x v="0"/>
    <b v="0"/>
    <x v="0"/>
    <n v="0"/>
    <x v="1"/>
    <x v="0"/>
    <n v="1"/>
    <x v="0"/>
    <n v="0.22"/>
    <n v="0.2727"/>
    <n v="0.69"/>
    <n v="0"/>
    <n v="9"/>
    <n v="6"/>
    <n v="15"/>
    <n v="0.53362820863247673"/>
    <x v="0"/>
    <n v="-0.98933127206112903"/>
    <x v="0"/>
  </r>
  <r>
    <n v="353"/>
    <d v="2011-01-16T00:00:00"/>
    <n v="1"/>
    <x v="0"/>
    <x v="4"/>
    <x v="0"/>
    <b v="0"/>
    <x v="0"/>
    <n v="0"/>
    <x v="1"/>
    <x v="0"/>
    <n v="1"/>
    <x v="0"/>
    <n v="0.26"/>
    <n v="0.2576"/>
    <n v="0.56000000000000005"/>
    <n v="0.16420000000000001"/>
    <n v="0"/>
    <n v="1"/>
    <n v="1"/>
    <n v="-0.64378142061299781"/>
    <x v="0"/>
    <n v="-1.0937285529489083"/>
    <x v="0"/>
  </r>
  <r>
    <n v="354"/>
    <d v="2011-01-16T00:00:00"/>
    <n v="1"/>
    <x v="0"/>
    <x v="5"/>
    <x v="1"/>
    <b v="0"/>
    <x v="0"/>
    <n v="0"/>
    <x v="1"/>
    <x v="0"/>
    <n v="2"/>
    <x v="1"/>
    <n v="0.26"/>
    <n v="0.2576"/>
    <n v="0.56000000000000005"/>
    <n v="0.16420000000000001"/>
    <n v="1"/>
    <n v="1"/>
    <n v="2"/>
    <n v="-0.51295812847461175"/>
    <x v="0"/>
    <n v="-1.0937285529489083"/>
    <x v="0"/>
  </r>
  <r>
    <n v="355"/>
    <d v="2011-01-16T00:00:00"/>
    <n v="1"/>
    <x v="0"/>
    <x v="6"/>
    <x v="1"/>
    <b v="0"/>
    <x v="0"/>
    <n v="0"/>
    <x v="1"/>
    <x v="0"/>
    <n v="2"/>
    <x v="1"/>
    <n v="0.26"/>
    <n v="0.2576"/>
    <n v="0.56000000000000005"/>
    <n v="0.16420000000000001"/>
    <n v="0"/>
    <n v="1"/>
    <n v="1"/>
    <n v="-0.64378142061299781"/>
    <x v="0"/>
    <n v="-1.0937285529489083"/>
    <x v="0"/>
  </r>
  <r>
    <n v="356"/>
    <d v="2011-01-16T00:00:00"/>
    <n v="1"/>
    <x v="0"/>
    <x v="7"/>
    <x v="1"/>
    <b v="0"/>
    <x v="0"/>
    <n v="0"/>
    <x v="1"/>
    <x v="0"/>
    <n v="2"/>
    <x v="1"/>
    <n v="0.24"/>
    <n v="0.21210000000000001"/>
    <n v="0.56000000000000005"/>
    <n v="0.29849999999999999"/>
    <n v="0"/>
    <n v="3"/>
    <n v="3"/>
    <n v="-0.64378142061299781"/>
    <x v="0"/>
    <n v="-1.0519696405937966"/>
    <x v="0"/>
  </r>
  <r>
    <n v="357"/>
    <d v="2011-01-16T00:00:00"/>
    <n v="1"/>
    <x v="0"/>
    <x v="8"/>
    <x v="2"/>
    <b v="0"/>
    <x v="0"/>
    <n v="0"/>
    <x v="1"/>
    <x v="0"/>
    <n v="1"/>
    <x v="0"/>
    <n v="0.22"/>
    <n v="0.21210000000000001"/>
    <n v="0.55000000000000004"/>
    <n v="0.28360000000000002"/>
    <n v="0"/>
    <n v="18"/>
    <n v="18"/>
    <n v="-0.64378142061299781"/>
    <x v="0"/>
    <n v="-0.73877779793045883"/>
    <x v="0"/>
  </r>
  <r>
    <n v="358"/>
    <d v="2011-01-16T00:00:00"/>
    <n v="1"/>
    <x v="0"/>
    <x v="9"/>
    <x v="2"/>
    <b v="0"/>
    <x v="0"/>
    <n v="0"/>
    <x v="1"/>
    <x v="0"/>
    <n v="1"/>
    <x v="0"/>
    <n v="0.22"/>
    <n v="0.21210000000000001"/>
    <n v="0.51"/>
    <n v="0.25369999999999998"/>
    <n v="3"/>
    <n v="29"/>
    <n v="32"/>
    <n v="-0.25131154419783963"/>
    <x v="0"/>
    <n v="-0.50910377997734446"/>
    <x v="0"/>
  </r>
  <r>
    <n v="359"/>
    <d v="2011-01-16T00:00:00"/>
    <n v="1"/>
    <x v="0"/>
    <x v="10"/>
    <x v="2"/>
    <b v="0"/>
    <x v="0"/>
    <n v="0"/>
    <x v="1"/>
    <x v="0"/>
    <n v="1"/>
    <x v="0"/>
    <n v="0.22"/>
    <n v="0.21210000000000001"/>
    <n v="0.51"/>
    <n v="0.28360000000000002"/>
    <n v="8"/>
    <n v="71"/>
    <n v="79"/>
    <n v="0.40280491649409061"/>
    <x v="0"/>
    <n v="0.36783337948000144"/>
    <x v="0"/>
  </r>
  <r>
    <n v="360"/>
    <d v="2011-01-16T00:00:00"/>
    <n v="1"/>
    <x v="0"/>
    <x v="11"/>
    <x v="2"/>
    <b v="0"/>
    <x v="0"/>
    <n v="0"/>
    <x v="1"/>
    <x v="0"/>
    <n v="1"/>
    <x v="0"/>
    <n v="0.24"/>
    <n v="0.2273"/>
    <n v="0.44"/>
    <n v="0.25369999999999998"/>
    <n v="23"/>
    <n v="70"/>
    <n v="93"/>
    <n v="2.3651542985698817"/>
    <x v="1"/>
    <n v="0.34695392330244557"/>
    <x v="0"/>
  </r>
  <r>
    <n v="361"/>
    <d v="2011-01-16T00:00:00"/>
    <n v="1"/>
    <x v="0"/>
    <x v="12"/>
    <x v="3"/>
    <b v="0"/>
    <x v="0"/>
    <n v="0"/>
    <x v="1"/>
    <x v="0"/>
    <n v="1"/>
    <x v="0"/>
    <n v="0.24"/>
    <n v="0.21210000000000001"/>
    <n v="0.41"/>
    <n v="0.28360000000000002"/>
    <n v="29"/>
    <n v="75"/>
    <n v="104"/>
    <n v="3.150094051400198"/>
    <x v="1"/>
    <n v="0.45135120419022484"/>
    <x v="0"/>
  </r>
  <r>
    <n v="362"/>
    <d v="2011-01-16T00:00:00"/>
    <n v="1"/>
    <x v="0"/>
    <x v="13"/>
    <x v="3"/>
    <b v="0"/>
    <x v="0"/>
    <n v="0"/>
    <x v="1"/>
    <x v="0"/>
    <n v="1"/>
    <x v="0"/>
    <n v="0.26"/>
    <n v="0.2273"/>
    <n v="0.35"/>
    <n v="0.29849999999999999"/>
    <n v="23"/>
    <n v="95"/>
    <n v="118"/>
    <n v="2.3651542985698817"/>
    <x v="1"/>
    <n v="0.86894032774134189"/>
    <x v="0"/>
  </r>
  <r>
    <n v="363"/>
    <d v="2011-01-16T00:00:00"/>
    <n v="1"/>
    <x v="0"/>
    <x v="14"/>
    <x v="3"/>
    <b v="0"/>
    <x v="0"/>
    <n v="0"/>
    <x v="1"/>
    <x v="0"/>
    <n v="1"/>
    <x v="0"/>
    <n v="0.28000000000000003"/>
    <n v="0.2727"/>
    <n v="0.36"/>
    <n v="0.25369999999999998"/>
    <n v="22"/>
    <n v="69"/>
    <n v="91"/>
    <n v="2.2343310064314954"/>
    <x v="1"/>
    <n v="0.32607446712488969"/>
    <x v="0"/>
  </r>
  <r>
    <n v="364"/>
    <d v="2011-01-16T00:00:00"/>
    <n v="1"/>
    <x v="0"/>
    <x v="15"/>
    <x v="3"/>
    <b v="0"/>
    <x v="0"/>
    <n v="0"/>
    <x v="1"/>
    <x v="0"/>
    <n v="1"/>
    <x v="0"/>
    <n v="0.26"/>
    <n v="0.2424"/>
    <n v="0.38"/>
    <n v="0.25369999999999998"/>
    <n v="35"/>
    <n v="78"/>
    <n v="113"/>
    <n v="3.9350338042305144"/>
    <x v="1"/>
    <n v="0.51398957272289236"/>
    <x v="0"/>
  </r>
  <r>
    <n v="365"/>
    <d v="2011-01-16T00:00:00"/>
    <n v="1"/>
    <x v="0"/>
    <x v="16"/>
    <x v="3"/>
    <b v="0"/>
    <x v="0"/>
    <n v="0"/>
    <x v="1"/>
    <x v="0"/>
    <n v="1"/>
    <x v="0"/>
    <n v="0.24"/>
    <n v="0.2273"/>
    <n v="0.38"/>
    <n v="0.22389999999999999"/>
    <n v="22"/>
    <n v="77"/>
    <n v="99"/>
    <n v="2.2343310064314954"/>
    <x v="1"/>
    <n v="0.49311011654533654"/>
    <x v="0"/>
  </r>
  <r>
    <n v="366"/>
    <d v="2011-01-16T00:00:00"/>
    <n v="1"/>
    <x v="0"/>
    <x v="17"/>
    <x v="4"/>
    <b v="0"/>
    <x v="0"/>
    <n v="0"/>
    <x v="1"/>
    <x v="0"/>
    <n v="1"/>
    <x v="0"/>
    <n v="0.22"/>
    <n v="0.21210000000000001"/>
    <n v="0.37"/>
    <n v="0.25369999999999998"/>
    <n v="23"/>
    <n v="82"/>
    <n v="105"/>
    <n v="2.3651542985698817"/>
    <x v="1"/>
    <n v="0.59750739743311576"/>
    <x v="0"/>
  </r>
  <r>
    <n v="367"/>
    <d v="2011-01-16T00:00:00"/>
    <n v="1"/>
    <x v="0"/>
    <x v="18"/>
    <x v="4"/>
    <b v="0"/>
    <x v="0"/>
    <n v="0"/>
    <x v="1"/>
    <x v="0"/>
    <n v="1"/>
    <x v="0"/>
    <n v="0.2"/>
    <n v="0.21210000000000001"/>
    <n v="0.4"/>
    <n v="0.16420000000000001"/>
    <n v="11"/>
    <n v="56"/>
    <n v="67"/>
    <n v="0.79527479290924885"/>
    <x v="0"/>
    <n v="5.4641536816663616E-2"/>
    <x v="0"/>
  </r>
  <r>
    <n v="368"/>
    <d v="2011-01-16T00:00:00"/>
    <n v="1"/>
    <x v="0"/>
    <x v="19"/>
    <x v="4"/>
    <b v="0"/>
    <x v="0"/>
    <n v="0"/>
    <x v="1"/>
    <x v="0"/>
    <n v="1"/>
    <x v="0"/>
    <n v="0.18"/>
    <n v="0.19700000000000001"/>
    <n v="0.47"/>
    <n v="0.1343"/>
    <n v="14"/>
    <n v="47"/>
    <n v="61"/>
    <n v="1.1877446693244071"/>
    <x v="0"/>
    <n v="-0.13327356878133906"/>
    <x v="0"/>
  </r>
  <r>
    <n v="369"/>
    <d v="2011-01-16T00:00:00"/>
    <n v="1"/>
    <x v="0"/>
    <x v="20"/>
    <x v="4"/>
    <b v="0"/>
    <x v="0"/>
    <n v="0"/>
    <x v="1"/>
    <x v="0"/>
    <n v="1"/>
    <x v="0"/>
    <n v="0.18"/>
    <n v="0.19700000000000001"/>
    <n v="0.47"/>
    <n v="0.16420000000000001"/>
    <n v="7"/>
    <n v="50"/>
    <n v="57"/>
    <n v="0.27198162435570455"/>
    <x v="0"/>
    <n v="-7.0635200248671509E-2"/>
    <x v="0"/>
  </r>
  <r>
    <n v="370"/>
    <d v="2011-01-16T00:00:00"/>
    <n v="1"/>
    <x v="0"/>
    <x v="21"/>
    <x v="0"/>
    <b v="0"/>
    <x v="0"/>
    <n v="0"/>
    <x v="1"/>
    <x v="0"/>
    <n v="1"/>
    <x v="0"/>
    <n v="0.18"/>
    <n v="0.19700000000000001"/>
    <n v="0.51"/>
    <n v="0.16420000000000001"/>
    <n v="6"/>
    <n v="22"/>
    <n v="28"/>
    <n v="0.14115833221731852"/>
    <x v="0"/>
    <n v="-0.65525997322023544"/>
    <x v="0"/>
  </r>
  <r>
    <n v="371"/>
    <d v="2011-01-16T00:00:00"/>
    <n v="1"/>
    <x v="0"/>
    <x v="22"/>
    <x v="0"/>
    <b v="0"/>
    <x v="0"/>
    <n v="0"/>
    <x v="1"/>
    <x v="0"/>
    <n v="2"/>
    <x v="1"/>
    <n v="0.2"/>
    <n v="0.21210000000000001"/>
    <n v="0.49"/>
    <n v="0.1343"/>
    <n v="2"/>
    <n v="19"/>
    <n v="21"/>
    <n v="-0.38213483633622569"/>
    <x v="0"/>
    <n v="-0.71789834175290301"/>
    <x v="0"/>
  </r>
  <r>
    <n v="372"/>
    <d v="2011-01-16T00:00:00"/>
    <n v="1"/>
    <x v="0"/>
    <x v="23"/>
    <x v="0"/>
    <b v="0"/>
    <x v="0"/>
    <n v="0"/>
    <x v="1"/>
    <x v="0"/>
    <n v="2"/>
    <x v="1"/>
    <n v="0.2"/>
    <n v="0.2273"/>
    <n v="0.4"/>
    <n v="0.1045"/>
    <n v="0"/>
    <n v="18"/>
    <n v="18"/>
    <n v="-0.64378142061299781"/>
    <x v="0"/>
    <n v="-0.73877779793045883"/>
    <x v="0"/>
  </r>
  <r>
    <n v="373"/>
    <d v="2011-01-17T00:00:00"/>
    <n v="1"/>
    <x v="0"/>
    <x v="0"/>
    <x v="0"/>
    <b v="1"/>
    <x v="1"/>
    <n v="1"/>
    <x v="2"/>
    <x v="1"/>
    <n v="2"/>
    <x v="1"/>
    <n v="0.2"/>
    <n v="0.19700000000000001"/>
    <n v="0.47"/>
    <n v="0.22389999999999999"/>
    <n v="1"/>
    <n v="16"/>
    <n v="17"/>
    <n v="-0.51295812847461175"/>
    <x v="0"/>
    <n v="-0.78053671028557059"/>
    <x v="0"/>
  </r>
  <r>
    <n v="374"/>
    <d v="2011-01-17T00:00:00"/>
    <n v="1"/>
    <x v="0"/>
    <x v="1"/>
    <x v="0"/>
    <b v="1"/>
    <x v="1"/>
    <n v="1"/>
    <x v="2"/>
    <x v="1"/>
    <n v="2"/>
    <x v="1"/>
    <n v="0.2"/>
    <n v="0.19700000000000001"/>
    <n v="0.44"/>
    <n v="0.19400000000000001"/>
    <n v="1"/>
    <n v="15"/>
    <n v="16"/>
    <n v="-0.51295812847461175"/>
    <x v="0"/>
    <n v="-0.80141616646312641"/>
    <x v="0"/>
  </r>
  <r>
    <n v="375"/>
    <d v="2011-01-17T00:00:00"/>
    <n v="1"/>
    <x v="0"/>
    <x v="2"/>
    <x v="0"/>
    <b v="1"/>
    <x v="1"/>
    <n v="1"/>
    <x v="2"/>
    <x v="1"/>
    <n v="2"/>
    <x v="1"/>
    <n v="0.18"/>
    <n v="0.16669999999999999"/>
    <n v="0.43"/>
    <n v="0.25369999999999998"/>
    <n v="0"/>
    <n v="8"/>
    <n v="8"/>
    <n v="-0.64378142061299781"/>
    <x v="0"/>
    <n v="-0.94757235970601739"/>
    <x v="0"/>
  </r>
  <r>
    <n v="376"/>
    <d v="2011-01-17T00:00:00"/>
    <n v="1"/>
    <x v="0"/>
    <x v="3"/>
    <x v="0"/>
    <b v="1"/>
    <x v="1"/>
    <n v="1"/>
    <x v="2"/>
    <x v="1"/>
    <n v="2"/>
    <x v="1"/>
    <n v="0.18"/>
    <n v="0.18179999999999999"/>
    <n v="0.43"/>
    <n v="0.19400000000000001"/>
    <n v="0"/>
    <n v="2"/>
    <n v="2"/>
    <n v="-0.64378142061299781"/>
    <x v="0"/>
    <n v="-1.0728490967713524"/>
    <x v="0"/>
  </r>
  <r>
    <n v="377"/>
    <d v="2011-01-17T00:00:00"/>
    <n v="1"/>
    <x v="0"/>
    <x v="4"/>
    <x v="0"/>
    <b v="1"/>
    <x v="1"/>
    <n v="1"/>
    <x v="2"/>
    <x v="1"/>
    <n v="2"/>
    <x v="1"/>
    <n v="0.18"/>
    <n v="0.19700000000000001"/>
    <n v="0.43"/>
    <n v="0.1343"/>
    <n v="1"/>
    <n v="2"/>
    <n v="3"/>
    <n v="-0.51295812847461175"/>
    <x v="0"/>
    <n v="-1.0728490967713524"/>
    <x v="0"/>
  </r>
  <r>
    <n v="378"/>
    <d v="2011-01-17T00:00:00"/>
    <n v="1"/>
    <x v="0"/>
    <x v="5"/>
    <x v="1"/>
    <b v="1"/>
    <x v="1"/>
    <n v="1"/>
    <x v="2"/>
    <x v="1"/>
    <n v="2"/>
    <x v="1"/>
    <n v="0.18"/>
    <n v="0.19700000000000001"/>
    <n v="0.43"/>
    <n v="0.16420000000000001"/>
    <n v="0"/>
    <n v="1"/>
    <n v="1"/>
    <n v="-0.64378142061299781"/>
    <x v="0"/>
    <n v="-1.0937285529489083"/>
    <x v="0"/>
  </r>
  <r>
    <n v="379"/>
    <d v="2011-01-17T00:00:00"/>
    <n v="1"/>
    <x v="0"/>
    <x v="6"/>
    <x v="1"/>
    <b v="1"/>
    <x v="1"/>
    <n v="1"/>
    <x v="2"/>
    <x v="1"/>
    <n v="2"/>
    <x v="1"/>
    <n v="0.18"/>
    <n v="0.18179999999999999"/>
    <n v="0.43"/>
    <n v="0.19400000000000001"/>
    <n v="0"/>
    <n v="5"/>
    <n v="5"/>
    <n v="-0.64378142061299781"/>
    <x v="0"/>
    <n v="-1.010210728238685"/>
    <x v="0"/>
  </r>
  <r>
    <n v="380"/>
    <d v="2011-01-17T00:00:00"/>
    <n v="1"/>
    <x v="0"/>
    <x v="7"/>
    <x v="1"/>
    <b v="1"/>
    <x v="1"/>
    <n v="1"/>
    <x v="2"/>
    <x v="1"/>
    <n v="2"/>
    <x v="1"/>
    <n v="0.16"/>
    <n v="0.18179999999999999"/>
    <n v="0.5"/>
    <n v="0.1343"/>
    <n v="4"/>
    <n v="9"/>
    <n v="13"/>
    <n v="-0.1204882520594536"/>
    <x v="0"/>
    <n v="-0.92669290352846156"/>
    <x v="0"/>
  </r>
  <r>
    <n v="381"/>
    <d v="2011-01-17T00:00:00"/>
    <n v="1"/>
    <x v="0"/>
    <x v="8"/>
    <x v="2"/>
    <b v="1"/>
    <x v="1"/>
    <n v="1"/>
    <x v="2"/>
    <x v="1"/>
    <n v="2"/>
    <x v="1"/>
    <n v="0.16"/>
    <n v="0.1515"/>
    <n v="0.47"/>
    <n v="0.22389999999999999"/>
    <n v="3"/>
    <n v="30"/>
    <n v="33"/>
    <n v="-0.25131154419783963"/>
    <x v="0"/>
    <n v="-0.48822432379978858"/>
    <x v="0"/>
  </r>
  <r>
    <n v="382"/>
    <d v="2011-01-17T00:00:00"/>
    <n v="1"/>
    <x v="0"/>
    <x v="9"/>
    <x v="2"/>
    <b v="1"/>
    <x v="1"/>
    <n v="1"/>
    <x v="2"/>
    <x v="1"/>
    <n v="2"/>
    <x v="1"/>
    <n v="0.16"/>
    <n v="0.1515"/>
    <n v="0.47"/>
    <n v="0.22389999999999999"/>
    <n v="8"/>
    <n v="39"/>
    <n v="47"/>
    <n v="0.40280491649409061"/>
    <x v="0"/>
    <n v="-0.30030921820178591"/>
    <x v="0"/>
  </r>
  <r>
    <n v="383"/>
    <d v="2011-01-17T00:00:00"/>
    <n v="1"/>
    <x v="0"/>
    <x v="10"/>
    <x v="2"/>
    <b v="1"/>
    <x v="1"/>
    <n v="1"/>
    <x v="2"/>
    <x v="1"/>
    <n v="2"/>
    <x v="1"/>
    <n v="0.16"/>
    <n v="0.1515"/>
    <n v="0.5"/>
    <n v="0.25369999999999998"/>
    <n v="7"/>
    <n v="50"/>
    <n v="57"/>
    <n v="0.27198162435570455"/>
    <x v="0"/>
    <n v="-7.0635200248671509E-2"/>
    <x v="0"/>
  </r>
  <r>
    <n v="384"/>
    <d v="2011-01-17T00:00:00"/>
    <n v="1"/>
    <x v="0"/>
    <x v="11"/>
    <x v="2"/>
    <b v="1"/>
    <x v="1"/>
    <n v="1"/>
    <x v="2"/>
    <x v="1"/>
    <n v="2"/>
    <x v="1"/>
    <n v="0.16"/>
    <n v="0.1515"/>
    <n v="0.55000000000000004"/>
    <n v="0.19400000000000001"/>
    <n v="9"/>
    <n v="55"/>
    <n v="64"/>
    <n v="0.53362820863247673"/>
    <x v="0"/>
    <n v="3.376208063910776E-2"/>
    <x v="0"/>
  </r>
  <r>
    <n v="385"/>
    <d v="2011-01-17T00:00:00"/>
    <n v="1"/>
    <x v="0"/>
    <x v="12"/>
    <x v="3"/>
    <b v="1"/>
    <x v="1"/>
    <n v="1"/>
    <x v="2"/>
    <x v="1"/>
    <n v="2"/>
    <x v="1"/>
    <n v="0.18"/>
    <n v="0.19700000000000001"/>
    <n v="0.47"/>
    <n v="0.1343"/>
    <n v="10"/>
    <n v="70"/>
    <n v="80"/>
    <n v="0.66445150077086279"/>
    <x v="0"/>
    <n v="0.34695392330244557"/>
    <x v="0"/>
  </r>
  <r>
    <n v="386"/>
    <d v="2011-01-17T00:00:00"/>
    <n v="1"/>
    <x v="0"/>
    <x v="13"/>
    <x v="3"/>
    <b v="1"/>
    <x v="1"/>
    <n v="1"/>
    <x v="2"/>
    <x v="1"/>
    <n v="2"/>
    <x v="1"/>
    <n v="0.18"/>
    <n v="0.19700000000000001"/>
    <n v="0.47"/>
    <n v="0.1343"/>
    <n v="13"/>
    <n v="80"/>
    <n v="93"/>
    <n v="1.0569213771860211"/>
    <x v="0"/>
    <n v="0.55574848507800412"/>
    <x v="0"/>
  </r>
  <r>
    <n v="387"/>
    <d v="2011-01-17T00:00:00"/>
    <n v="1"/>
    <x v="0"/>
    <x v="14"/>
    <x v="3"/>
    <b v="1"/>
    <x v="1"/>
    <n v="1"/>
    <x v="2"/>
    <x v="1"/>
    <n v="2"/>
    <x v="1"/>
    <n v="0.18"/>
    <n v="0.21210000000000001"/>
    <n v="0.43"/>
    <n v="0.1045"/>
    <n v="12"/>
    <n v="74"/>
    <n v="86"/>
    <n v="0.92609808504763491"/>
    <x v="0"/>
    <n v="0.43047174801266896"/>
    <x v="0"/>
  </r>
  <r>
    <n v="388"/>
    <d v="2011-01-17T00:00:00"/>
    <n v="1"/>
    <x v="0"/>
    <x v="15"/>
    <x v="3"/>
    <b v="1"/>
    <x v="1"/>
    <n v="1"/>
    <x v="2"/>
    <x v="1"/>
    <n v="2"/>
    <x v="1"/>
    <n v="0.2"/>
    <n v="0.21210000000000001"/>
    <n v="0.47"/>
    <n v="0.16420000000000001"/>
    <n v="21"/>
    <n v="72"/>
    <n v="93"/>
    <n v="2.1035077142931096"/>
    <x v="1"/>
    <n v="0.38871283565755727"/>
    <x v="0"/>
  </r>
  <r>
    <n v="389"/>
    <d v="2011-01-17T00:00:00"/>
    <n v="1"/>
    <x v="0"/>
    <x v="16"/>
    <x v="3"/>
    <b v="1"/>
    <x v="1"/>
    <n v="1"/>
    <x v="2"/>
    <x v="1"/>
    <n v="2"/>
    <x v="1"/>
    <n v="0.2"/>
    <n v="0.21210000000000001"/>
    <n v="0.47"/>
    <n v="0.16420000000000001"/>
    <n v="6"/>
    <n v="76"/>
    <n v="82"/>
    <n v="0.14115833221731852"/>
    <x v="0"/>
    <n v="0.47223066036778072"/>
    <x v="0"/>
  </r>
  <r>
    <n v="390"/>
    <d v="2011-01-17T00:00:00"/>
    <n v="1"/>
    <x v="0"/>
    <x v="17"/>
    <x v="4"/>
    <b v="1"/>
    <x v="1"/>
    <n v="1"/>
    <x v="2"/>
    <x v="1"/>
    <n v="1"/>
    <x v="0"/>
    <n v="0.2"/>
    <n v="0.19700000000000001"/>
    <n v="0.51"/>
    <n v="0.19400000000000001"/>
    <n v="4"/>
    <n v="67"/>
    <n v="71"/>
    <n v="-0.1204882520594536"/>
    <x v="0"/>
    <n v="0.28431555476977799"/>
    <x v="0"/>
  </r>
  <r>
    <n v="391"/>
    <d v="2011-01-17T00:00:00"/>
    <n v="1"/>
    <x v="0"/>
    <x v="18"/>
    <x v="4"/>
    <b v="1"/>
    <x v="1"/>
    <n v="1"/>
    <x v="2"/>
    <x v="1"/>
    <n v="2"/>
    <x v="1"/>
    <n v="0.18"/>
    <n v="0.16669999999999999"/>
    <n v="0.55000000000000004"/>
    <n v="0.25369999999999998"/>
    <n v="7"/>
    <n v="85"/>
    <n v="92"/>
    <n v="0.27198162435570455"/>
    <x v="0"/>
    <n v="0.66014576596578334"/>
    <x v="0"/>
  </r>
  <r>
    <n v="392"/>
    <d v="2011-01-17T00:00:00"/>
    <n v="1"/>
    <x v="0"/>
    <x v="19"/>
    <x v="4"/>
    <b v="1"/>
    <x v="1"/>
    <n v="1"/>
    <x v="2"/>
    <x v="1"/>
    <n v="3"/>
    <x v="2"/>
    <n v="0.18"/>
    <n v="0.18179999999999999"/>
    <n v="0.59"/>
    <n v="0.19400000000000001"/>
    <n v="2"/>
    <n v="58"/>
    <n v="60"/>
    <n v="-0.38213483633622569"/>
    <x v="0"/>
    <n v="9.6400449171775315E-2"/>
    <x v="0"/>
  </r>
  <r>
    <n v="393"/>
    <d v="2011-01-17T00:00:00"/>
    <n v="1"/>
    <x v="0"/>
    <x v="20"/>
    <x v="4"/>
    <b v="1"/>
    <x v="1"/>
    <n v="1"/>
    <x v="2"/>
    <x v="1"/>
    <n v="3"/>
    <x v="2"/>
    <n v="0.16"/>
    <n v="0.1515"/>
    <n v="0.8"/>
    <n v="0.19400000000000001"/>
    <n v="4"/>
    <n v="29"/>
    <n v="33"/>
    <n v="-0.1204882520594536"/>
    <x v="0"/>
    <n v="-0.50910377997734446"/>
    <x v="0"/>
  </r>
  <r>
    <n v="394"/>
    <d v="2011-01-17T00:00:00"/>
    <n v="1"/>
    <x v="0"/>
    <x v="21"/>
    <x v="0"/>
    <b v="1"/>
    <x v="1"/>
    <n v="1"/>
    <x v="2"/>
    <x v="1"/>
    <n v="3"/>
    <x v="2"/>
    <n v="0.16"/>
    <n v="0.1515"/>
    <n v="0.8"/>
    <n v="0.19400000000000001"/>
    <n v="3"/>
    <n v="24"/>
    <n v="27"/>
    <n v="-0.25131154419783963"/>
    <x v="0"/>
    <n v="-0.61350106086512368"/>
    <x v="0"/>
  </r>
  <r>
    <n v="395"/>
    <d v="2011-01-17T00:00:00"/>
    <n v="1"/>
    <x v="0"/>
    <x v="22"/>
    <x v="0"/>
    <b v="1"/>
    <x v="1"/>
    <n v="1"/>
    <x v="2"/>
    <x v="1"/>
    <n v="3"/>
    <x v="2"/>
    <n v="0.14000000000000001"/>
    <n v="0.1212"/>
    <n v="0.93"/>
    <n v="0.25369999999999998"/>
    <n v="0"/>
    <n v="13"/>
    <n v="13"/>
    <n v="-0.64378142061299781"/>
    <x v="0"/>
    <n v="-0.84317507881823806"/>
    <x v="0"/>
  </r>
  <r>
    <n v="396"/>
    <d v="2011-01-17T00:00:00"/>
    <n v="1"/>
    <x v="0"/>
    <x v="23"/>
    <x v="0"/>
    <b v="1"/>
    <x v="1"/>
    <n v="1"/>
    <x v="2"/>
    <x v="1"/>
    <n v="3"/>
    <x v="2"/>
    <n v="0.16"/>
    <n v="0.13639999999999999"/>
    <n v="0.86"/>
    <n v="0.28360000000000002"/>
    <n v="1"/>
    <n v="3"/>
    <n v="4"/>
    <n v="-0.51295812847461175"/>
    <x v="0"/>
    <n v="-1.0519696405937966"/>
    <x v="0"/>
  </r>
  <r>
    <n v="397"/>
    <d v="2011-01-18T00:00:00"/>
    <n v="1"/>
    <x v="0"/>
    <x v="12"/>
    <x v="3"/>
    <b v="0"/>
    <x v="0"/>
    <n v="2"/>
    <x v="3"/>
    <x v="1"/>
    <n v="2"/>
    <x v="1"/>
    <n v="0.2"/>
    <n v="0.18179999999999999"/>
    <n v="0.86"/>
    <n v="0.32840000000000003"/>
    <n v="0"/>
    <n v="3"/>
    <n v="3"/>
    <n v="-0.64378142061299781"/>
    <x v="0"/>
    <n v="-1.0519696405937966"/>
    <x v="0"/>
  </r>
  <r>
    <n v="398"/>
    <d v="2011-01-18T00:00:00"/>
    <n v="1"/>
    <x v="0"/>
    <x v="13"/>
    <x v="3"/>
    <b v="0"/>
    <x v="0"/>
    <n v="2"/>
    <x v="3"/>
    <x v="1"/>
    <n v="2"/>
    <x v="1"/>
    <n v="0.2"/>
    <n v="0.19700000000000001"/>
    <n v="0.86"/>
    <n v="0.22389999999999999"/>
    <n v="0"/>
    <n v="22"/>
    <n v="22"/>
    <n v="-0.64378142061299781"/>
    <x v="0"/>
    <n v="-0.65525997322023544"/>
    <x v="0"/>
  </r>
  <r>
    <n v="399"/>
    <d v="2011-01-18T00:00:00"/>
    <n v="1"/>
    <x v="0"/>
    <x v="14"/>
    <x v="3"/>
    <b v="0"/>
    <x v="0"/>
    <n v="2"/>
    <x v="3"/>
    <x v="1"/>
    <n v="2"/>
    <x v="1"/>
    <n v="0.22"/>
    <n v="0.2273"/>
    <n v="0.8"/>
    <n v="0.16420000000000001"/>
    <n v="2"/>
    <n v="26"/>
    <n v="28"/>
    <n v="-0.38213483633622569"/>
    <x v="0"/>
    <n v="-0.57174214851001204"/>
    <x v="0"/>
  </r>
  <r>
    <n v="400"/>
    <d v="2011-01-18T00:00:00"/>
    <n v="1"/>
    <x v="0"/>
    <x v="15"/>
    <x v="3"/>
    <b v="0"/>
    <x v="0"/>
    <n v="2"/>
    <x v="3"/>
    <x v="1"/>
    <n v="2"/>
    <x v="1"/>
    <n v="0.22"/>
    <n v="0.2273"/>
    <n v="0.87"/>
    <n v="0.16420000000000001"/>
    <n v="3"/>
    <n v="32"/>
    <n v="35"/>
    <n v="-0.25131154419783963"/>
    <x v="0"/>
    <n v="-0.44646541144467689"/>
    <x v="0"/>
  </r>
  <r>
    <n v="401"/>
    <d v="2011-01-18T00:00:00"/>
    <n v="1"/>
    <x v="0"/>
    <x v="16"/>
    <x v="3"/>
    <b v="0"/>
    <x v="0"/>
    <n v="2"/>
    <x v="3"/>
    <x v="1"/>
    <n v="2"/>
    <x v="1"/>
    <n v="0.22"/>
    <n v="0.2273"/>
    <n v="0.87"/>
    <n v="0.19400000000000001"/>
    <n v="0"/>
    <n v="61"/>
    <n v="61"/>
    <n v="-0.64378142061299781"/>
    <x v="0"/>
    <n v="0.15903881770444289"/>
    <x v="0"/>
  </r>
  <r>
    <n v="402"/>
    <d v="2011-01-18T00:00:00"/>
    <n v="1"/>
    <x v="0"/>
    <x v="17"/>
    <x v="4"/>
    <b v="0"/>
    <x v="0"/>
    <n v="2"/>
    <x v="3"/>
    <x v="1"/>
    <n v="2"/>
    <x v="1"/>
    <n v="0.22"/>
    <n v="0.2273"/>
    <n v="0.82"/>
    <n v="0.19400000000000001"/>
    <n v="1"/>
    <n v="124"/>
    <n v="125"/>
    <n v="-0.51295812847461175"/>
    <x v="0"/>
    <n v="1.4744445568904616"/>
    <x v="0"/>
  </r>
  <r>
    <n v="403"/>
    <d v="2011-01-18T00:00:00"/>
    <n v="1"/>
    <x v="0"/>
    <x v="18"/>
    <x v="4"/>
    <b v="0"/>
    <x v="0"/>
    <n v="2"/>
    <x v="3"/>
    <x v="1"/>
    <n v="2"/>
    <x v="1"/>
    <n v="0.22"/>
    <n v="0.2273"/>
    <n v="0.8"/>
    <n v="0.16420000000000001"/>
    <n v="1"/>
    <n v="132"/>
    <n v="133"/>
    <n v="-0.51295812847461175"/>
    <x v="0"/>
    <n v="1.6414802063109084"/>
    <x v="0"/>
  </r>
  <r>
    <n v="404"/>
    <d v="2011-01-18T00:00:00"/>
    <n v="1"/>
    <x v="0"/>
    <x v="19"/>
    <x v="4"/>
    <b v="0"/>
    <x v="0"/>
    <n v="2"/>
    <x v="3"/>
    <x v="1"/>
    <n v="2"/>
    <x v="1"/>
    <n v="0.22"/>
    <n v="0.2273"/>
    <n v="0.8"/>
    <n v="0.1343"/>
    <n v="1"/>
    <n v="98"/>
    <n v="99"/>
    <n v="-0.51295812847461175"/>
    <x v="0"/>
    <n v="0.93157869627400947"/>
    <x v="0"/>
  </r>
  <r>
    <n v="405"/>
    <d v="2011-01-18T00:00:00"/>
    <n v="1"/>
    <x v="0"/>
    <x v="20"/>
    <x v="4"/>
    <b v="0"/>
    <x v="0"/>
    <n v="2"/>
    <x v="3"/>
    <x v="1"/>
    <n v="2"/>
    <x v="1"/>
    <n v="0.22"/>
    <n v="0.2727"/>
    <n v="0.87"/>
    <n v="0"/>
    <n v="0"/>
    <n v="83"/>
    <n v="83"/>
    <n v="-0.64378142061299781"/>
    <x v="0"/>
    <n v="0.61838685361067169"/>
    <x v="0"/>
  </r>
  <r>
    <n v="406"/>
    <d v="2011-01-18T00:00:00"/>
    <n v="1"/>
    <x v="0"/>
    <x v="21"/>
    <x v="0"/>
    <b v="0"/>
    <x v="0"/>
    <n v="2"/>
    <x v="3"/>
    <x v="1"/>
    <n v="2"/>
    <x v="1"/>
    <n v="0.22"/>
    <n v="0.2424"/>
    <n v="0.93"/>
    <n v="0.1045"/>
    <n v="0"/>
    <n v="41"/>
    <n v="41"/>
    <n v="-0.64378142061299781"/>
    <x v="0"/>
    <n v="-0.25855030584667421"/>
    <x v="0"/>
  </r>
  <r>
    <n v="407"/>
    <d v="2011-01-18T00:00:00"/>
    <n v="1"/>
    <x v="0"/>
    <x v="22"/>
    <x v="0"/>
    <b v="0"/>
    <x v="0"/>
    <n v="2"/>
    <x v="3"/>
    <x v="1"/>
    <n v="2"/>
    <x v="1"/>
    <n v="0.22"/>
    <n v="0.2576"/>
    <n v="0.93"/>
    <n v="8.9599999999999999E-2"/>
    <n v="0"/>
    <n v="33"/>
    <n v="33"/>
    <n v="-0.64378142061299781"/>
    <x v="0"/>
    <n v="-0.42558595526712101"/>
    <x v="0"/>
  </r>
  <r>
    <n v="408"/>
    <d v="2011-01-18T00:00:00"/>
    <n v="1"/>
    <x v="0"/>
    <x v="23"/>
    <x v="0"/>
    <b v="0"/>
    <x v="0"/>
    <n v="2"/>
    <x v="3"/>
    <x v="1"/>
    <n v="2"/>
    <x v="1"/>
    <n v="0.22"/>
    <n v="0.2727"/>
    <n v="0.93"/>
    <n v="0"/>
    <n v="1"/>
    <n v="19"/>
    <n v="20"/>
    <n v="-0.51295812847461175"/>
    <x v="0"/>
    <n v="-0.71789834175290301"/>
    <x v="0"/>
  </r>
  <r>
    <n v="409"/>
    <d v="2011-01-19T00:00:00"/>
    <n v="1"/>
    <x v="0"/>
    <x v="0"/>
    <x v="0"/>
    <b v="0"/>
    <x v="0"/>
    <n v="3"/>
    <x v="4"/>
    <x v="1"/>
    <n v="2"/>
    <x v="1"/>
    <n v="0.22"/>
    <n v="0.2727"/>
    <n v="0.93"/>
    <n v="0"/>
    <n v="0"/>
    <n v="3"/>
    <n v="3"/>
    <n v="-0.64378142061299781"/>
    <x v="0"/>
    <n v="-1.0519696405937966"/>
    <x v="0"/>
  </r>
  <r>
    <n v="410"/>
    <d v="2011-01-19T00:00:00"/>
    <n v="1"/>
    <x v="0"/>
    <x v="1"/>
    <x v="0"/>
    <b v="0"/>
    <x v="0"/>
    <n v="3"/>
    <x v="4"/>
    <x v="1"/>
    <n v="3"/>
    <x v="2"/>
    <n v="0.22"/>
    <n v="0.2273"/>
    <n v="0.93"/>
    <n v="0.1343"/>
    <n v="1"/>
    <n v="6"/>
    <n v="7"/>
    <n v="-0.51295812847461175"/>
    <x v="0"/>
    <n v="-0.98933127206112903"/>
    <x v="0"/>
  </r>
  <r>
    <n v="411"/>
    <d v="2011-01-19T00:00:00"/>
    <n v="1"/>
    <x v="0"/>
    <x v="2"/>
    <x v="0"/>
    <b v="0"/>
    <x v="0"/>
    <n v="3"/>
    <x v="4"/>
    <x v="1"/>
    <n v="3"/>
    <x v="2"/>
    <n v="0.22"/>
    <n v="0.2273"/>
    <n v="0.93"/>
    <n v="0.1343"/>
    <n v="0"/>
    <n v="3"/>
    <n v="3"/>
    <n v="-0.64378142061299781"/>
    <x v="0"/>
    <n v="-1.0519696405937966"/>
    <x v="0"/>
  </r>
  <r>
    <n v="412"/>
    <d v="2011-01-19T00:00:00"/>
    <n v="1"/>
    <x v="0"/>
    <x v="4"/>
    <x v="0"/>
    <b v="0"/>
    <x v="0"/>
    <n v="3"/>
    <x v="4"/>
    <x v="1"/>
    <n v="3"/>
    <x v="2"/>
    <n v="0.22"/>
    <n v="0.2273"/>
    <n v="0.93"/>
    <n v="0.1343"/>
    <n v="1"/>
    <n v="1"/>
    <n v="2"/>
    <n v="-0.51295812847461175"/>
    <x v="0"/>
    <n v="-1.0937285529489083"/>
    <x v="0"/>
  </r>
  <r>
    <n v="413"/>
    <d v="2011-01-19T00:00:00"/>
    <n v="1"/>
    <x v="0"/>
    <x v="5"/>
    <x v="1"/>
    <b v="0"/>
    <x v="0"/>
    <n v="3"/>
    <x v="4"/>
    <x v="1"/>
    <n v="2"/>
    <x v="1"/>
    <n v="0.22"/>
    <n v="0.2576"/>
    <n v="0.93"/>
    <n v="8.9599999999999999E-2"/>
    <n v="0"/>
    <n v="7"/>
    <n v="7"/>
    <n v="-0.64378142061299781"/>
    <x v="0"/>
    <n v="-0.96845181588357321"/>
    <x v="0"/>
  </r>
  <r>
    <n v="414"/>
    <d v="2011-01-19T00:00:00"/>
    <n v="1"/>
    <x v="0"/>
    <x v="6"/>
    <x v="1"/>
    <b v="0"/>
    <x v="0"/>
    <n v="3"/>
    <x v="4"/>
    <x v="1"/>
    <n v="2"/>
    <x v="1"/>
    <n v="0.22"/>
    <n v="0.2576"/>
    <n v="0.93"/>
    <n v="8.9599999999999999E-2"/>
    <n v="0"/>
    <n v="32"/>
    <n v="32"/>
    <n v="-0.64378142061299781"/>
    <x v="0"/>
    <n v="-0.44646541144467689"/>
    <x v="0"/>
  </r>
  <r>
    <n v="415"/>
    <d v="2011-01-19T00:00:00"/>
    <n v="1"/>
    <x v="0"/>
    <x v="7"/>
    <x v="1"/>
    <b v="0"/>
    <x v="0"/>
    <n v="3"/>
    <x v="4"/>
    <x v="1"/>
    <n v="2"/>
    <x v="1"/>
    <n v="0.24"/>
    <n v="0.2576"/>
    <n v="0.92"/>
    <n v="0.1045"/>
    <n v="1"/>
    <n v="89"/>
    <n v="90"/>
    <n v="-0.51295812847461175"/>
    <x v="0"/>
    <n v="0.74366359067600685"/>
    <x v="0"/>
  </r>
  <r>
    <n v="416"/>
    <d v="2011-01-19T00:00:00"/>
    <n v="1"/>
    <x v="0"/>
    <x v="8"/>
    <x v="2"/>
    <b v="0"/>
    <x v="0"/>
    <n v="3"/>
    <x v="4"/>
    <x v="1"/>
    <n v="2"/>
    <x v="1"/>
    <n v="0.24"/>
    <n v="0.2576"/>
    <n v="0.93"/>
    <n v="0.1045"/>
    <n v="1"/>
    <n v="196"/>
    <n v="197"/>
    <n v="-0.51295812847461175"/>
    <x v="0"/>
    <n v="2.9777654016744832"/>
    <x v="1"/>
  </r>
  <r>
    <n v="417"/>
    <d v="2011-01-19T00:00:00"/>
    <n v="1"/>
    <x v="0"/>
    <x v="9"/>
    <x v="2"/>
    <b v="0"/>
    <x v="0"/>
    <n v="3"/>
    <x v="4"/>
    <x v="1"/>
    <n v="2"/>
    <x v="1"/>
    <n v="0.24"/>
    <n v="0.2576"/>
    <n v="0.93"/>
    <n v="0.1045"/>
    <n v="2"/>
    <n v="107"/>
    <n v="109"/>
    <n v="-0.38213483633622569"/>
    <x v="0"/>
    <n v="1.1194938018720122"/>
    <x v="0"/>
  </r>
  <r>
    <n v="418"/>
    <d v="2011-01-19T00:00:00"/>
    <n v="1"/>
    <x v="0"/>
    <x v="10"/>
    <x v="2"/>
    <b v="0"/>
    <x v="0"/>
    <n v="3"/>
    <x v="4"/>
    <x v="1"/>
    <n v="2"/>
    <x v="1"/>
    <n v="0.26"/>
    <n v="0.2727"/>
    <n v="0.93"/>
    <n v="0.1343"/>
    <n v="1"/>
    <n v="46"/>
    <n v="47"/>
    <n v="-0.51295812847461175"/>
    <x v="0"/>
    <n v="-0.15415302495889494"/>
    <x v="0"/>
  </r>
  <r>
    <n v="419"/>
    <d v="2011-01-19T00:00:00"/>
    <n v="1"/>
    <x v="0"/>
    <x v="11"/>
    <x v="2"/>
    <b v="0"/>
    <x v="0"/>
    <n v="3"/>
    <x v="4"/>
    <x v="1"/>
    <n v="2"/>
    <x v="1"/>
    <n v="0.28000000000000003"/>
    <n v="0.30299999999999999"/>
    <n v="0.87"/>
    <n v="8.9599999999999999E-2"/>
    <n v="5"/>
    <n v="47"/>
    <n v="52"/>
    <n v="1.0335040078932463E-2"/>
    <x v="0"/>
    <n v="-0.13327356878133906"/>
    <x v="0"/>
  </r>
  <r>
    <n v="420"/>
    <d v="2011-01-19T00:00:00"/>
    <n v="1"/>
    <x v="0"/>
    <x v="12"/>
    <x v="3"/>
    <b v="0"/>
    <x v="0"/>
    <n v="3"/>
    <x v="4"/>
    <x v="1"/>
    <n v="2"/>
    <x v="1"/>
    <n v="0.3"/>
    <n v="0.31819999999999998"/>
    <n v="0.81"/>
    <n v="8.9599999999999999E-2"/>
    <n v="5"/>
    <n v="65"/>
    <n v="70"/>
    <n v="1.0335040078932463E-2"/>
    <x v="0"/>
    <n v="0.24255664241466629"/>
    <x v="0"/>
  </r>
  <r>
    <n v="421"/>
    <d v="2011-01-19T00:00:00"/>
    <n v="1"/>
    <x v="0"/>
    <x v="13"/>
    <x v="3"/>
    <b v="0"/>
    <x v="0"/>
    <n v="3"/>
    <x v="4"/>
    <x v="1"/>
    <n v="1"/>
    <x v="0"/>
    <n v="0.4"/>
    <n v="0.40910000000000002"/>
    <n v="0.62"/>
    <n v="0.28360000000000002"/>
    <n v="11"/>
    <n v="67"/>
    <n v="78"/>
    <n v="0.79527479290924885"/>
    <x v="0"/>
    <n v="0.28431555476977799"/>
    <x v="0"/>
  </r>
  <r>
    <n v="422"/>
    <d v="2011-01-19T00:00:00"/>
    <n v="1"/>
    <x v="0"/>
    <x v="14"/>
    <x v="3"/>
    <b v="0"/>
    <x v="0"/>
    <n v="3"/>
    <x v="4"/>
    <x v="1"/>
    <n v="1"/>
    <x v="0"/>
    <n v="0.4"/>
    <n v="0.40910000000000002"/>
    <n v="0.57999999999999996"/>
    <n v="0.25369999999999998"/>
    <n v="7"/>
    <n v="68"/>
    <n v="75"/>
    <n v="0.27198162435570455"/>
    <x v="0"/>
    <n v="0.30519501094733387"/>
    <x v="0"/>
  </r>
  <r>
    <n v="423"/>
    <d v="2011-01-19T00:00:00"/>
    <n v="1"/>
    <x v="0"/>
    <x v="15"/>
    <x v="3"/>
    <b v="0"/>
    <x v="0"/>
    <n v="3"/>
    <x v="4"/>
    <x v="1"/>
    <n v="1"/>
    <x v="0"/>
    <n v="0.4"/>
    <n v="0.40910000000000002"/>
    <n v="0.54"/>
    <n v="0.28360000000000002"/>
    <n v="4"/>
    <n v="78"/>
    <n v="82"/>
    <n v="-0.1204882520594536"/>
    <x v="0"/>
    <n v="0.51398957272289236"/>
    <x v="0"/>
  </r>
  <r>
    <n v="424"/>
    <d v="2011-01-19T00:00:00"/>
    <n v="1"/>
    <x v="0"/>
    <x v="16"/>
    <x v="3"/>
    <b v="0"/>
    <x v="0"/>
    <n v="3"/>
    <x v="4"/>
    <x v="1"/>
    <n v="1"/>
    <x v="0"/>
    <n v="0.38"/>
    <n v="0.39389999999999997"/>
    <n v="0.57999999999999996"/>
    <n v="0.3881"/>
    <n v="10"/>
    <n v="94"/>
    <n v="104"/>
    <n v="0.66445150077086279"/>
    <x v="0"/>
    <n v="0.84806087156378607"/>
    <x v="0"/>
  </r>
  <r>
    <n v="425"/>
    <d v="2011-01-19T00:00:00"/>
    <n v="1"/>
    <x v="0"/>
    <x v="17"/>
    <x v="4"/>
    <b v="0"/>
    <x v="0"/>
    <n v="3"/>
    <x v="4"/>
    <x v="1"/>
    <n v="1"/>
    <x v="0"/>
    <n v="0.36"/>
    <n v="0.33329999999999999"/>
    <n v="0.56999999999999995"/>
    <n v="0.32840000000000003"/>
    <n v="7"/>
    <n v="190"/>
    <n v="197"/>
    <n v="0.27198162435570455"/>
    <x v="0"/>
    <n v="2.8524886646091479"/>
    <x v="1"/>
  </r>
  <r>
    <n v="426"/>
    <d v="2011-01-19T00:00:00"/>
    <n v="1"/>
    <x v="0"/>
    <x v="18"/>
    <x v="4"/>
    <b v="0"/>
    <x v="0"/>
    <n v="3"/>
    <x v="4"/>
    <x v="1"/>
    <n v="1"/>
    <x v="0"/>
    <n v="0.34"/>
    <n v="0.31819999999999998"/>
    <n v="0.61"/>
    <n v="0.28360000000000002"/>
    <n v="5"/>
    <n v="156"/>
    <n v="161"/>
    <n v="1.0335040078932463E-2"/>
    <x v="0"/>
    <n v="2.142587154572249"/>
    <x v="1"/>
  </r>
  <r>
    <n v="427"/>
    <d v="2011-01-19T00:00:00"/>
    <n v="1"/>
    <x v="0"/>
    <x v="19"/>
    <x v="4"/>
    <b v="0"/>
    <x v="0"/>
    <n v="3"/>
    <x v="4"/>
    <x v="1"/>
    <n v="1"/>
    <x v="0"/>
    <n v="0.32"/>
    <n v="0.28789999999999999"/>
    <n v="0.56999999999999995"/>
    <n v="0.41789999999999999"/>
    <n v="4"/>
    <n v="108"/>
    <n v="112"/>
    <n v="-0.1204882520594536"/>
    <x v="0"/>
    <n v="1.140373258049568"/>
    <x v="0"/>
  </r>
  <r>
    <n v="428"/>
    <d v="2011-01-19T00:00:00"/>
    <n v="1"/>
    <x v="0"/>
    <x v="20"/>
    <x v="4"/>
    <b v="0"/>
    <x v="0"/>
    <n v="3"/>
    <x v="4"/>
    <x v="1"/>
    <n v="1"/>
    <x v="0"/>
    <n v="0.32"/>
    <n v="0.30299999999999999"/>
    <n v="0.49"/>
    <n v="0.29849999999999999"/>
    <n v="2"/>
    <n v="74"/>
    <n v="76"/>
    <n v="-0.38213483633622569"/>
    <x v="0"/>
    <n v="0.43047174801266896"/>
    <x v="0"/>
  </r>
  <r>
    <n v="429"/>
    <d v="2011-01-19T00:00:00"/>
    <n v="1"/>
    <x v="0"/>
    <x v="21"/>
    <x v="0"/>
    <b v="0"/>
    <x v="0"/>
    <n v="3"/>
    <x v="4"/>
    <x v="1"/>
    <n v="1"/>
    <x v="0"/>
    <n v="0.32"/>
    <n v="0.28789999999999999"/>
    <n v="0.49"/>
    <n v="0.41789999999999999"/>
    <n v="4"/>
    <n v="55"/>
    <n v="59"/>
    <n v="-0.1204882520594536"/>
    <x v="0"/>
    <n v="3.376208063910776E-2"/>
    <x v="0"/>
  </r>
  <r>
    <n v="430"/>
    <d v="2011-01-19T00:00:00"/>
    <n v="1"/>
    <x v="0"/>
    <x v="22"/>
    <x v="0"/>
    <b v="0"/>
    <x v="0"/>
    <n v="3"/>
    <x v="4"/>
    <x v="1"/>
    <n v="1"/>
    <x v="0"/>
    <n v="0.3"/>
    <n v="0.30299999999999999"/>
    <n v="0.52"/>
    <n v="0.16420000000000001"/>
    <n v="6"/>
    <n v="53"/>
    <n v="59"/>
    <n v="0.14115833221731852"/>
    <x v="0"/>
    <n v="-7.9968317160039482E-3"/>
    <x v="0"/>
  </r>
  <r>
    <n v="431"/>
    <d v="2011-01-19T00:00:00"/>
    <n v="1"/>
    <x v="0"/>
    <x v="23"/>
    <x v="0"/>
    <b v="0"/>
    <x v="0"/>
    <n v="3"/>
    <x v="4"/>
    <x v="1"/>
    <n v="1"/>
    <x v="0"/>
    <n v="0.3"/>
    <n v="0.2727"/>
    <n v="0.52"/>
    <n v="0.4627"/>
    <n v="1"/>
    <n v="27"/>
    <n v="28"/>
    <n v="-0.51295812847461175"/>
    <x v="0"/>
    <n v="-0.55086269233245611"/>
    <x v="0"/>
  </r>
  <r>
    <n v="432"/>
    <d v="2011-01-20T00:00:00"/>
    <n v="1"/>
    <x v="0"/>
    <x v="0"/>
    <x v="0"/>
    <b v="0"/>
    <x v="0"/>
    <n v="4"/>
    <x v="5"/>
    <x v="1"/>
    <n v="1"/>
    <x v="0"/>
    <n v="0.26"/>
    <n v="0.2273"/>
    <n v="0.56000000000000005"/>
    <n v="0.3881"/>
    <n v="5"/>
    <n v="8"/>
    <n v="13"/>
    <n v="1.0335040078932463E-2"/>
    <x v="0"/>
    <n v="-0.94757235970601739"/>
    <x v="0"/>
  </r>
  <r>
    <n v="433"/>
    <d v="2011-01-20T00:00:00"/>
    <n v="1"/>
    <x v="0"/>
    <x v="1"/>
    <x v="0"/>
    <b v="0"/>
    <x v="0"/>
    <n v="4"/>
    <x v="5"/>
    <x v="1"/>
    <n v="1"/>
    <x v="0"/>
    <n v="0.26"/>
    <n v="0.2727"/>
    <n v="0.56000000000000005"/>
    <n v="0"/>
    <n v="2"/>
    <n v="3"/>
    <n v="5"/>
    <n v="-0.38213483633622569"/>
    <x v="0"/>
    <n v="-1.0519696405937966"/>
    <x v="0"/>
  </r>
  <r>
    <n v="434"/>
    <d v="2011-01-20T00:00:00"/>
    <n v="1"/>
    <x v="0"/>
    <x v="2"/>
    <x v="0"/>
    <b v="0"/>
    <x v="0"/>
    <n v="4"/>
    <x v="5"/>
    <x v="1"/>
    <n v="1"/>
    <x v="0"/>
    <n v="0.26"/>
    <n v="0.2727"/>
    <n v="0.56000000000000005"/>
    <n v="0"/>
    <n v="0"/>
    <n v="2"/>
    <n v="2"/>
    <n v="-0.64378142061299781"/>
    <x v="0"/>
    <n v="-1.0728490967713524"/>
    <x v="0"/>
  </r>
  <r>
    <n v="435"/>
    <d v="2011-01-20T00:00:00"/>
    <n v="1"/>
    <x v="0"/>
    <x v="3"/>
    <x v="0"/>
    <b v="0"/>
    <x v="0"/>
    <n v="4"/>
    <x v="5"/>
    <x v="1"/>
    <n v="1"/>
    <x v="0"/>
    <n v="0.26"/>
    <n v="0.2576"/>
    <n v="0.56000000000000005"/>
    <n v="0.16420000000000001"/>
    <n v="0"/>
    <n v="1"/>
    <n v="1"/>
    <n v="-0.64378142061299781"/>
    <x v="0"/>
    <n v="-1.0937285529489083"/>
    <x v="0"/>
  </r>
  <r>
    <n v="436"/>
    <d v="2011-01-20T00:00:00"/>
    <n v="1"/>
    <x v="0"/>
    <x v="4"/>
    <x v="0"/>
    <b v="0"/>
    <x v="0"/>
    <n v="4"/>
    <x v="5"/>
    <x v="1"/>
    <n v="1"/>
    <x v="0"/>
    <n v="0.26"/>
    <n v="0.2576"/>
    <n v="0.56000000000000005"/>
    <n v="0.16420000000000001"/>
    <n v="0"/>
    <n v="1"/>
    <n v="1"/>
    <n v="-0.64378142061299781"/>
    <x v="0"/>
    <n v="-1.0937285529489083"/>
    <x v="0"/>
  </r>
  <r>
    <n v="437"/>
    <d v="2011-01-20T00:00:00"/>
    <n v="1"/>
    <x v="0"/>
    <x v="5"/>
    <x v="1"/>
    <b v="0"/>
    <x v="0"/>
    <n v="4"/>
    <x v="5"/>
    <x v="1"/>
    <n v="1"/>
    <x v="0"/>
    <n v="0.24"/>
    <n v="0.2273"/>
    <n v="0.6"/>
    <n v="0.22389999999999999"/>
    <n v="0"/>
    <n v="6"/>
    <n v="6"/>
    <n v="-0.64378142061299781"/>
    <x v="0"/>
    <n v="-0.98933127206112903"/>
    <x v="0"/>
  </r>
  <r>
    <n v="438"/>
    <d v="2011-01-20T00:00:00"/>
    <n v="1"/>
    <x v="0"/>
    <x v="6"/>
    <x v="1"/>
    <b v="0"/>
    <x v="0"/>
    <n v="4"/>
    <x v="5"/>
    <x v="1"/>
    <n v="1"/>
    <x v="0"/>
    <n v="0.22"/>
    <n v="0.21210000000000001"/>
    <n v="0.6"/>
    <n v="0.22389999999999999"/>
    <n v="0"/>
    <n v="35"/>
    <n v="35"/>
    <n v="-0.64378142061299781"/>
    <x v="0"/>
    <n v="-0.38382704291200931"/>
    <x v="0"/>
  </r>
  <r>
    <n v="439"/>
    <d v="2011-01-20T00:00:00"/>
    <n v="1"/>
    <x v="0"/>
    <x v="7"/>
    <x v="1"/>
    <b v="0"/>
    <x v="0"/>
    <n v="4"/>
    <x v="5"/>
    <x v="1"/>
    <n v="1"/>
    <x v="0"/>
    <n v="0.22"/>
    <n v="0.21210000000000001"/>
    <n v="0.55000000000000004"/>
    <n v="0.22389999999999999"/>
    <n v="1"/>
    <n v="100"/>
    <n v="101"/>
    <n v="-0.51295812847461175"/>
    <x v="0"/>
    <n v="0.97333760862912122"/>
    <x v="0"/>
  </r>
  <r>
    <n v="440"/>
    <d v="2011-01-20T00:00:00"/>
    <n v="1"/>
    <x v="0"/>
    <x v="8"/>
    <x v="2"/>
    <b v="0"/>
    <x v="0"/>
    <n v="4"/>
    <x v="5"/>
    <x v="1"/>
    <n v="1"/>
    <x v="0"/>
    <n v="0.22"/>
    <n v="0.21210000000000001"/>
    <n v="0.55000000000000004"/>
    <n v="0.28360000000000002"/>
    <n v="2"/>
    <n v="247"/>
    <n v="249"/>
    <n v="-0.38213483633622569"/>
    <x v="0"/>
    <n v="4.0426176667298312"/>
    <x v="1"/>
  </r>
  <r>
    <n v="441"/>
    <d v="2011-01-20T00:00:00"/>
    <n v="1"/>
    <x v="0"/>
    <x v="9"/>
    <x v="2"/>
    <b v="0"/>
    <x v="0"/>
    <n v="4"/>
    <x v="5"/>
    <x v="1"/>
    <n v="2"/>
    <x v="1"/>
    <n v="0.24"/>
    <n v="0.2273"/>
    <n v="0.52"/>
    <n v="0.22389999999999999"/>
    <n v="3"/>
    <n v="140"/>
    <n v="143"/>
    <n v="-0.25131154419783963"/>
    <x v="0"/>
    <n v="1.8085158557313552"/>
    <x v="0"/>
  </r>
  <r>
    <n v="442"/>
    <d v="2011-01-20T00:00:00"/>
    <n v="1"/>
    <x v="0"/>
    <x v="10"/>
    <x v="2"/>
    <b v="0"/>
    <x v="0"/>
    <n v="4"/>
    <x v="5"/>
    <x v="1"/>
    <n v="1"/>
    <x v="0"/>
    <n v="0.26"/>
    <n v="0.2273"/>
    <n v="0.48"/>
    <n v="0.29849999999999999"/>
    <n v="1"/>
    <n v="56"/>
    <n v="57"/>
    <n v="-0.51295812847461175"/>
    <x v="0"/>
    <n v="5.4641536816663616E-2"/>
    <x v="0"/>
  </r>
  <r>
    <n v="443"/>
    <d v="2011-01-20T00:00:00"/>
    <n v="1"/>
    <x v="0"/>
    <x v="11"/>
    <x v="2"/>
    <b v="0"/>
    <x v="0"/>
    <n v="4"/>
    <x v="5"/>
    <x v="1"/>
    <n v="2"/>
    <x v="1"/>
    <n v="0.28000000000000003"/>
    <n v="0.2727"/>
    <n v="0.45"/>
    <n v="0.16420000000000001"/>
    <n v="5"/>
    <n v="63"/>
    <n v="68"/>
    <n v="1.0335040078932463E-2"/>
    <x v="0"/>
    <n v="0.20079773005955459"/>
    <x v="0"/>
  </r>
  <r>
    <n v="444"/>
    <d v="2011-01-20T00:00:00"/>
    <n v="1"/>
    <x v="0"/>
    <x v="12"/>
    <x v="3"/>
    <b v="0"/>
    <x v="0"/>
    <n v="4"/>
    <x v="5"/>
    <x v="1"/>
    <n v="2"/>
    <x v="1"/>
    <n v="0.3"/>
    <n v="0.33329999999999999"/>
    <n v="0.42"/>
    <n v="0"/>
    <n v="7"/>
    <n v="77"/>
    <n v="84"/>
    <n v="0.27198162435570455"/>
    <x v="0"/>
    <n v="0.49311011654533654"/>
    <x v="0"/>
  </r>
  <r>
    <n v="445"/>
    <d v="2011-01-20T00:00:00"/>
    <n v="1"/>
    <x v="0"/>
    <x v="13"/>
    <x v="3"/>
    <b v="0"/>
    <x v="0"/>
    <n v="4"/>
    <x v="5"/>
    <x v="1"/>
    <n v="2"/>
    <x v="1"/>
    <n v="0.28000000000000003"/>
    <n v="0.28789999999999999"/>
    <n v="0.45"/>
    <n v="0.1045"/>
    <n v="12"/>
    <n v="86"/>
    <n v="98"/>
    <n v="0.92609808504763491"/>
    <x v="0"/>
    <n v="0.68102522214333927"/>
    <x v="0"/>
  </r>
  <r>
    <n v="446"/>
    <d v="2011-01-20T00:00:00"/>
    <n v="1"/>
    <x v="0"/>
    <x v="14"/>
    <x v="3"/>
    <b v="0"/>
    <x v="0"/>
    <n v="4"/>
    <x v="5"/>
    <x v="1"/>
    <n v="2"/>
    <x v="1"/>
    <n v="0.3"/>
    <n v="0.30299999999999999"/>
    <n v="0.45"/>
    <n v="0.1343"/>
    <n v="6"/>
    <n v="75"/>
    <n v="81"/>
    <n v="0.14115833221731852"/>
    <x v="0"/>
    <n v="0.45135120419022484"/>
    <x v="0"/>
  </r>
  <r>
    <n v="447"/>
    <d v="2011-01-20T00:00:00"/>
    <n v="1"/>
    <x v="0"/>
    <x v="15"/>
    <x v="3"/>
    <b v="0"/>
    <x v="0"/>
    <n v="4"/>
    <x v="5"/>
    <x v="1"/>
    <n v="2"/>
    <x v="1"/>
    <n v="0.32"/>
    <n v="0.31819999999999998"/>
    <n v="0.45"/>
    <n v="0.19400000000000001"/>
    <n v="8"/>
    <n v="62"/>
    <n v="70"/>
    <n v="0.40280491649409061"/>
    <x v="0"/>
    <n v="0.17991827388199874"/>
    <x v="0"/>
  </r>
  <r>
    <n v="448"/>
    <d v="2011-01-20T00:00:00"/>
    <n v="1"/>
    <x v="0"/>
    <x v="16"/>
    <x v="3"/>
    <b v="0"/>
    <x v="0"/>
    <n v="4"/>
    <x v="5"/>
    <x v="1"/>
    <n v="2"/>
    <x v="1"/>
    <n v="0.3"/>
    <n v="0.30299999999999999"/>
    <n v="0.49"/>
    <n v="0.1343"/>
    <n v="8"/>
    <n v="83"/>
    <n v="91"/>
    <n v="0.40280491649409061"/>
    <x v="0"/>
    <n v="0.61838685361067169"/>
    <x v="0"/>
  </r>
  <r>
    <n v="449"/>
    <d v="2011-01-20T00:00:00"/>
    <n v="1"/>
    <x v="0"/>
    <x v="17"/>
    <x v="4"/>
    <b v="0"/>
    <x v="0"/>
    <n v="4"/>
    <x v="5"/>
    <x v="1"/>
    <n v="2"/>
    <x v="1"/>
    <n v="0.3"/>
    <n v="0.31819999999999998"/>
    <n v="0.49"/>
    <n v="0.1045"/>
    <n v="8"/>
    <n v="207"/>
    <n v="215"/>
    <n v="0.40280491649409061"/>
    <x v="0"/>
    <n v="3.2074394196275975"/>
    <x v="1"/>
  </r>
  <r>
    <n v="450"/>
    <d v="2011-01-20T00:00:00"/>
    <n v="1"/>
    <x v="0"/>
    <x v="18"/>
    <x v="4"/>
    <b v="0"/>
    <x v="0"/>
    <n v="4"/>
    <x v="5"/>
    <x v="1"/>
    <n v="2"/>
    <x v="1"/>
    <n v="0.26"/>
    <n v="0.2576"/>
    <n v="0.56000000000000005"/>
    <n v="0.19400000000000001"/>
    <n v="1"/>
    <n v="184"/>
    <n v="185"/>
    <n v="-0.51295812847461175"/>
    <x v="0"/>
    <n v="2.7272119275438129"/>
    <x v="1"/>
  </r>
  <r>
    <n v="451"/>
    <d v="2011-01-20T00:00:00"/>
    <n v="1"/>
    <x v="0"/>
    <x v="19"/>
    <x v="4"/>
    <b v="0"/>
    <x v="0"/>
    <n v="4"/>
    <x v="5"/>
    <x v="1"/>
    <n v="1"/>
    <x v="0"/>
    <n v="0.26"/>
    <n v="0.2273"/>
    <n v="0.56000000000000005"/>
    <n v="0.32840000000000003"/>
    <n v="6"/>
    <n v="146"/>
    <n v="152"/>
    <n v="0.14115833221731852"/>
    <x v="0"/>
    <n v="1.9337925927966904"/>
    <x v="0"/>
  </r>
  <r>
    <n v="452"/>
    <d v="2011-01-20T00:00:00"/>
    <n v="1"/>
    <x v="0"/>
    <x v="20"/>
    <x v="4"/>
    <b v="0"/>
    <x v="0"/>
    <n v="4"/>
    <x v="5"/>
    <x v="1"/>
    <n v="2"/>
    <x v="1"/>
    <n v="0.26"/>
    <n v="0.2424"/>
    <n v="0.6"/>
    <n v="0.28360000000000002"/>
    <n v="2"/>
    <n v="124"/>
    <n v="126"/>
    <n v="-0.38213483633622569"/>
    <x v="0"/>
    <n v="1.4744445568904616"/>
    <x v="0"/>
  </r>
  <r>
    <n v="453"/>
    <d v="2011-01-20T00:00:00"/>
    <n v="1"/>
    <x v="0"/>
    <x v="21"/>
    <x v="0"/>
    <b v="0"/>
    <x v="0"/>
    <n v="4"/>
    <x v="5"/>
    <x v="1"/>
    <n v="2"/>
    <x v="1"/>
    <n v="0.24"/>
    <n v="0.2273"/>
    <n v="0.6"/>
    <n v="0.25369999999999998"/>
    <n v="3"/>
    <n v="54"/>
    <n v="57"/>
    <n v="-0.25131154419783963"/>
    <x v="0"/>
    <n v="1.2882624461551907E-2"/>
    <x v="0"/>
  </r>
  <r>
    <n v="454"/>
    <d v="2011-01-20T00:00:00"/>
    <n v="1"/>
    <x v="0"/>
    <x v="22"/>
    <x v="0"/>
    <b v="0"/>
    <x v="0"/>
    <n v="4"/>
    <x v="5"/>
    <x v="1"/>
    <n v="2"/>
    <x v="1"/>
    <n v="0.24"/>
    <n v="0.21210000000000001"/>
    <n v="0.65"/>
    <n v="0.28360000000000002"/>
    <n v="0"/>
    <n v="56"/>
    <n v="56"/>
    <n v="-0.64378142061299781"/>
    <x v="0"/>
    <n v="5.4641536816663616E-2"/>
    <x v="0"/>
  </r>
  <r>
    <n v="455"/>
    <d v="2011-01-20T00:00:00"/>
    <n v="1"/>
    <x v="0"/>
    <x v="23"/>
    <x v="0"/>
    <b v="0"/>
    <x v="0"/>
    <n v="4"/>
    <x v="5"/>
    <x v="1"/>
    <n v="2"/>
    <x v="1"/>
    <n v="0.24"/>
    <n v="0.21210000000000001"/>
    <n v="0.65"/>
    <n v="0.32840000000000003"/>
    <n v="3"/>
    <n v="28"/>
    <n v="31"/>
    <n v="-0.25131154419783963"/>
    <x v="0"/>
    <n v="-0.52998323615490028"/>
    <x v="0"/>
  </r>
  <r>
    <n v="456"/>
    <d v="2011-01-21T00:00:00"/>
    <n v="1"/>
    <x v="0"/>
    <x v="0"/>
    <x v="0"/>
    <b v="0"/>
    <x v="0"/>
    <n v="5"/>
    <x v="6"/>
    <x v="1"/>
    <n v="2"/>
    <x v="1"/>
    <n v="0.24"/>
    <n v="0.2273"/>
    <n v="0.7"/>
    <n v="0.25369999999999998"/>
    <n v="1"/>
    <n v="20"/>
    <n v="21"/>
    <n v="-0.51295812847461175"/>
    <x v="0"/>
    <n v="-0.69701888557534708"/>
    <x v="0"/>
  </r>
  <r>
    <n v="457"/>
    <d v="2011-01-21T00:00:00"/>
    <n v="1"/>
    <x v="0"/>
    <x v="1"/>
    <x v="0"/>
    <b v="0"/>
    <x v="0"/>
    <n v="5"/>
    <x v="6"/>
    <x v="1"/>
    <n v="2"/>
    <x v="1"/>
    <n v="0.24"/>
    <n v="0.2273"/>
    <n v="0.7"/>
    <n v="0.25369999999999998"/>
    <n v="0"/>
    <n v="6"/>
    <n v="6"/>
    <n v="-0.64378142061299781"/>
    <x v="0"/>
    <n v="-0.98933127206112903"/>
    <x v="0"/>
  </r>
  <r>
    <n v="458"/>
    <d v="2011-01-21T00:00:00"/>
    <n v="1"/>
    <x v="0"/>
    <x v="2"/>
    <x v="0"/>
    <b v="0"/>
    <x v="0"/>
    <n v="5"/>
    <x v="6"/>
    <x v="1"/>
    <n v="3"/>
    <x v="2"/>
    <n v="0.24"/>
    <n v="0.2424"/>
    <n v="0.75"/>
    <n v="0.16420000000000001"/>
    <n v="0"/>
    <n v="2"/>
    <n v="2"/>
    <n v="-0.64378142061299781"/>
    <x v="0"/>
    <n v="-1.0728490967713524"/>
    <x v="0"/>
  </r>
  <r>
    <n v="459"/>
    <d v="2011-01-21T00:00:00"/>
    <n v="1"/>
    <x v="0"/>
    <x v="3"/>
    <x v="0"/>
    <b v="0"/>
    <x v="0"/>
    <n v="5"/>
    <x v="6"/>
    <x v="1"/>
    <n v="3"/>
    <x v="2"/>
    <n v="0.22"/>
    <n v="0.21210000000000001"/>
    <n v="0.8"/>
    <n v="0.29849999999999999"/>
    <n v="0"/>
    <n v="1"/>
    <n v="1"/>
    <n v="-0.64378142061299781"/>
    <x v="0"/>
    <n v="-1.0937285529489083"/>
    <x v="0"/>
  </r>
  <r>
    <n v="460"/>
    <d v="2011-01-21T00:00:00"/>
    <n v="1"/>
    <x v="0"/>
    <x v="4"/>
    <x v="0"/>
    <b v="0"/>
    <x v="0"/>
    <n v="5"/>
    <x v="6"/>
    <x v="1"/>
    <n v="2"/>
    <x v="1"/>
    <n v="0.22"/>
    <n v="0.2576"/>
    <n v="0.87"/>
    <n v="8.9599999999999999E-2"/>
    <n v="0"/>
    <n v="1"/>
    <n v="1"/>
    <n v="-0.64378142061299781"/>
    <x v="0"/>
    <n v="-1.0937285529489083"/>
    <x v="0"/>
  </r>
  <r>
    <n v="461"/>
    <d v="2011-01-21T00:00:00"/>
    <n v="1"/>
    <x v="0"/>
    <x v="5"/>
    <x v="1"/>
    <b v="0"/>
    <x v="0"/>
    <n v="5"/>
    <x v="6"/>
    <x v="1"/>
    <n v="1"/>
    <x v="0"/>
    <n v="0.24"/>
    <n v="0.19700000000000001"/>
    <n v="0.6"/>
    <n v="0.41789999999999999"/>
    <n v="1"/>
    <n v="4"/>
    <n v="5"/>
    <n v="-0.51295812847461175"/>
    <x v="0"/>
    <n v="-1.0310901844162408"/>
    <x v="0"/>
  </r>
  <r>
    <n v="462"/>
    <d v="2011-01-21T00:00:00"/>
    <n v="1"/>
    <x v="0"/>
    <x v="6"/>
    <x v="1"/>
    <b v="0"/>
    <x v="0"/>
    <n v="5"/>
    <x v="6"/>
    <x v="1"/>
    <n v="1"/>
    <x v="0"/>
    <n v="0.22"/>
    <n v="0.21210000000000001"/>
    <n v="0.55000000000000004"/>
    <n v="0.25369999999999998"/>
    <n v="0"/>
    <n v="27"/>
    <n v="27"/>
    <n v="-0.64378142061299781"/>
    <x v="0"/>
    <n v="-0.55086269233245611"/>
    <x v="0"/>
  </r>
  <r>
    <n v="463"/>
    <d v="2011-01-21T00:00:00"/>
    <n v="1"/>
    <x v="0"/>
    <x v="7"/>
    <x v="1"/>
    <b v="0"/>
    <x v="0"/>
    <n v="5"/>
    <x v="6"/>
    <x v="1"/>
    <n v="1"/>
    <x v="0"/>
    <n v="0.2"/>
    <n v="0.18179999999999999"/>
    <n v="0.51"/>
    <n v="0.28360000000000002"/>
    <n v="2"/>
    <n v="66"/>
    <n v="68"/>
    <n v="-0.38213483633622569"/>
    <x v="0"/>
    <n v="0.26343609859222217"/>
    <x v="0"/>
  </r>
  <r>
    <n v="464"/>
    <d v="2011-01-21T00:00:00"/>
    <n v="1"/>
    <x v="0"/>
    <x v="8"/>
    <x v="2"/>
    <b v="0"/>
    <x v="0"/>
    <n v="5"/>
    <x v="6"/>
    <x v="1"/>
    <n v="1"/>
    <x v="0"/>
    <n v="0.2"/>
    <n v="0.18179999999999999"/>
    <n v="0.47"/>
    <n v="0.32840000000000003"/>
    <n v="7"/>
    <n v="210"/>
    <n v="217"/>
    <n v="0.27198162435570455"/>
    <x v="0"/>
    <n v="3.2700777881602652"/>
    <x v="1"/>
  </r>
  <r>
    <n v="465"/>
    <d v="2011-01-21T00:00:00"/>
    <n v="1"/>
    <x v="0"/>
    <x v="9"/>
    <x v="2"/>
    <b v="0"/>
    <x v="0"/>
    <n v="5"/>
    <x v="6"/>
    <x v="1"/>
    <n v="1"/>
    <x v="0"/>
    <n v="0.2"/>
    <n v="0.18179999999999999"/>
    <n v="0.51"/>
    <n v="0.35820000000000002"/>
    <n v="7"/>
    <n v="159"/>
    <n v="166"/>
    <n v="0.27198162435570455"/>
    <x v="0"/>
    <n v="2.2052255231049163"/>
    <x v="1"/>
  </r>
  <r>
    <n v="466"/>
    <d v="2011-01-21T00:00:00"/>
    <n v="1"/>
    <x v="0"/>
    <x v="10"/>
    <x v="2"/>
    <b v="0"/>
    <x v="0"/>
    <n v="5"/>
    <x v="6"/>
    <x v="1"/>
    <n v="1"/>
    <x v="0"/>
    <n v="0.2"/>
    <n v="0.16669999999999999"/>
    <n v="0.47"/>
    <n v="0.4627"/>
    <n v="6"/>
    <n v="57"/>
    <n v="63"/>
    <n v="0.14115833221731852"/>
    <x v="0"/>
    <n v="7.5520992994219466E-2"/>
    <x v="0"/>
  </r>
  <r>
    <n v="467"/>
    <d v="2011-01-21T00:00:00"/>
    <n v="1"/>
    <x v="0"/>
    <x v="11"/>
    <x v="2"/>
    <b v="0"/>
    <x v="0"/>
    <n v="5"/>
    <x v="6"/>
    <x v="1"/>
    <n v="1"/>
    <x v="0"/>
    <n v="0.22"/>
    <n v="0.18179999999999999"/>
    <n v="0.41"/>
    <n v="0.4627"/>
    <n v="6"/>
    <n v="53"/>
    <n v="59"/>
    <n v="0.14115833221731852"/>
    <x v="0"/>
    <n v="-7.9968317160039482E-3"/>
    <x v="0"/>
  </r>
  <r>
    <n v="468"/>
    <d v="2011-01-21T00:00:00"/>
    <n v="1"/>
    <x v="0"/>
    <x v="12"/>
    <x v="3"/>
    <b v="0"/>
    <x v="0"/>
    <n v="5"/>
    <x v="6"/>
    <x v="1"/>
    <n v="1"/>
    <x v="0"/>
    <n v="0.22"/>
    <n v="0.18179999999999999"/>
    <n v="0.27"/>
    <n v="0.58209999999999995"/>
    <n v="11"/>
    <n v="67"/>
    <n v="78"/>
    <n v="0.79527479290924885"/>
    <x v="0"/>
    <n v="0.28431555476977799"/>
    <x v="0"/>
  </r>
  <r>
    <n v="469"/>
    <d v="2011-01-21T00:00:00"/>
    <n v="1"/>
    <x v="0"/>
    <x v="13"/>
    <x v="3"/>
    <b v="0"/>
    <x v="0"/>
    <n v="5"/>
    <x v="6"/>
    <x v="1"/>
    <n v="1"/>
    <x v="0"/>
    <n v="0.2"/>
    <n v="0.1515"/>
    <n v="0.21"/>
    <n v="0.58209999999999995"/>
    <n v="8"/>
    <n v="65"/>
    <n v="73"/>
    <n v="0.40280491649409061"/>
    <x v="0"/>
    <n v="0.24255664241466629"/>
    <x v="0"/>
  </r>
  <r>
    <n v="470"/>
    <d v="2011-01-21T00:00:00"/>
    <n v="1"/>
    <x v="0"/>
    <x v="14"/>
    <x v="3"/>
    <b v="0"/>
    <x v="0"/>
    <n v="5"/>
    <x v="6"/>
    <x v="1"/>
    <n v="1"/>
    <x v="0"/>
    <n v="0.2"/>
    <n v="0.1515"/>
    <n v="0.25"/>
    <n v="0.52239999999999998"/>
    <n v="6"/>
    <n v="56"/>
    <n v="62"/>
    <n v="0.14115833221731852"/>
    <x v="0"/>
    <n v="5.4641536816663616E-2"/>
    <x v="0"/>
  </r>
  <r>
    <n v="471"/>
    <d v="2011-01-21T00:00:00"/>
    <n v="1"/>
    <x v="0"/>
    <x v="15"/>
    <x v="3"/>
    <b v="0"/>
    <x v="0"/>
    <n v="5"/>
    <x v="6"/>
    <x v="1"/>
    <n v="1"/>
    <x v="0"/>
    <n v="0.16"/>
    <n v="0.1212"/>
    <n v="0.26"/>
    <n v="0.44779999999999998"/>
    <n v="4"/>
    <n v="61"/>
    <n v="65"/>
    <n v="-0.1204882520594536"/>
    <x v="0"/>
    <n v="0.15903881770444289"/>
    <x v="0"/>
  </r>
  <r>
    <n v="472"/>
    <d v="2011-01-21T00:00:00"/>
    <n v="1"/>
    <x v="0"/>
    <x v="16"/>
    <x v="3"/>
    <b v="0"/>
    <x v="0"/>
    <n v="5"/>
    <x v="6"/>
    <x v="1"/>
    <n v="1"/>
    <x v="0"/>
    <n v="0.16"/>
    <n v="0.13639999999999999"/>
    <n v="0.26"/>
    <n v="0.35820000000000002"/>
    <n v="0"/>
    <n v="97"/>
    <n v="97"/>
    <n v="-0.64378142061299781"/>
    <x v="0"/>
    <n v="0.91069924009645364"/>
    <x v="0"/>
  </r>
  <r>
    <n v="473"/>
    <d v="2011-01-21T00:00:00"/>
    <n v="1"/>
    <x v="0"/>
    <x v="17"/>
    <x v="4"/>
    <b v="0"/>
    <x v="0"/>
    <n v="5"/>
    <x v="6"/>
    <x v="1"/>
    <n v="1"/>
    <x v="0"/>
    <n v="0.14000000000000001"/>
    <n v="0.1212"/>
    <n v="0.28000000000000003"/>
    <n v="0.35820000000000002"/>
    <n v="10"/>
    <n v="151"/>
    <n v="161"/>
    <n v="0.66445150077086279"/>
    <x v="0"/>
    <n v="2.0381898736844697"/>
    <x v="1"/>
  </r>
  <r>
    <n v="474"/>
    <d v="2011-01-21T00:00:00"/>
    <n v="1"/>
    <x v="0"/>
    <x v="18"/>
    <x v="4"/>
    <b v="0"/>
    <x v="0"/>
    <n v="5"/>
    <x v="6"/>
    <x v="1"/>
    <n v="1"/>
    <x v="0"/>
    <n v="0.12"/>
    <n v="0.1212"/>
    <n v="0.3"/>
    <n v="0.25369999999999998"/>
    <n v="1"/>
    <n v="119"/>
    <n v="120"/>
    <n v="-0.51295812847461175"/>
    <x v="0"/>
    <n v="1.3700472760026823"/>
    <x v="0"/>
  </r>
  <r>
    <n v="475"/>
    <d v="2011-01-21T00:00:00"/>
    <n v="1"/>
    <x v="0"/>
    <x v="19"/>
    <x v="4"/>
    <b v="0"/>
    <x v="0"/>
    <n v="5"/>
    <x v="6"/>
    <x v="1"/>
    <n v="1"/>
    <x v="0"/>
    <n v="0.12"/>
    <n v="0.1061"/>
    <n v="0.3"/>
    <n v="0.32840000000000003"/>
    <n v="3"/>
    <n v="93"/>
    <n v="96"/>
    <n v="-0.25131154419783963"/>
    <x v="0"/>
    <n v="0.82718141538623025"/>
    <x v="0"/>
  </r>
  <r>
    <n v="476"/>
    <d v="2011-01-21T00:00:00"/>
    <n v="1"/>
    <x v="0"/>
    <x v="20"/>
    <x v="4"/>
    <b v="0"/>
    <x v="0"/>
    <n v="5"/>
    <x v="6"/>
    <x v="1"/>
    <n v="1"/>
    <x v="0"/>
    <n v="0.1"/>
    <n v="7.5800000000000006E-2"/>
    <n v="0.33"/>
    <n v="0.41789999999999999"/>
    <n v="1"/>
    <n v="52"/>
    <n v="53"/>
    <n v="-0.51295812847461175"/>
    <x v="0"/>
    <n v="-2.8876287893559803E-2"/>
    <x v="0"/>
  </r>
  <r>
    <n v="477"/>
    <d v="2011-01-21T00:00:00"/>
    <n v="1"/>
    <x v="0"/>
    <x v="21"/>
    <x v="0"/>
    <b v="0"/>
    <x v="0"/>
    <n v="5"/>
    <x v="6"/>
    <x v="1"/>
    <n v="1"/>
    <x v="0"/>
    <n v="0.08"/>
    <n v="7.5800000000000006E-2"/>
    <n v="0.38"/>
    <n v="0.28360000000000002"/>
    <n v="0"/>
    <n v="41"/>
    <n v="41"/>
    <n v="-0.64378142061299781"/>
    <x v="0"/>
    <n v="-0.25855030584667421"/>
    <x v="0"/>
  </r>
  <r>
    <n v="478"/>
    <d v="2011-01-21T00:00:00"/>
    <n v="1"/>
    <x v="0"/>
    <x v="22"/>
    <x v="0"/>
    <b v="0"/>
    <x v="0"/>
    <n v="5"/>
    <x v="6"/>
    <x v="1"/>
    <n v="1"/>
    <x v="0"/>
    <n v="0.06"/>
    <n v="3.0300000000000001E-2"/>
    <n v="0.41"/>
    <n v="0.3881"/>
    <n v="1"/>
    <n v="33"/>
    <n v="34"/>
    <n v="-0.51295812847461175"/>
    <x v="0"/>
    <n v="-0.42558595526712101"/>
    <x v="0"/>
  </r>
  <r>
    <n v="479"/>
    <d v="2011-01-21T00:00:00"/>
    <n v="1"/>
    <x v="0"/>
    <x v="23"/>
    <x v="0"/>
    <b v="0"/>
    <x v="0"/>
    <n v="5"/>
    <x v="6"/>
    <x v="1"/>
    <n v="1"/>
    <x v="0"/>
    <n v="0.06"/>
    <n v="4.5499999999999999E-2"/>
    <n v="0.38"/>
    <n v="0.32840000000000003"/>
    <n v="0"/>
    <n v="27"/>
    <n v="27"/>
    <n v="-0.64378142061299781"/>
    <x v="0"/>
    <n v="-0.55086269233245611"/>
    <x v="0"/>
  </r>
  <r>
    <n v="480"/>
    <d v="2011-01-22T00:00:00"/>
    <n v="1"/>
    <x v="0"/>
    <x v="0"/>
    <x v="0"/>
    <b v="0"/>
    <x v="0"/>
    <n v="6"/>
    <x v="0"/>
    <x v="0"/>
    <n v="1"/>
    <x v="0"/>
    <n v="0.04"/>
    <n v="3.0300000000000001E-2"/>
    <n v="0.45"/>
    <n v="0.25369999999999998"/>
    <n v="0"/>
    <n v="13"/>
    <n v="13"/>
    <n v="-0.64378142061299781"/>
    <x v="0"/>
    <n v="-0.84317507881823806"/>
    <x v="0"/>
  </r>
  <r>
    <n v="481"/>
    <d v="2011-01-22T00:00:00"/>
    <n v="1"/>
    <x v="0"/>
    <x v="1"/>
    <x v="0"/>
    <b v="0"/>
    <x v="0"/>
    <n v="6"/>
    <x v="0"/>
    <x v="0"/>
    <n v="2"/>
    <x v="1"/>
    <n v="0.04"/>
    <n v="0"/>
    <n v="0.41"/>
    <n v="0.3881"/>
    <n v="3"/>
    <n v="9"/>
    <n v="12"/>
    <n v="-0.25131154419783963"/>
    <x v="0"/>
    <n v="-0.92669290352846156"/>
    <x v="0"/>
  </r>
  <r>
    <n v="482"/>
    <d v="2011-01-22T00:00:00"/>
    <n v="1"/>
    <x v="0"/>
    <x v="2"/>
    <x v="0"/>
    <b v="0"/>
    <x v="0"/>
    <n v="6"/>
    <x v="0"/>
    <x v="0"/>
    <n v="2"/>
    <x v="1"/>
    <n v="0.04"/>
    <n v="3.0300000000000001E-2"/>
    <n v="0.41"/>
    <n v="0.25369999999999998"/>
    <n v="0"/>
    <n v="11"/>
    <n v="11"/>
    <n v="-0.64378142061299781"/>
    <x v="0"/>
    <n v="-0.88493399117334981"/>
    <x v="0"/>
  </r>
  <r>
    <n v="483"/>
    <d v="2011-01-22T00:00:00"/>
    <n v="1"/>
    <x v="0"/>
    <x v="3"/>
    <x v="0"/>
    <b v="0"/>
    <x v="0"/>
    <n v="6"/>
    <x v="0"/>
    <x v="0"/>
    <n v="2"/>
    <x v="1"/>
    <n v="0.04"/>
    <n v="3.0300000000000001E-2"/>
    <n v="0.41"/>
    <n v="0.28360000000000002"/>
    <n v="1"/>
    <n v="6"/>
    <n v="7"/>
    <n v="-0.51295812847461175"/>
    <x v="0"/>
    <n v="-0.98933127206112903"/>
    <x v="0"/>
  </r>
  <r>
    <n v="484"/>
    <d v="2011-01-22T00:00:00"/>
    <n v="1"/>
    <x v="0"/>
    <x v="4"/>
    <x v="0"/>
    <b v="0"/>
    <x v="0"/>
    <n v="6"/>
    <x v="0"/>
    <x v="0"/>
    <n v="2"/>
    <x v="1"/>
    <n v="0.02"/>
    <n v="1.52E-2"/>
    <n v="0.48"/>
    <n v="0.29849999999999999"/>
    <n v="0"/>
    <n v="3"/>
    <n v="3"/>
    <n v="-0.64378142061299781"/>
    <x v="0"/>
    <n v="-1.0519696405937966"/>
    <x v="0"/>
  </r>
  <r>
    <n v="485"/>
    <d v="2011-01-22T00:00:00"/>
    <n v="1"/>
    <x v="0"/>
    <x v="6"/>
    <x v="1"/>
    <b v="0"/>
    <x v="0"/>
    <n v="6"/>
    <x v="0"/>
    <x v="0"/>
    <n v="2"/>
    <x v="1"/>
    <n v="0.02"/>
    <n v="3.0300000000000001E-2"/>
    <n v="0.44"/>
    <n v="0.22389999999999999"/>
    <n v="0"/>
    <n v="2"/>
    <n v="2"/>
    <n v="-0.64378142061299781"/>
    <x v="0"/>
    <n v="-1.0728490967713524"/>
    <x v="0"/>
  </r>
  <r>
    <n v="486"/>
    <d v="2011-01-22T00:00:00"/>
    <n v="1"/>
    <x v="0"/>
    <x v="7"/>
    <x v="1"/>
    <b v="0"/>
    <x v="0"/>
    <n v="6"/>
    <x v="0"/>
    <x v="0"/>
    <n v="1"/>
    <x v="0"/>
    <n v="0.02"/>
    <n v="1.52E-2"/>
    <n v="0.44"/>
    <n v="0.28360000000000002"/>
    <n v="0"/>
    <n v="8"/>
    <n v="8"/>
    <n v="-0.64378142061299781"/>
    <x v="0"/>
    <n v="-0.94757235970601739"/>
    <x v="0"/>
  </r>
  <r>
    <n v="487"/>
    <d v="2011-01-22T00:00:00"/>
    <n v="1"/>
    <x v="0"/>
    <x v="8"/>
    <x v="2"/>
    <b v="0"/>
    <x v="0"/>
    <n v="6"/>
    <x v="0"/>
    <x v="0"/>
    <n v="1"/>
    <x v="0"/>
    <n v="0.02"/>
    <n v="0"/>
    <n v="0.44"/>
    <n v="0.32840000000000003"/>
    <n v="1"/>
    <n v="26"/>
    <n v="27"/>
    <n v="-0.51295812847461175"/>
    <x v="0"/>
    <n v="-0.57174214851001204"/>
    <x v="0"/>
  </r>
  <r>
    <n v="488"/>
    <d v="2011-01-22T00:00:00"/>
    <n v="1"/>
    <x v="0"/>
    <x v="9"/>
    <x v="2"/>
    <b v="0"/>
    <x v="0"/>
    <n v="6"/>
    <x v="0"/>
    <x v="0"/>
    <n v="1"/>
    <x v="0"/>
    <n v="0.04"/>
    <n v="3.0300000000000001E-2"/>
    <n v="0.41"/>
    <n v="0.25369999999999998"/>
    <n v="3"/>
    <n v="37"/>
    <n v="40"/>
    <n v="-0.25131154419783963"/>
    <x v="0"/>
    <n v="-0.34206813055689761"/>
    <x v="0"/>
  </r>
  <r>
    <n v="489"/>
    <d v="2011-01-22T00:00:00"/>
    <n v="1"/>
    <x v="0"/>
    <x v="10"/>
    <x v="2"/>
    <b v="0"/>
    <x v="0"/>
    <n v="6"/>
    <x v="0"/>
    <x v="0"/>
    <n v="2"/>
    <x v="1"/>
    <n v="0.04"/>
    <n v="6.0600000000000001E-2"/>
    <n v="0.41"/>
    <n v="0.16420000000000001"/>
    <n v="3"/>
    <n v="50"/>
    <n v="53"/>
    <n v="-0.25131154419783963"/>
    <x v="0"/>
    <n v="-7.0635200248671509E-2"/>
    <x v="0"/>
  </r>
  <r>
    <n v="490"/>
    <d v="2011-01-22T00:00:00"/>
    <n v="1"/>
    <x v="0"/>
    <x v="11"/>
    <x v="2"/>
    <b v="0"/>
    <x v="0"/>
    <n v="6"/>
    <x v="0"/>
    <x v="0"/>
    <n v="2"/>
    <x v="1"/>
    <n v="0.06"/>
    <n v="7.5800000000000006E-2"/>
    <n v="0.38"/>
    <n v="0.1343"/>
    <n v="4"/>
    <n v="59"/>
    <n v="63"/>
    <n v="-0.1204882520594536"/>
    <x v="0"/>
    <n v="0.11727990534933118"/>
    <x v="0"/>
  </r>
  <r>
    <n v="491"/>
    <d v="2011-01-22T00:00:00"/>
    <n v="1"/>
    <x v="0"/>
    <x v="12"/>
    <x v="3"/>
    <b v="0"/>
    <x v="0"/>
    <n v="6"/>
    <x v="0"/>
    <x v="0"/>
    <n v="2"/>
    <x v="1"/>
    <n v="0.06"/>
    <n v="0.1061"/>
    <n v="0.38"/>
    <n v="0.1045"/>
    <n v="10"/>
    <n v="60"/>
    <n v="70"/>
    <n v="0.66445150077086279"/>
    <x v="0"/>
    <n v="0.13815936152688704"/>
    <x v="0"/>
  </r>
  <r>
    <n v="492"/>
    <d v="2011-01-22T00:00:00"/>
    <n v="1"/>
    <x v="0"/>
    <x v="13"/>
    <x v="3"/>
    <b v="0"/>
    <x v="0"/>
    <n v="6"/>
    <x v="0"/>
    <x v="0"/>
    <n v="1"/>
    <x v="0"/>
    <n v="0.08"/>
    <n v="0.16669999999999999"/>
    <n v="0.35"/>
    <n v="0"/>
    <n v="12"/>
    <n v="72"/>
    <n v="84"/>
    <n v="0.92609808504763491"/>
    <x v="0"/>
    <n v="0.38871283565755727"/>
    <x v="0"/>
  </r>
  <r>
    <n v="493"/>
    <d v="2011-01-22T00:00:00"/>
    <n v="1"/>
    <x v="0"/>
    <x v="14"/>
    <x v="3"/>
    <b v="0"/>
    <x v="0"/>
    <n v="6"/>
    <x v="0"/>
    <x v="0"/>
    <n v="1"/>
    <x v="0"/>
    <n v="0.1"/>
    <n v="0.13639999999999999"/>
    <n v="0.33"/>
    <n v="0.1045"/>
    <n v="11"/>
    <n v="64"/>
    <n v="75"/>
    <n v="0.79527479290924885"/>
    <x v="0"/>
    <n v="0.22167718623711044"/>
    <x v="0"/>
  </r>
  <r>
    <n v="494"/>
    <d v="2011-01-22T00:00:00"/>
    <n v="1"/>
    <x v="0"/>
    <x v="15"/>
    <x v="3"/>
    <b v="0"/>
    <x v="0"/>
    <n v="6"/>
    <x v="0"/>
    <x v="0"/>
    <n v="1"/>
    <x v="0"/>
    <n v="0.12"/>
    <n v="0.1515"/>
    <n v="0.28000000000000003"/>
    <n v="0"/>
    <n v="10"/>
    <n v="93"/>
    <n v="103"/>
    <n v="0.66445150077086279"/>
    <x v="0"/>
    <n v="0.82718141538623025"/>
    <x v="0"/>
  </r>
  <r>
    <n v="495"/>
    <d v="2011-01-22T00:00:00"/>
    <n v="1"/>
    <x v="0"/>
    <x v="16"/>
    <x v="3"/>
    <b v="0"/>
    <x v="0"/>
    <n v="6"/>
    <x v="0"/>
    <x v="0"/>
    <n v="1"/>
    <x v="0"/>
    <n v="0.12"/>
    <n v="0.13639999999999999"/>
    <n v="0.28000000000000003"/>
    <n v="0.19400000000000001"/>
    <n v="11"/>
    <n v="72"/>
    <n v="83"/>
    <n v="0.79527479290924885"/>
    <x v="0"/>
    <n v="0.38871283565755727"/>
    <x v="0"/>
  </r>
  <r>
    <n v="496"/>
    <d v="2011-01-22T00:00:00"/>
    <n v="1"/>
    <x v="0"/>
    <x v="17"/>
    <x v="4"/>
    <b v="0"/>
    <x v="0"/>
    <n v="6"/>
    <x v="0"/>
    <x v="0"/>
    <n v="1"/>
    <x v="0"/>
    <n v="0.12"/>
    <n v="0.19700000000000001"/>
    <n v="0.28000000000000003"/>
    <n v="0"/>
    <n v="8"/>
    <n v="59"/>
    <n v="67"/>
    <n v="0.40280491649409061"/>
    <x v="0"/>
    <n v="0.11727990534933118"/>
    <x v="0"/>
  </r>
  <r>
    <n v="497"/>
    <d v="2011-01-22T00:00:00"/>
    <n v="1"/>
    <x v="0"/>
    <x v="18"/>
    <x v="4"/>
    <b v="0"/>
    <x v="0"/>
    <n v="6"/>
    <x v="0"/>
    <x v="0"/>
    <n v="1"/>
    <x v="0"/>
    <n v="0.08"/>
    <n v="9.0899999999999995E-2"/>
    <n v="0.35"/>
    <n v="0.19400000000000001"/>
    <n v="0"/>
    <n v="54"/>
    <n v="54"/>
    <n v="-0.64378142061299781"/>
    <x v="0"/>
    <n v="1.2882624461551907E-2"/>
    <x v="0"/>
  </r>
  <r>
    <n v="498"/>
    <d v="2011-01-22T00:00:00"/>
    <n v="1"/>
    <x v="0"/>
    <x v="19"/>
    <x v="4"/>
    <b v="0"/>
    <x v="0"/>
    <n v="6"/>
    <x v="0"/>
    <x v="0"/>
    <n v="1"/>
    <x v="0"/>
    <n v="0.08"/>
    <n v="0.1061"/>
    <n v="0.35"/>
    <n v="0.1343"/>
    <n v="6"/>
    <n v="53"/>
    <n v="59"/>
    <n v="0.14115833221731852"/>
    <x v="0"/>
    <n v="-7.9968317160039482E-3"/>
    <x v="0"/>
  </r>
  <r>
    <n v="499"/>
    <d v="2011-01-22T00:00:00"/>
    <n v="1"/>
    <x v="0"/>
    <x v="20"/>
    <x v="4"/>
    <b v="0"/>
    <x v="0"/>
    <n v="6"/>
    <x v="0"/>
    <x v="0"/>
    <n v="1"/>
    <x v="0"/>
    <n v="0.06"/>
    <n v="7.5800000000000006E-2"/>
    <n v="0.45"/>
    <n v="0.16420000000000001"/>
    <n v="1"/>
    <n v="44"/>
    <n v="45"/>
    <n v="-0.51295812847461175"/>
    <x v="0"/>
    <n v="-0.19591193731400663"/>
    <x v="0"/>
  </r>
  <r>
    <n v="500"/>
    <d v="2011-01-22T00:00:00"/>
    <n v="1"/>
    <x v="0"/>
    <x v="21"/>
    <x v="0"/>
    <b v="0"/>
    <x v="0"/>
    <n v="6"/>
    <x v="0"/>
    <x v="0"/>
    <n v="1"/>
    <x v="0"/>
    <n v="0.06"/>
    <n v="0.1061"/>
    <n v="0.41"/>
    <n v="8.9599999999999999E-2"/>
    <n v="0"/>
    <n v="39"/>
    <n v="39"/>
    <n v="-0.64378142061299781"/>
    <x v="0"/>
    <n v="-0.30030921820178591"/>
    <x v="0"/>
  </r>
  <r>
    <n v="501"/>
    <d v="2011-01-22T00:00:00"/>
    <n v="1"/>
    <x v="0"/>
    <x v="22"/>
    <x v="0"/>
    <b v="0"/>
    <x v="0"/>
    <n v="6"/>
    <x v="0"/>
    <x v="0"/>
    <n v="1"/>
    <x v="0"/>
    <n v="0.06"/>
    <n v="0.1515"/>
    <n v="0.49"/>
    <n v="0"/>
    <n v="7"/>
    <n v="23"/>
    <n v="30"/>
    <n v="0.27198162435570455"/>
    <x v="0"/>
    <n v="-0.63438051704267961"/>
    <x v="0"/>
  </r>
  <r>
    <n v="502"/>
    <d v="2011-01-22T00:00:00"/>
    <n v="1"/>
    <x v="0"/>
    <x v="23"/>
    <x v="0"/>
    <b v="0"/>
    <x v="0"/>
    <n v="6"/>
    <x v="0"/>
    <x v="0"/>
    <n v="1"/>
    <x v="0"/>
    <n v="0.04"/>
    <n v="7.5800000000000006E-2"/>
    <n v="0.56999999999999995"/>
    <n v="0.1045"/>
    <n v="2"/>
    <n v="31"/>
    <n v="33"/>
    <n v="-0.38213483633622569"/>
    <x v="0"/>
    <n v="-0.46734486762223271"/>
    <x v="0"/>
  </r>
  <r>
    <n v="503"/>
    <d v="2011-01-23T00:00:00"/>
    <n v="1"/>
    <x v="0"/>
    <x v="0"/>
    <x v="0"/>
    <b v="0"/>
    <x v="0"/>
    <n v="0"/>
    <x v="1"/>
    <x v="0"/>
    <n v="1"/>
    <x v="0"/>
    <n v="0.04"/>
    <n v="7.5800000000000006E-2"/>
    <n v="0.56999999999999995"/>
    <n v="0.1045"/>
    <n v="2"/>
    <n v="20"/>
    <n v="22"/>
    <n v="-0.38213483633622569"/>
    <x v="0"/>
    <n v="-0.69701888557534708"/>
    <x v="0"/>
  </r>
  <r>
    <n v="504"/>
    <d v="2011-01-23T00:00:00"/>
    <n v="1"/>
    <x v="0"/>
    <x v="1"/>
    <x v="0"/>
    <b v="0"/>
    <x v="0"/>
    <n v="0"/>
    <x v="1"/>
    <x v="0"/>
    <n v="1"/>
    <x v="0"/>
    <n v="0.04"/>
    <n v="7.5800000000000006E-2"/>
    <n v="0.56999999999999995"/>
    <n v="0.1045"/>
    <n v="1"/>
    <n v="12"/>
    <n v="13"/>
    <n v="-0.51295812847461175"/>
    <x v="0"/>
    <n v="-0.86405453499579399"/>
    <x v="0"/>
  </r>
  <r>
    <n v="505"/>
    <d v="2011-01-23T00:00:00"/>
    <n v="1"/>
    <x v="0"/>
    <x v="2"/>
    <x v="0"/>
    <b v="0"/>
    <x v="0"/>
    <n v="0"/>
    <x v="1"/>
    <x v="0"/>
    <n v="1"/>
    <x v="0"/>
    <n v="0.02"/>
    <n v="6.0600000000000001E-2"/>
    <n v="0.62"/>
    <n v="0.1343"/>
    <n v="3"/>
    <n v="15"/>
    <n v="18"/>
    <n v="-0.25131154419783963"/>
    <x v="0"/>
    <n v="-0.80141616646312641"/>
    <x v="0"/>
  </r>
  <r>
    <n v="506"/>
    <d v="2011-01-23T00:00:00"/>
    <n v="1"/>
    <x v="0"/>
    <x v="3"/>
    <x v="0"/>
    <b v="0"/>
    <x v="0"/>
    <n v="0"/>
    <x v="1"/>
    <x v="0"/>
    <n v="1"/>
    <x v="0"/>
    <n v="0.02"/>
    <n v="6.0600000000000001E-2"/>
    <n v="0.62"/>
    <n v="0.1343"/>
    <n v="1"/>
    <n v="4"/>
    <n v="5"/>
    <n v="-0.51295812847461175"/>
    <x v="0"/>
    <n v="-1.0310901844162408"/>
    <x v="0"/>
  </r>
  <r>
    <n v="507"/>
    <d v="2011-01-23T00:00:00"/>
    <n v="1"/>
    <x v="0"/>
    <x v="5"/>
    <x v="1"/>
    <b v="0"/>
    <x v="0"/>
    <n v="0"/>
    <x v="1"/>
    <x v="0"/>
    <n v="2"/>
    <x v="1"/>
    <n v="0.04"/>
    <n v="7.5800000000000006E-2"/>
    <n v="0.56999999999999995"/>
    <n v="0.1045"/>
    <n v="0"/>
    <n v="3"/>
    <n v="3"/>
    <n v="-0.64378142061299781"/>
    <x v="0"/>
    <n v="-1.0519696405937966"/>
    <x v="0"/>
  </r>
  <r>
    <n v="508"/>
    <d v="2011-01-23T00:00:00"/>
    <n v="1"/>
    <x v="0"/>
    <x v="6"/>
    <x v="1"/>
    <b v="0"/>
    <x v="0"/>
    <n v="0"/>
    <x v="1"/>
    <x v="0"/>
    <n v="2"/>
    <x v="1"/>
    <n v="0.04"/>
    <n v="7.5800000000000006E-2"/>
    <n v="0.56999999999999995"/>
    <n v="0.1045"/>
    <n v="0"/>
    <n v="1"/>
    <n v="1"/>
    <n v="-0.64378142061299781"/>
    <x v="0"/>
    <n v="-1.0937285529489083"/>
    <x v="0"/>
  </r>
  <r>
    <n v="509"/>
    <d v="2011-01-23T00:00:00"/>
    <n v="1"/>
    <x v="0"/>
    <x v="7"/>
    <x v="1"/>
    <b v="0"/>
    <x v="0"/>
    <n v="0"/>
    <x v="1"/>
    <x v="0"/>
    <n v="1"/>
    <x v="0"/>
    <n v="0.08"/>
    <n v="0.1061"/>
    <n v="0.57999999999999996"/>
    <n v="0.16420000000000001"/>
    <n v="1"/>
    <n v="1"/>
    <n v="2"/>
    <n v="-0.51295812847461175"/>
    <x v="0"/>
    <n v="-1.0937285529489083"/>
    <x v="0"/>
  </r>
  <r>
    <n v="510"/>
    <d v="2011-01-23T00:00:00"/>
    <n v="1"/>
    <x v="0"/>
    <x v="8"/>
    <x v="2"/>
    <b v="0"/>
    <x v="0"/>
    <n v="0"/>
    <x v="1"/>
    <x v="0"/>
    <n v="1"/>
    <x v="0"/>
    <n v="0.06"/>
    <n v="7.5800000000000006E-2"/>
    <n v="0.62"/>
    <n v="0.16420000000000001"/>
    <n v="2"/>
    <n v="17"/>
    <n v="19"/>
    <n v="-0.38213483633622569"/>
    <x v="0"/>
    <n v="-0.75965725410801466"/>
    <x v="0"/>
  </r>
  <r>
    <n v="511"/>
    <d v="2011-01-23T00:00:00"/>
    <n v="1"/>
    <x v="0"/>
    <x v="9"/>
    <x v="2"/>
    <b v="0"/>
    <x v="0"/>
    <n v="0"/>
    <x v="1"/>
    <x v="0"/>
    <n v="1"/>
    <x v="0"/>
    <n v="0.1"/>
    <n v="7.5800000000000006E-2"/>
    <n v="0.54"/>
    <n v="0.35820000000000002"/>
    <n v="3"/>
    <n v="25"/>
    <n v="28"/>
    <n v="-0.25131154419783963"/>
    <x v="0"/>
    <n v="-0.59262160468756786"/>
    <x v="0"/>
  </r>
  <r>
    <n v="512"/>
    <d v="2011-01-23T00:00:00"/>
    <n v="1"/>
    <x v="0"/>
    <x v="10"/>
    <x v="2"/>
    <b v="0"/>
    <x v="0"/>
    <n v="0"/>
    <x v="1"/>
    <x v="0"/>
    <n v="1"/>
    <x v="0"/>
    <n v="0.14000000000000001"/>
    <n v="0.1061"/>
    <n v="0.46"/>
    <n v="0.3881"/>
    <n v="7"/>
    <n v="51"/>
    <n v="58"/>
    <n v="0.27198162435570455"/>
    <x v="0"/>
    <n v="-4.9755744071115653E-2"/>
    <x v="0"/>
  </r>
  <r>
    <n v="513"/>
    <d v="2011-01-23T00:00:00"/>
    <n v="1"/>
    <x v="0"/>
    <x v="11"/>
    <x v="2"/>
    <b v="0"/>
    <x v="0"/>
    <n v="0"/>
    <x v="1"/>
    <x v="0"/>
    <n v="1"/>
    <x v="0"/>
    <n v="0.14000000000000001"/>
    <n v="0.13639999999999999"/>
    <n v="0.43"/>
    <n v="0.22389999999999999"/>
    <n v="22"/>
    <n v="77"/>
    <n v="99"/>
    <n v="2.2343310064314954"/>
    <x v="1"/>
    <n v="0.49311011654533654"/>
    <x v="0"/>
  </r>
  <r>
    <n v="514"/>
    <d v="2011-01-23T00:00:00"/>
    <n v="1"/>
    <x v="0"/>
    <x v="12"/>
    <x v="3"/>
    <b v="0"/>
    <x v="0"/>
    <n v="0"/>
    <x v="1"/>
    <x v="0"/>
    <n v="1"/>
    <x v="0"/>
    <n v="0.16"/>
    <n v="0.1212"/>
    <n v="0.37"/>
    <n v="0.4627"/>
    <n v="24"/>
    <n v="92"/>
    <n v="116"/>
    <n v="2.4959775907082675"/>
    <x v="1"/>
    <n v="0.80630195920867431"/>
    <x v="0"/>
  </r>
  <r>
    <n v="515"/>
    <d v="2011-01-23T00:00:00"/>
    <n v="1"/>
    <x v="0"/>
    <x v="13"/>
    <x v="3"/>
    <b v="0"/>
    <x v="0"/>
    <n v="0"/>
    <x v="1"/>
    <x v="0"/>
    <n v="1"/>
    <x v="0"/>
    <n v="0.14000000000000001"/>
    <n v="0.1061"/>
    <n v="0.33"/>
    <n v="0.3881"/>
    <n v="12"/>
    <n v="75"/>
    <n v="87"/>
    <n v="0.92609808504763491"/>
    <x v="0"/>
    <n v="0.45135120419022484"/>
    <x v="0"/>
  </r>
  <r>
    <n v="516"/>
    <d v="2011-01-23T00:00:00"/>
    <n v="1"/>
    <x v="0"/>
    <x v="14"/>
    <x v="3"/>
    <b v="0"/>
    <x v="0"/>
    <n v="0"/>
    <x v="1"/>
    <x v="0"/>
    <n v="1"/>
    <x v="0"/>
    <n v="0.16"/>
    <n v="0.13639999999999999"/>
    <n v="0.28000000000000003"/>
    <n v="0.35820000000000002"/>
    <n v="17"/>
    <n v="93"/>
    <n v="110"/>
    <n v="1.5802145457395653"/>
    <x v="0"/>
    <n v="0.82718141538623025"/>
    <x v="0"/>
  </r>
  <r>
    <n v="517"/>
    <d v="2011-01-23T00:00:00"/>
    <n v="1"/>
    <x v="0"/>
    <x v="15"/>
    <x v="3"/>
    <b v="0"/>
    <x v="0"/>
    <n v="0"/>
    <x v="1"/>
    <x v="0"/>
    <n v="1"/>
    <x v="0"/>
    <n v="0.16"/>
    <n v="0.13639999999999999"/>
    <n v="0.28000000000000003"/>
    <n v="0.35820000000000002"/>
    <n v="13"/>
    <n v="64"/>
    <n v="77"/>
    <n v="1.0569213771860211"/>
    <x v="0"/>
    <n v="0.22167718623711044"/>
    <x v="0"/>
  </r>
  <r>
    <n v="518"/>
    <d v="2011-01-23T00:00:00"/>
    <n v="1"/>
    <x v="0"/>
    <x v="16"/>
    <x v="3"/>
    <b v="0"/>
    <x v="0"/>
    <n v="0"/>
    <x v="1"/>
    <x v="0"/>
    <n v="1"/>
    <x v="0"/>
    <n v="0.16"/>
    <n v="0.13639999999999999"/>
    <n v="0.26"/>
    <n v="0.32840000000000003"/>
    <n v="9"/>
    <n v="56"/>
    <n v="65"/>
    <n v="0.53362820863247673"/>
    <x v="0"/>
    <n v="5.4641536816663616E-2"/>
    <x v="0"/>
  </r>
  <r>
    <n v="519"/>
    <d v="2011-01-23T00:00:00"/>
    <n v="1"/>
    <x v="0"/>
    <x v="17"/>
    <x v="4"/>
    <b v="0"/>
    <x v="0"/>
    <n v="0"/>
    <x v="1"/>
    <x v="0"/>
    <n v="1"/>
    <x v="0"/>
    <n v="0.14000000000000001"/>
    <n v="0.1061"/>
    <n v="0.26"/>
    <n v="0.3881"/>
    <n v="5"/>
    <n v="50"/>
    <n v="55"/>
    <n v="1.0335040078932463E-2"/>
    <x v="0"/>
    <n v="-7.0635200248671509E-2"/>
    <x v="0"/>
  </r>
  <r>
    <n v="520"/>
    <d v="2011-01-23T00:00:00"/>
    <n v="1"/>
    <x v="0"/>
    <x v="18"/>
    <x v="4"/>
    <b v="0"/>
    <x v="0"/>
    <n v="0"/>
    <x v="1"/>
    <x v="0"/>
    <n v="1"/>
    <x v="0"/>
    <n v="0.12"/>
    <n v="0.1212"/>
    <n v="0.3"/>
    <n v="0.25369999999999998"/>
    <n v="5"/>
    <n v="44"/>
    <n v="49"/>
    <n v="1.0335040078932463E-2"/>
    <x v="0"/>
    <n v="-0.19591193731400663"/>
    <x v="0"/>
  </r>
  <r>
    <n v="521"/>
    <d v="2011-01-23T00:00:00"/>
    <n v="1"/>
    <x v="0"/>
    <x v="19"/>
    <x v="4"/>
    <b v="0"/>
    <x v="0"/>
    <n v="0"/>
    <x v="1"/>
    <x v="0"/>
    <n v="1"/>
    <x v="0"/>
    <n v="0.12"/>
    <n v="0.1212"/>
    <n v="0.3"/>
    <n v="0.28360000000000002"/>
    <n v="5"/>
    <n v="45"/>
    <n v="50"/>
    <n v="1.0335040078932463E-2"/>
    <x v="0"/>
    <n v="-0.17503248113645078"/>
    <x v="0"/>
  </r>
  <r>
    <n v="522"/>
    <d v="2011-01-23T00:00:00"/>
    <n v="1"/>
    <x v="0"/>
    <x v="20"/>
    <x v="4"/>
    <b v="0"/>
    <x v="0"/>
    <n v="0"/>
    <x v="1"/>
    <x v="0"/>
    <n v="1"/>
    <x v="0"/>
    <n v="0.1"/>
    <n v="0.1061"/>
    <n v="0.36"/>
    <n v="0.25369999999999998"/>
    <n v="4"/>
    <n v="31"/>
    <n v="35"/>
    <n v="-0.1204882520594536"/>
    <x v="0"/>
    <n v="-0.46734486762223271"/>
    <x v="0"/>
  </r>
  <r>
    <n v="523"/>
    <d v="2011-01-23T00:00:00"/>
    <n v="1"/>
    <x v="0"/>
    <x v="21"/>
    <x v="0"/>
    <b v="0"/>
    <x v="0"/>
    <n v="0"/>
    <x v="1"/>
    <x v="0"/>
    <n v="1"/>
    <x v="0"/>
    <n v="0.1"/>
    <n v="0.1061"/>
    <n v="0.36"/>
    <n v="0.19400000000000001"/>
    <n v="5"/>
    <n v="20"/>
    <n v="25"/>
    <n v="1.0335040078932463E-2"/>
    <x v="0"/>
    <n v="-0.69701888557534708"/>
    <x v="0"/>
  </r>
  <r>
    <n v="524"/>
    <d v="2011-01-23T00:00:00"/>
    <n v="1"/>
    <x v="0"/>
    <x v="22"/>
    <x v="0"/>
    <b v="0"/>
    <x v="0"/>
    <n v="0"/>
    <x v="1"/>
    <x v="0"/>
    <n v="1"/>
    <x v="0"/>
    <n v="0.08"/>
    <n v="9.0899999999999995E-2"/>
    <n v="0.38"/>
    <n v="0.19400000000000001"/>
    <n v="5"/>
    <n v="23"/>
    <n v="28"/>
    <n v="1.0335040078932463E-2"/>
    <x v="0"/>
    <n v="-0.63438051704267961"/>
    <x v="0"/>
  </r>
  <r>
    <n v="525"/>
    <d v="2011-01-23T00:00:00"/>
    <n v="1"/>
    <x v="0"/>
    <x v="23"/>
    <x v="0"/>
    <b v="0"/>
    <x v="0"/>
    <n v="0"/>
    <x v="1"/>
    <x v="0"/>
    <n v="1"/>
    <x v="0"/>
    <n v="0.06"/>
    <n v="6.0600000000000001E-2"/>
    <n v="0.41"/>
    <n v="0.22389999999999999"/>
    <n v="4"/>
    <n v="17"/>
    <n v="21"/>
    <n v="-0.1204882520594536"/>
    <x v="0"/>
    <n v="-0.75965725410801466"/>
    <x v="0"/>
  </r>
  <r>
    <n v="526"/>
    <d v="2011-01-24T00:00:00"/>
    <n v="1"/>
    <x v="0"/>
    <x v="0"/>
    <x v="0"/>
    <b v="0"/>
    <x v="0"/>
    <n v="1"/>
    <x v="2"/>
    <x v="1"/>
    <n v="1"/>
    <x v="0"/>
    <n v="0.06"/>
    <n v="6.0600000000000001E-2"/>
    <n v="0.41"/>
    <n v="0.19400000000000001"/>
    <n v="0"/>
    <n v="7"/>
    <n v="7"/>
    <n v="-0.64378142061299781"/>
    <x v="0"/>
    <n v="-0.96845181588357321"/>
    <x v="0"/>
  </r>
  <r>
    <n v="527"/>
    <d v="2011-01-24T00:00:00"/>
    <n v="1"/>
    <x v="0"/>
    <x v="1"/>
    <x v="0"/>
    <b v="0"/>
    <x v="0"/>
    <n v="1"/>
    <x v="2"/>
    <x v="1"/>
    <n v="1"/>
    <x v="0"/>
    <n v="0.04"/>
    <n v="4.5499999999999999E-2"/>
    <n v="0.45"/>
    <n v="0.19400000000000001"/>
    <n v="0"/>
    <n v="1"/>
    <n v="1"/>
    <n v="-0.64378142061299781"/>
    <x v="0"/>
    <n v="-1.0937285529489083"/>
    <x v="0"/>
  </r>
  <r>
    <n v="528"/>
    <d v="2011-01-24T00:00:00"/>
    <n v="1"/>
    <x v="0"/>
    <x v="3"/>
    <x v="0"/>
    <b v="0"/>
    <x v="0"/>
    <n v="1"/>
    <x v="2"/>
    <x v="1"/>
    <n v="1"/>
    <x v="0"/>
    <n v="0.04"/>
    <n v="3.0300000000000001E-2"/>
    <n v="0.45"/>
    <n v="0.25369999999999998"/>
    <n v="0"/>
    <n v="1"/>
    <n v="1"/>
    <n v="-0.64378142061299781"/>
    <x v="0"/>
    <n v="-1.0937285529489083"/>
    <x v="0"/>
  </r>
  <r>
    <n v="529"/>
    <d v="2011-01-24T00:00:00"/>
    <n v="1"/>
    <x v="0"/>
    <x v="4"/>
    <x v="0"/>
    <b v="0"/>
    <x v="0"/>
    <n v="1"/>
    <x v="2"/>
    <x v="1"/>
    <n v="1"/>
    <x v="0"/>
    <n v="0.02"/>
    <n v="6.0600000000000001E-2"/>
    <n v="0.48"/>
    <n v="0.1343"/>
    <n v="0"/>
    <n v="1"/>
    <n v="1"/>
    <n v="-0.64378142061299781"/>
    <x v="0"/>
    <n v="-1.0937285529489083"/>
    <x v="0"/>
  </r>
  <r>
    <n v="530"/>
    <d v="2011-01-24T00:00:00"/>
    <n v="1"/>
    <x v="0"/>
    <x v="5"/>
    <x v="1"/>
    <b v="0"/>
    <x v="0"/>
    <n v="1"/>
    <x v="2"/>
    <x v="1"/>
    <n v="1"/>
    <x v="0"/>
    <n v="0.02"/>
    <n v="6.0600000000000001E-2"/>
    <n v="0.48"/>
    <n v="0.1343"/>
    <n v="0"/>
    <n v="5"/>
    <n v="5"/>
    <n v="-0.64378142061299781"/>
    <x v="0"/>
    <n v="-1.010210728238685"/>
    <x v="0"/>
  </r>
  <r>
    <n v="531"/>
    <d v="2011-01-24T00:00:00"/>
    <n v="1"/>
    <x v="0"/>
    <x v="6"/>
    <x v="1"/>
    <b v="0"/>
    <x v="0"/>
    <n v="1"/>
    <x v="2"/>
    <x v="1"/>
    <n v="1"/>
    <x v="0"/>
    <n v="0.02"/>
    <n v="7.5800000000000006E-2"/>
    <n v="0.48"/>
    <n v="8.9599999999999999E-2"/>
    <n v="0"/>
    <n v="15"/>
    <n v="15"/>
    <n v="-0.64378142061299781"/>
    <x v="0"/>
    <n v="-0.80141616646312641"/>
    <x v="0"/>
  </r>
  <r>
    <n v="532"/>
    <d v="2011-01-24T00:00:00"/>
    <n v="1"/>
    <x v="0"/>
    <x v="7"/>
    <x v="1"/>
    <b v="0"/>
    <x v="0"/>
    <n v="1"/>
    <x v="2"/>
    <x v="1"/>
    <n v="1"/>
    <x v="0"/>
    <n v="0.02"/>
    <n v="0.1212"/>
    <n v="0.48"/>
    <n v="0"/>
    <n v="5"/>
    <n v="79"/>
    <n v="84"/>
    <n v="1.0335040078932463E-2"/>
    <x v="0"/>
    <n v="0.5348690289004483"/>
    <x v="0"/>
  </r>
  <r>
    <n v="533"/>
    <d v="2011-01-24T00:00:00"/>
    <n v="1"/>
    <x v="0"/>
    <x v="8"/>
    <x v="2"/>
    <b v="0"/>
    <x v="0"/>
    <n v="1"/>
    <x v="2"/>
    <x v="1"/>
    <n v="1"/>
    <x v="0"/>
    <n v="0.04"/>
    <n v="0.13639999999999999"/>
    <n v="0.49"/>
    <n v="0"/>
    <n v="6"/>
    <n v="171"/>
    <n v="177"/>
    <n v="0.14115833221731852"/>
    <x v="0"/>
    <n v="2.4557789972355866"/>
    <x v="1"/>
  </r>
  <r>
    <n v="534"/>
    <d v="2011-01-24T00:00:00"/>
    <n v="1"/>
    <x v="0"/>
    <x v="9"/>
    <x v="2"/>
    <b v="0"/>
    <x v="0"/>
    <n v="1"/>
    <x v="2"/>
    <x v="1"/>
    <n v="1"/>
    <x v="0"/>
    <n v="0.06"/>
    <n v="0.1515"/>
    <n v="0.41"/>
    <n v="0"/>
    <n v="4"/>
    <n v="98"/>
    <n v="102"/>
    <n v="-0.1204882520594536"/>
    <x v="0"/>
    <n v="0.93157869627400947"/>
    <x v="0"/>
  </r>
  <r>
    <n v="535"/>
    <d v="2011-01-24T00:00:00"/>
    <n v="1"/>
    <x v="0"/>
    <x v="10"/>
    <x v="2"/>
    <b v="0"/>
    <x v="0"/>
    <n v="1"/>
    <x v="2"/>
    <x v="1"/>
    <n v="1"/>
    <x v="0"/>
    <n v="0.1"/>
    <n v="0.13639999999999999"/>
    <n v="0.42"/>
    <n v="0"/>
    <n v="6"/>
    <n v="34"/>
    <n v="40"/>
    <n v="0.14115833221731852"/>
    <x v="0"/>
    <n v="-0.40470649908956519"/>
    <x v="0"/>
  </r>
  <r>
    <n v="536"/>
    <d v="2011-01-24T00:00:00"/>
    <n v="1"/>
    <x v="0"/>
    <x v="11"/>
    <x v="2"/>
    <b v="0"/>
    <x v="0"/>
    <n v="1"/>
    <x v="2"/>
    <x v="1"/>
    <n v="1"/>
    <x v="0"/>
    <n v="0.1"/>
    <n v="0.1212"/>
    <n v="0.46"/>
    <n v="0.1343"/>
    <n v="3"/>
    <n v="43"/>
    <n v="46"/>
    <n v="-0.25131154419783963"/>
    <x v="0"/>
    <n v="-0.21679139349156248"/>
    <x v="0"/>
  </r>
  <r>
    <n v="537"/>
    <d v="2011-01-24T00:00:00"/>
    <n v="1"/>
    <x v="0"/>
    <x v="12"/>
    <x v="3"/>
    <b v="0"/>
    <x v="0"/>
    <n v="1"/>
    <x v="2"/>
    <x v="1"/>
    <n v="2"/>
    <x v="1"/>
    <n v="0.12"/>
    <n v="0.13639999999999999"/>
    <n v="0.42"/>
    <n v="0.19400000000000001"/>
    <n v="11"/>
    <n v="52"/>
    <n v="63"/>
    <n v="0.79527479290924885"/>
    <x v="0"/>
    <n v="-2.8876287893559803E-2"/>
    <x v="0"/>
  </r>
  <r>
    <n v="538"/>
    <d v="2011-01-24T00:00:00"/>
    <n v="1"/>
    <x v="0"/>
    <x v="13"/>
    <x v="3"/>
    <b v="0"/>
    <x v="0"/>
    <n v="1"/>
    <x v="2"/>
    <x v="1"/>
    <n v="2"/>
    <x v="1"/>
    <n v="0.14000000000000001"/>
    <n v="0.13639999999999999"/>
    <n v="0.43"/>
    <n v="0.22389999999999999"/>
    <n v="6"/>
    <n v="54"/>
    <n v="60"/>
    <n v="0.14115833221731852"/>
    <x v="0"/>
    <n v="1.2882624461551907E-2"/>
    <x v="0"/>
  </r>
  <r>
    <n v="539"/>
    <d v="2011-01-24T00:00:00"/>
    <n v="1"/>
    <x v="0"/>
    <x v="14"/>
    <x v="3"/>
    <b v="0"/>
    <x v="0"/>
    <n v="1"/>
    <x v="2"/>
    <x v="1"/>
    <n v="2"/>
    <x v="1"/>
    <n v="0.14000000000000001"/>
    <n v="0.13639999999999999"/>
    <n v="0.46"/>
    <n v="0.22389999999999999"/>
    <n v="2"/>
    <n v="43"/>
    <n v="45"/>
    <n v="-0.38213483633622569"/>
    <x v="0"/>
    <n v="-0.21679139349156248"/>
    <x v="0"/>
  </r>
  <r>
    <n v="540"/>
    <d v="2011-01-24T00:00:00"/>
    <n v="1"/>
    <x v="0"/>
    <x v="15"/>
    <x v="3"/>
    <b v="0"/>
    <x v="0"/>
    <n v="1"/>
    <x v="2"/>
    <x v="1"/>
    <n v="1"/>
    <x v="0"/>
    <n v="0.16"/>
    <n v="0.16669999999999999"/>
    <n v="0.4"/>
    <n v="0.16420000000000001"/>
    <n v="7"/>
    <n v="50"/>
    <n v="57"/>
    <n v="0.27198162435570455"/>
    <x v="0"/>
    <n v="-7.0635200248671509E-2"/>
    <x v="0"/>
  </r>
  <r>
    <n v="541"/>
    <d v="2011-01-24T00:00:00"/>
    <n v="1"/>
    <x v="0"/>
    <x v="16"/>
    <x v="3"/>
    <b v="0"/>
    <x v="0"/>
    <n v="1"/>
    <x v="2"/>
    <x v="1"/>
    <n v="1"/>
    <x v="0"/>
    <n v="0.16"/>
    <n v="0.1515"/>
    <n v="0.47"/>
    <n v="0.25369999999999998"/>
    <n v="4"/>
    <n v="66"/>
    <n v="70"/>
    <n v="-0.1204882520594536"/>
    <x v="0"/>
    <n v="0.26343609859222217"/>
    <x v="0"/>
  </r>
  <r>
    <n v="542"/>
    <d v="2011-01-24T00:00:00"/>
    <n v="1"/>
    <x v="0"/>
    <x v="17"/>
    <x v="4"/>
    <b v="0"/>
    <x v="0"/>
    <n v="1"/>
    <x v="2"/>
    <x v="1"/>
    <n v="1"/>
    <x v="0"/>
    <n v="0.14000000000000001"/>
    <n v="0.1212"/>
    <n v="0.5"/>
    <n v="0.25369999999999998"/>
    <n v="6"/>
    <n v="178"/>
    <n v="184"/>
    <n v="0.14115833221731852"/>
    <x v="0"/>
    <n v="2.6019351904784775"/>
    <x v="1"/>
  </r>
  <r>
    <n v="543"/>
    <d v="2011-01-24T00:00:00"/>
    <n v="1"/>
    <x v="0"/>
    <x v="18"/>
    <x v="4"/>
    <b v="0"/>
    <x v="0"/>
    <n v="1"/>
    <x v="2"/>
    <x v="1"/>
    <n v="1"/>
    <x v="0"/>
    <n v="0.14000000000000001"/>
    <n v="0.13639999999999999"/>
    <n v="0.59"/>
    <n v="0.19400000000000001"/>
    <n v="8"/>
    <n v="145"/>
    <n v="153"/>
    <n v="0.40280491649409061"/>
    <x v="0"/>
    <n v="1.9129131366191345"/>
    <x v="0"/>
  </r>
  <r>
    <n v="544"/>
    <d v="2011-01-24T00:00:00"/>
    <n v="1"/>
    <x v="0"/>
    <x v="19"/>
    <x v="4"/>
    <b v="0"/>
    <x v="0"/>
    <n v="1"/>
    <x v="2"/>
    <x v="1"/>
    <n v="1"/>
    <x v="0"/>
    <n v="0.14000000000000001"/>
    <n v="0.1515"/>
    <n v="0.54"/>
    <n v="0.16420000000000001"/>
    <n v="5"/>
    <n v="101"/>
    <n v="106"/>
    <n v="1.0335040078932463E-2"/>
    <x v="0"/>
    <n v="0.99421706480667704"/>
    <x v="0"/>
  </r>
  <r>
    <n v="545"/>
    <d v="2011-01-24T00:00:00"/>
    <n v="1"/>
    <x v="0"/>
    <x v="20"/>
    <x v="4"/>
    <b v="0"/>
    <x v="0"/>
    <n v="1"/>
    <x v="2"/>
    <x v="1"/>
    <n v="1"/>
    <x v="0"/>
    <n v="0.14000000000000001"/>
    <n v="0.13639999999999999"/>
    <n v="0.59"/>
    <n v="0.19400000000000001"/>
    <n v="1"/>
    <n v="80"/>
    <n v="81"/>
    <n v="-0.51295812847461175"/>
    <x v="0"/>
    <n v="0.55574848507800412"/>
    <x v="0"/>
  </r>
  <r>
    <n v="546"/>
    <d v="2011-01-24T00:00:00"/>
    <n v="1"/>
    <x v="0"/>
    <x v="21"/>
    <x v="0"/>
    <b v="0"/>
    <x v="0"/>
    <n v="1"/>
    <x v="2"/>
    <x v="1"/>
    <n v="1"/>
    <x v="0"/>
    <n v="0.14000000000000001"/>
    <n v="0.1515"/>
    <n v="0.63"/>
    <n v="0.16420000000000001"/>
    <n v="6"/>
    <n v="53"/>
    <n v="59"/>
    <n v="0.14115833221731852"/>
    <x v="0"/>
    <n v="-7.9968317160039482E-3"/>
    <x v="0"/>
  </r>
  <r>
    <n v="547"/>
    <d v="2011-01-24T00:00:00"/>
    <n v="1"/>
    <x v="0"/>
    <x v="22"/>
    <x v="0"/>
    <b v="0"/>
    <x v="0"/>
    <n v="1"/>
    <x v="2"/>
    <x v="1"/>
    <n v="2"/>
    <x v="1"/>
    <n v="0.14000000000000001"/>
    <n v="0.13639999999999999"/>
    <n v="0.63"/>
    <n v="0.22389999999999999"/>
    <n v="3"/>
    <n v="32"/>
    <n v="35"/>
    <n v="-0.25131154419783963"/>
    <x v="0"/>
    <n v="-0.44646541144467689"/>
    <x v="0"/>
  </r>
  <r>
    <n v="548"/>
    <d v="2011-01-24T00:00:00"/>
    <n v="1"/>
    <x v="0"/>
    <x v="23"/>
    <x v="0"/>
    <b v="0"/>
    <x v="0"/>
    <n v="1"/>
    <x v="2"/>
    <x v="1"/>
    <n v="2"/>
    <x v="1"/>
    <n v="0.16"/>
    <n v="0.1515"/>
    <n v="0.64"/>
    <n v="0.25369999999999998"/>
    <n v="3"/>
    <n v="21"/>
    <n v="24"/>
    <n v="-0.25131154419783963"/>
    <x v="0"/>
    <n v="-0.67613942939779126"/>
    <x v="0"/>
  </r>
  <r>
    <n v="549"/>
    <d v="2011-01-25T00:00:00"/>
    <n v="1"/>
    <x v="0"/>
    <x v="0"/>
    <x v="0"/>
    <b v="0"/>
    <x v="0"/>
    <n v="2"/>
    <x v="3"/>
    <x v="1"/>
    <n v="2"/>
    <x v="1"/>
    <n v="0.16"/>
    <n v="0.13639999999999999"/>
    <n v="0.69"/>
    <n v="0.28360000000000002"/>
    <n v="3"/>
    <n v="6"/>
    <n v="9"/>
    <n v="-0.25131154419783963"/>
    <x v="0"/>
    <n v="-0.98933127206112903"/>
    <x v="0"/>
  </r>
  <r>
    <n v="550"/>
    <d v="2011-01-25T00:00:00"/>
    <n v="1"/>
    <x v="0"/>
    <x v="1"/>
    <x v="0"/>
    <b v="0"/>
    <x v="0"/>
    <n v="2"/>
    <x v="3"/>
    <x v="1"/>
    <n v="2"/>
    <x v="1"/>
    <n v="0.16"/>
    <n v="0.16669999999999999"/>
    <n v="0.69"/>
    <n v="0.16420000000000001"/>
    <n v="0"/>
    <n v="5"/>
    <n v="5"/>
    <n v="-0.64378142061299781"/>
    <x v="0"/>
    <n v="-1.010210728238685"/>
    <x v="0"/>
  </r>
  <r>
    <n v="551"/>
    <d v="2011-01-25T00:00:00"/>
    <n v="1"/>
    <x v="0"/>
    <x v="2"/>
    <x v="0"/>
    <b v="0"/>
    <x v="0"/>
    <n v="2"/>
    <x v="3"/>
    <x v="1"/>
    <n v="1"/>
    <x v="0"/>
    <n v="0.16"/>
    <n v="0.1515"/>
    <n v="0.69"/>
    <n v="0.22389999999999999"/>
    <n v="0"/>
    <n v="2"/>
    <n v="2"/>
    <n v="-0.64378142061299781"/>
    <x v="0"/>
    <n v="-1.0728490967713524"/>
    <x v="0"/>
  </r>
  <r>
    <n v="552"/>
    <d v="2011-01-25T00:00:00"/>
    <n v="1"/>
    <x v="0"/>
    <x v="4"/>
    <x v="0"/>
    <b v="0"/>
    <x v="0"/>
    <n v="2"/>
    <x v="3"/>
    <x v="1"/>
    <n v="1"/>
    <x v="0"/>
    <n v="0.14000000000000001"/>
    <n v="0.16669999999999999"/>
    <n v="0.74"/>
    <n v="0.1045"/>
    <n v="0"/>
    <n v="1"/>
    <n v="1"/>
    <n v="-0.64378142061299781"/>
    <x v="0"/>
    <n v="-1.0937285529489083"/>
    <x v="0"/>
  </r>
  <r>
    <n v="553"/>
    <d v="2011-01-25T00:00:00"/>
    <n v="1"/>
    <x v="0"/>
    <x v="5"/>
    <x v="1"/>
    <b v="0"/>
    <x v="0"/>
    <n v="2"/>
    <x v="3"/>
    <x v="1"/>
    <n v="1"/>
    <x v="0"/>
    <n v="0.14000000000000001"/>
    <n v="0.13639999999999999"/>
    <n v="0.74"/>
    <n v="0.22389999999999999"/>
    <n v="0"/>
    <n v="9"/>
    <n v="9"/>
    <n v="-0.64378142061299781"/>
    <x v="0"/>
    <n v="-0.92669290352846156"/>
    <x v="0"/>
  </r>
  <r>
    <n v="554"/>
    <d v="2011-01-25T00:00:00"/>
    <n v="1"/>
    <x v="0"/>
    <x v="6"/>
    <x v="1"/>
    <b v="0"/>
    <x v="0"/>
    <n v="2"/>
    <x v="3"/>
    <x v="1"/>
    <n v="1"/>
    <x v="0"/>
    <n v="0.16"/>
    <n v="0.18179999999999999"/>
    <n v="0.74"/>
    <n v="0.1045"/>
    <n v="1"/>
    <n v="35"/>
    <n v="36"/>
    <n v="-0.51295812847461175"/>
    <x v="0"/>
    <n v="-0.38382704291200931"/>
    <x v="0"/>
  </r>
  <r>
    <n v="555"/>
    <d v="2011-01-25T00:00:00"/>
    <n v="1"/>
    <x v="0"/>
    <x v="7"/>
    <x v="1"/>
    <b v="0"/>
    <x v="0"/>
    <n v="2"/>
    <x v="3"/>
    <x v="1"/>
    <n v="1"/>
    <x v="0"/>
    <n v="0.16"/>
    <n v="0.1515"/>
    <n v="0.74"/>
    <n v="0.22389999999999999"/>
    <n v="5"/>
    <n v="103"/>
    <n v="108"/>
    <n v="1.0335040078932463E-2"/>
    <x v="0"/>
    <n v="1.0359759771617887"/>
    <x v="0"/>
  </r>
  <r>
    <n v="556"/>
    <d v="2011-01-25T00:00:00"/>
    <n v="1"/>
    <x v="0"/>
    <x v="8"/>
    <x v="2"/>
    <b v="0"/>
    <x v="0"/>
    <n v="2"/>
    <x v="3"/>
    <x v="1"/>
    <n v="2"/>
    <x v="1"/>
    <n v="0.16"/>
    <n v="0.18179999999999999"/>
    <n v="0.74"/>
    <n v="0.1343"/>
    <n v="5"/>
    <n v="233"/>
    <n v="238"/>
    <n v="1.0335040078932463E-2"/>
    <x v="0"/>
    <n v="3.7503052802440497"/>
    <x v="1"/>
  </r>
  <r>
    <n v="557"/>
    <d v="2011-01-25T00:00:00"/>
    <n v="1"/>
    <x v="0"/>
    <x v="9"/>
    <x v="2"/>
    <b v="0"/>
    <x v="0"/>
    <n v="2"/>
    <x v="3"/>
    <x v="1"/>
    <n v="2"/>
    <x v="1"/>
    <n v="0.2"/>
    <n v="0.2273"/>
    <n v="0.64"/>
    <n v="8.9599999999999999E-2"/>
    <n v="10"/>
    <n v="134"/>
    <n v="144"/>
    <n v="0.66445150077086279"/>
    <x v="0"/>
    <n v="1.6832391186660201"/>
    <x v="0"/>
  </r>
  <r>
    <n v="558"/>
    <d v="2011-01-25T00:00:00"/>
    <n v="1"/>
    <x v="0"/>
    <x v="10"/>
    <x v="2"/>
    <b v="0"/>
    <x v="0"/>
    <n v="2"/>
    <x v="3"/>
    <x v="1"/>
    <n v="2"/>
    <x v="1"/>
    <n v="0.22"/>
    <n v="0.2424"/>
    <n v="0.6"/>
    <n v="0.1045"/>
    <n v="6"/>
    <n v="49"/>
    <n v="55"/>
    <n v="0.14115833221731852"/>
    <x v="0"/>
    <n v="-9.1514656426227359E-2"/>
    <x v="0"/>
  </r>
  <r>
    <n v="559"/>
    <d v="2011-01-25T00:00:00"/>
    <n v="1"/>
    <x v="0"/>
    <x v="11"/>
    <x v="2"/>
    <b v="0"/>
    <x v="0"/>
    <n v="2"/>
    <x v="3"/>
    <x v="1"/>
    <n v="2"/>
    <x v="1"/>
    <n v="0.24"/>
    <n v="0.2424"/>
    <n v="0.6"/>
    <n v="0.1343"/>
    <n v="6"/>
    <n v="55"/>
    <n v="61"/>
    <n v="0.14115833221731852"/>
    <x v="0"/>
    <n v="3.376208063910776E-2"/>
    <x v="0"/>
  </r>
  <r>
    <n v="560"/>
    <d v="2011-01-25T00:00:00"/>
    <n v="1"/>
    <x v="0"/>
    <x v="12"/>
    <x v="3"/>
    <b v="0"/>
    <x v="0"/>
    <n v="2"/>
    <x v="3"/>
    <x v="1"/>
    <n v="2"/>
    <x v="1"/>
    <n v="0.26"/>
    <n v="0.28789999999999999"/>
    <n v="0.56000000000000005"/>
    <n v="8.9599999999999999E-2"/>
    <n v="21"/>
    <n v="85"/>
    <n v="106"/>
    <n v="2.1035077142931096"/>
    <x v="1"/>
    <n v="0.66014576596578334"/>
    <x v="0"/>
  </r>
  <r>
    <n v="561"/>
    <d v="2011-01-25T00:00:00"/>
    <n v="1"/>
    <x v="0"/>
    <x v="13"/>
    <x v="3"/>
    <b v="0"/>
    <x v="0"/>
    <n v="2"/>
    <x v="3"/>
    <x v="1"/>
    <n v="2"/>
    <x v="1"/>
    <n v="0.26"/>
    <n v="0.2727"/>
    <n v="0.56000000000000005"/>
    <n v="0.1343"/>
    <n v="21"/>
    <n v="72"/>
    <n v="93"/>
    <n v="2.1035077142931096"/>
    <x v="1"/>
    <n v="0.38871283565755727"/>
    <x v="0"/>
  </r>
  <r>
    <n v="562"/>
    <d v="2011-01-25T00:00:00"/>
    <n v="1"/>
    <x v="0"/>
    <x v="14"/>
    <x v="3"/>
    <b v="0"/>
    <x v="0"/>
    <n v="2"/>
    <x v="3"/>
    <x v="1"/>
    <n v="2"/>
    <x v="1"/>
    <n v="0.3"/>
    <n v="0.33329999999999999"/>
    <n v="0.45"/>
    <n v="0"/>
    <n v="11"/>
    <n v="57"/>
    <n v="68"/>
    <n v="0.79527479290924885"/>
    <x v="0"/>
    <n v="7.5520992994219466E-2"/>
    <x v="0"/>
  </r>
  <r>
    <n v="563"/>
    <d v="2011-01-25T00:00:00"/>
    <n v="1"/>
    <x v="0"/>
    <x v="15"/>
    <x v="3"/>
    <b v="0"/>
    <x v="0"/>
    <n v="2"/>
    <x v="3"/>
    <x v="1"/>
    <n v="2"/>
    <x v="1"/>
    <n v="0.32"/>
    <n v="0.34849999999999998"/>
    <n v="0.42"/>
    <n v="0"/>
    <n v="21"/>
    <n v="63"/>
    <n v="84"/>
    <n v="2.1035077142931096"/>
    <x v="1"/>
    <n v="0.20079773005955459"/>
    <x v="0"/>
  </r>
  <r>
    <n v="564"/>
    <d v="2011-01-25T00:00:00"/>
    <n v="1"/>
    <x v="0"/>
    <x v="16"/>
    <x v="3"/>
    <b v="0"/>
    <x v="0"/>
    <n v="2"/>
    <x v="3"/>
    <x v="1"/>
    <n v="2"/>
    <x v="1"/>
    <n v="0.32"/>
    <n v="0.34849999999999998"/>
    <n v="0.42"/>
    <n v="0"/>
    <n v="14"/>
    <n v="102"/>
    <n v="116"/>
    <n v="1.1877446693244071"/>
    <x v="0"/>
    <n v="1.0150965209842329"/>
    <x v="0"/>
  </r>
  <r>
    <n v="565"/>
    <d v="2011-01-25T00:00:00"/>
    <n v="1"/>
    <x v="0"/>
    <x v="17"/>
    <x v="4"/>
    <b v="0"/>
    <x v="0"/>
    <n v="2"/>
    <x v="3"/>
    <x v="1"/>
    <n v="1"/>
    <x v="0"/>
    <n v="0.3"/>
    <n v="0.33329999999999999"/>
    <n v="0.45"/>
    <n v="0"/>
    <n v="14"/>
    <n v="208"/>
    <n v="222"/>
    <n v="1.1877446693244071"/>
    <x v="0"/>
    <n v="3.2283188758051531"/>
    <x v="1"/>
  </r>
  <r>
    <n v="566"/>
    <d v="2011-01-25T00:00:00"/>
    <n v="1"/>
    <x v="0"/>
    <x v="18"/>
    <x v="4"/>
    <b v="0"/>
    <x v="0"/>
    <n v="2"/>
    <x v="3"/>
    <x v="1"/>
    <n v="2"/>
    <x v="1"/>
    <n v="0.3"/>
    <n v="0.31819999999999998"/>
    <n v="0.49"/>
    <n v="8.9599999999999999E-2"/>
    <n v="7"/>
    <n v="218"/>
    <n v="225"/>
    <n v="0.27198162435570455"/>
    <x v="0"/>
    <n v="3.4371134375807118"/>
    <x v="1"/>
  </r>
  <r>
    <n v="567"/>
    <d v="2011-01-25T00:00:00"/>
    <n v="1"/>
    <x v="0"/>
    <x v="19"/>
    <x v="4"/>
    <b v="0"/>
    <x v="0"/>
    <n v="2"/>
    <x v="3"/>
    <x v="1"/>
    <n v="2"/>
    <x v="1"/>
    <n v="0.26"/>
    <n v="0.2576"/>
    <n v="0.65"/>
    <n v="0.16420000000000001"/>
    <n v="13"/>
    <n v="133"/>
    <n v="146"/>
    <n v="1.0569213771860211"/>
    <x v="0"/>
    <n v="1.6623596624884642"/>
    <x v="0"/>
  </r>
  <r>
    <n v="568"/>
    <d v="2011-01-25T00:00:00"/>
    <n v="1"/>
    <x v="0"/>
    <x v="20"/>
    <x v="4"/>
    <b v="0"/>
    <x v="0"/>
    <n v="2"/>
    <x v="3"/>
    <x v="1"/>
    <n v="1"/>
    <x v="0"/>
    <n v="0.24"/>
    <n v="0.2273"/>
    <n v="0.65"/>
    <n v="0.19400000000000001"/>
    <n v="16"/>
    <n v="103"/>
    <n v="119"/>
    <n v="1.4493912536011793"/>
    <x v="0"/>
    <n v="1.0359759771617887"/>
    <x v="0"/>
  </r>
  <r>
    <n v="569"/>
    <d v="2011-01-25T00:00:00"/>
    <n v="1"/>
    <x v="0"/>
    <x v="21"/>
    <x v="0"/>
    <b v="0"/>
    <x v="0"/>
    <n v="2"/>
    <x v="3"/>
    <x v="1"/>
    <n v="1"/>
    <x v="0"/>
    <n v="0.24"/>
    <n v="0.2273"/>
    <n v="0.65"/>
    <n v="0.19400000000000001"/>
    <n v="5"/>
    <n v="40"/>
    <n v="45"/>
    <n v="1.0335040078932463E-2"/>
    <x v="0"/>
    <n v="-0.27942976202423003"/>
    <x v="0"/>
  </r>
  <r>
    <n v="570"/>
    <d v="2011-01-25T00:00:00"/>
    <n v="1"/>
    <x v="0"/>
    <x v="22"/>
    <x v="0"/>
    <b v="0"/>
    <x v="0"/>
    <n v="2"/>
    <x v="3"/>
    <x v="1"/>
    <n v="1"/>
    <x v="0"/>
    <n v="0.22"/>
    <n v="0.2273"/>
    <n v="0.64"/>
    <n v="0.16420000000000001"/>
    <n v="4"/>
    <n v="49"/>
    <n v="53"/>
    <n v="-0.1204882520594536"/>
    <x v="0"/>
    <n v="-9.1514656426227359E-2"/>
    <x v="0"/>
  </r>
  <r>
    <n v="571"/>
    <d v="2011-01-25T00:00:00"/>
    <n v="1"/>
    <x v="0"/>
    <x v="23"/>
    <x v="0"/>
    <b v="0"/>
    <x v="0"/>
    <n v="2"/>
    <x v="3"/>
    <x v="1"/>
    <n v="2"/>
    <x v="1"/>
    <n v="0.22"/>
    <n v="0.2273"/>
    <n v="0.64"/>
    <n v="0.16420000000000001"/>
    <n v="3"/>
    <n v="37"/>
    <n v="40"/>
    <n v="-0.25131154419783963"/>
    <x v="0"/>
    <n v="-0.34206813055689761"/>
    <x v="0"/>
  </r>
  <r>
    <n v="572"/>
    <d v="2011-01-26T00:00:00"/>
    <n v="1"/>
    <x v="0"/>
    <x v="0"/>
    <x v="0"/>
    <b v="0"/>
    <x v="0"/>
    <n v="3"/>
    <x v="4"/>
    <x v="1"/>
    <n v="2"/>
    <x v="1"/>
    <n v="0.22"/>
    <n v="0.2273"/>
    <n v="0.69"/>
    <n v="0.1343"/>
    <n v="3"/>
    <n v="14"/>
    <n v="17"/>
    <n v="-0.25131154419783963"/>
    <x v="0"/>
    <n v="-0.82229562264068223"/>
    <x v="0"/>
  </r>
  <r>
    <n v="573"/>
    <d v="2011-01-26T00:00:00"/>
    <n v="1"/>
    <x v="0"/>
    <x v="1"/>
    <x v="0"/>
    <b v="0"/>
    <x v="0"/>
    <n v="3"/>
    <x v="4"/>
    <x v="1"/>
    <n v="2"/>
    <x v="1"/>
    <n v="0.24"/>
    <n v="0.2424"/>
    <n v="0.65"/>
    <n v="0.1343"/>
    <n v="0"/>
    <n v="5"/>
    <n v="5"/>
    <n v="-0.64378142061299781"/>
    <x v="0"/>
    <n v="-1.010210728238685"/>
    <x v="0"/>
  </r>
  <r>
    <n v="574"/>
    <d v="2011-01-26T00:00:00"/>
    <n v="1"/>
    <x v="0"/>
    <x v="2"/>
    <x v="0"/>
    <b v="0"/>
    <x v="0"/>
    <n v="3"/>
    <x v="4"/>
    <x v="1"/>
    <n v="3"/>
    <x v="2"/>
    <n v="0.22"/>
    <n v="0.2273"/>
    <n v="0.69"/>
    <n v="0.19400000000000001"/>
    <n v="3"/>
    <n v="7"/>
    <n v="10"/>
    <n v="-0.25131154419783963"/>
    <x v="0"/>
    <n v="-0.96845181588357321"/>
    <x v="0"/>
  </r>
  <r>
    <n v="575"/>
    <d v="2011-01-26T00:00:00"/>
    <n v="1"/>
    <x v="0"/>
    <x v="5"/>
    <x v="1"/>
    <b v="0"/>
    <x v="0"/>
    <n v="3"/>
    <x v="4"/>
    <x v="1"/>
    <n v="3"/>
    <x v="2"/>
    <n v="0.2"/>
    <n v="0.18179999999999999"/>
    <n v="0.86"/>
    <n v="0.28360000000000002"/>
    <n v="0"/>
    <n v="1"/>
    <n v="1"/>
    <n v="-0.64378142061299781"/>
    <x v="0"/>
    <n v="-1.0937285529489083"/>
    <x v="0"/>
  </r>
  <r>
    <n v="576"/>
    <d v="2011-01-26T00:00:00"/>
    <n v="1"/>
    <x v="0"/>
    <x v="6"/>
    <x v="1"/>
    <b v="0"/>
    <x v="0"/>
    <n v="3"/>
    <x v="4"/>
    <x v="1"/>
    <n v="3"/>
    <x v="2"/>
    <n v="0.2"/>
    <n v="0.18179999999999999"/>
    <n v="0.86"/>
    <n v="0.28360000000000002"/>
    <n v="0"/>
    <n v="8"/>
    <n v="8"/>
    <n v="-0.64378142061299781"/>
    <x v="0"/>
    <n v="-0.94757235970601739"/>
    <x v="0"/>
  </r>
  <r>
    <n v="577"/>
    <d v="2011-01-26T00:00:00"/>
    <n v="1"/>
    <x v="0"/>
    <x v="7"/>
    <x v="1"/>
    <b v="0"/>
    <x v="0"/>
    <n v="3"/>
    <x v="4"/>
    <x v="1"/>
    <n v="3"/>
    <x v="2"/>
    <n v="0.22"/>
    <n v="0.21210000000000001"/>
    <n v="0.87"/>
    <n v="0.29849999999999999"/>
    <n v="1"/>
    <n v="29"/>
    <n v="30"/>
    <n v="-0.51295812847461175"/>
    <x v="0"/>
    <n v="-0.50910377997734446"/>
    <x v="0"/>
  </r>
  <r>
    <n v="578"/>
    <d v="2011-01-26T00:00:00"/>
    <n v="1"/>
    <x v="0"/>
    <x v="8"/>
    <x v="2"/>
    <b v="0"/>
    <x v="0"/>
    <n v="3"/>
    <x v="4"/>
    <x v="1"/>
    <n v="3"/>
    <x v="2"/>
    <n v="0.22"/>
    <n v="0.21210000000000001"/>
    <n v="0.87"/>
    <n v="0.29849999999999999"/>
    <n v="3"/>
    <n v="69"/>
    <n v="72"/>
    <n v="-0.25131154419783963"/>
    <x v="0"/>
    <n v="0.32607446712488969"/>
    <x v="0"/>
  </r>
  <r>
    <n v="579"/>
    <d v="2011-01-26T00:00:00"/>
    <n v="1"/>
    <x v="0"/>
    <x v="9"/>
    <x v="2"/>
    <b v="0"/>
    <x v="0"/>
    <n v="3"/>
    <x v="4"/>
    <x v="1"/>
    <n v="3"/>
    <x v="2"/>
    <n v="0.22"/>
    <n v="0.21210000000000001"/>
    <n v="0.87"/>
    <n v="0.29849999999999999"/>
    <n v="3"/>
    <n v="55"/>
    <n v="58"/>
    <n v="-0.25131154419783963"/>
    <x v="0"/>
    <n v="3.376208063910776E-2"/>
    <x v="0"/>
  </r>
  <r>
    <n v="580"/>
    <d v="2011-01-26T00:00:00"/>
    <n v="1"/>
    <x v="0"/>
    <x v="10"/>
    <x v="2"/>
    <b v="0"/>
    <x v="0"/>
    <n v="3"/>
    <x v="4"/>
    <x v="1"/>
    <n v="3"/>
    <x v="2"/>
    <n v="0.22"/>
    <n v="0.21210000000000001"/>
    <n v="0.93"/>
    <n v="0.28360000000000002"/>
    <n v="2"/>
    <n v="26"/>
    <n v="28"/>
    <n v="-0.38213483633622569"/>
    <x v="0"/>
    <n v="-0.57174214851001204"/>
    <x v="0"/>
  </r>
  <r>
    <n v="581"/>
    <d v="2011-01-26T00:00:00"/>
    <n v="1"/>
    <x v="0"/>
    <x v="11"/>
    <x v="2"/>
    <b v="0"/>
    <x v="0"/>
    <n v="3"/>
    <x v="4"/>
    <x v="1"/>
    <n v="3"/>
    <x v="2"/>
    <n v="0.22"/>
    <n v="0.19700000000000001"/>
    <n v="0.93"/>
    <n v="0.32840000000000003"/>
    <n v="6"/>
    <n v="35"/>
    <n v="41"/>
    <n v="0.14115833221731852"/>
    <x v="0"/>
    <n v="-0.38382704291200931"/>
    <x v="0"/>
  </r>
  <r>
    <n v="582"/>
    <d v="2011-01-26T00:00:00"/>
    <n v="1"/>
    <x v="0"/>
    <x v="12"/>
    <x v="3"/>
    <b v="0"/>
    <x v="0"/>
    <n v="3"/>
    <x v="4"/>
    <x v="1"/>
    <n v="3"/>
    <x v="2"/>
    <n v="0.22"/>
    <n v="0.19700000000000001"/>
    <n v="0.93"/>
    <n v="0.32840000000000003"/>
    <n v="7"/>
    <n v="41"/>
    <n v="48"/>
    <n v="0.27198162435570455"/>
    <x v="0"/>
    <n v="-0.25855030584667421"/>
    <x v="0"/>
  </r>
  <r>
    <n v="583"/>
    <d v="2011-01-26T00:00:00"/>
    <n v="1"/>
    <x v="0"/>
    <x v="13"/>
    <x v="3"/>
    <b v="0"/>
    <x v="0"/>
    <n v="3"/>
    <x v="4"/>
    <x v="1"/>
    <n v="3"/>
    <x v="2"/>
    <n v="0.22"/>
    <n v="0.19700000000000001"/>
    <n v="0.93"/>
    <n v="0.32840000000000003"/>
    <n v="4"/>
    <n v="43"/>
    <n v="47"/>
    <n v="-0.1204882520594536"/>
    <x v="0"/>
    <n v="-0.21679139349156248"/>
    <x v="0"/>
  </r>
  <r>
    <n v="584"/>
    <d v="2011-01-26T00:00:00"/>
    <n v="1"/>
    <x v="0"/>
    <x v="14"/>
    <x v="3"/>
    <b v="0"/>
    <x v="0"/>
    <n v="3"/>
    <x v="4"/>
    <x v="1"/>
    <n v="3"/>
    <x v="2"/>
    <n v="0.22"/>
    <n v="0.19700000000000001"/>
    <n v="0.93"/>
    <n v="0.35820000000000002"/>
    <n v="0"/>
    <n v="36"/>
    <n v="36"/>
    <n v="-0.64378142061299781"/>
    <x v="0"/>
    <n v="-0.36294758673445349"/>
    <x v="0"/>
  </r>
  <r>
    <n v="585"/>
    <d v="2011-01-26T00:00:00"/>
    <n v="1"/>
    <x v="0"/>
    <x v="15"/>
    <x v="3"/>
    <b v="0"/>
    <x v="0"/>
    <n v="3"/>
    <x v="4"/>
    <x v="1"/>
    <n v="3"/>
    <x v="2"/>
    <n v="0.22"/>
    <n v="0.18179999999999999"/>
    <n v="0.93"/>
    <n v="0.4627"/>
    <n v="1"/>
    <n v="42"/>
    <n v="43"/>
    <n v="-0.51295812847461175"/>
    <x v="0"/>
    <n v="-0.23767084966911833"/>
    <x v="0"/>
  </r>
  <r>
    <n v="586"/>
    <d v="2011-01-26T00:00:00"/>
    <n v="1"/>
    <x v="0"/>
    <x v="16"/>
    <x v="3"/>
    <b v="0"/>
    <x v="0"/>
    <n v="3"/>
    <x v="4"/>
    <x v="1"/>
    <n v="4"/>
    <x v="3"/>
    <n v="0.22"/>
    <n v="0.19700000000000001"/>
    <n v="0.93"/>
    <n v="0.32840000000000003"/>
    <n v="1"/>
    <n v="35"/>
    <n v="36"/>
    <n v="-0.51295812847461175"/>
    <x v="0"/>
    <n v="-0.38382704291200931"/>
    <x v="0"/>
  </r>
  <r>
    <n v="587"/>
    <d v="2011-01-26T00:00:00"/>
    <n v="1"/>
    <x v="0"/>
    <x v="17"/>
    <x v="4"/>
    <b v="0"/>
    <x v="0"/>
    <n v="3"/>
    <x v="4"/>
    <x v="1"/>
    <n v="3"/>
    <x v="2"/>
    <n v="0.2"/>
    <n v="0.18179999999999999"/>
    <n v="0.93"/>
    <n v="0.35820000000000002"/>
    <n v="0"/>
    <n v="26"/>
    <n v="26"/>
    <n v="-0.64378142061299781"/>
    <x v="0"/>
    <n v="-0.57174214851001204"/>
    <x v="0"/>
  </r>
  <r>
    <n v="588"/>
    <d v="2011-01-27T00:00:00"/>
    <n v="1"/>
    <x v="0"/>
    <x v="16"/>
    <x v="3"/>
    <b v="0"/>
    <x v="0"/>
    <n v="4"/>
    <x v="5"/>
    <x v="1"/>
    <n v="1"/>
    <x v="0"/>
    <n v="0.22"/>
    <n v="0.2273"/>
    <n v="0.55000000000000004"/>
    <n v="0.19400000000000001"/>
    <n v="1"/>
    <n v="23"/>
    <n v="24"/>
    <n v="-0.51295812847461175"/>
    <x v="0"/>
    <n v="-0.63438051704267961"/>
    <x v="0"/>
  </r>
  <r>
    <n v="589"/>
    <d v="2011-01-27T00:00:00"/>
    <n v="1"/>
    <x v="0"/>
    <x v="17"/>
    <x v="4"/>
    <b v="0"/>
    <x v="0"/>
    <n v="4"/>
    <x v="5"/>
    <x v="1"/>
    <n v="1"/>
    <x v="0"/>
    <n v="0.22"/>
    <n v="0.2424"/>
    <n v="0.55000000000000004"/>
    <n v="0.1045"/>
    <n v="2"/>
    <n v="82"/>
    <n v="84"/>
    <n v="-0.38213483633622569"/>
    <x v="0"/>
    <n v="0.59750739743311576"/>
    <x v="0"/>
  </r>
  <r>
    <n v="590"/>
    <d v="2011-01-27T00:00:00"/>
    <n v="1"/>
    <x v="0"/>
    <x v="18"/>
    <x v="4"/>
    <b v="0"/>
    <x v="0"/>
    <n v="4"/>
    <x v="5"/>
    <x v="1"/>
    <n v="1"/>
    <x v="0"/>
    <n v="0.2"/>
    <n v="0.2273"/>
    <n v="0.69"/>
    <n v="8.9599999999999999E-2"/>
    <n v="3"/>
    <n v="101"/>
    <n v="104"/>
    <n v="-0.25131154419783963"/>
    <x v="0"/>
    <n v="0.99421706480667704"/>
    <x v="0"/>
  </r>
  <r>
    <n v="591"/>
    <d v="2011-01-27T00:00:00"/>
    <n v="1"/>
    <x v="0"/>
    <x v="19"/>
    <x v="4"/>
    <b v="0"/>
    <x v="0"/>
    <n v="4"/>
    <x v="5"/>
    <x v="1"/>
    <n v="1"/>
    <x v="0"/>
    <n v="0.2"/>
    <n v="0.2273"/>
    <n v="0.69"/>
    <n v="8.9599999999999999E-2"/>
    <n v="3"/>
    <n v="76"/>
    <n v="79"/>
    <n v="-0.25131154419783963"/>
    <x v="0"/>
    <n v="0.47223066036778072"/>
    <x v="0"/>
  </r>
  <r>
    <n v="592"/>
    <d v="2011-01-27T00:00:00"/>
    <n v="1"/>
    <x v="0"/>
    <x v="20"/>
    <x v="4"/>
    <b v="0"/>
    <x v="0"/>
    <n v="4"/>
    <x v="5"/>
    <x v="1"/>
    <n v="1"/>
    <x v="0"/>
    <n v="0.18"/>
    <n v="0.21210000000000001"/>
    <n v="0.74"/>
    <n v="8.9599999999999999E-2"/>
    <n v="4"/>
    <n v="55"/>
    <n v="59"/>
    <n v="-0.1204882520594536"/>
    <x v="0"/>
    <n v="3.376208063910776E-2"/>
    <x v="0"/>
  </r>
  <r>
    <n v="593"/>
    <d v="2011-01-27T00:00:00"/>
    <n v="1"/>
    <x v="0"/>
    <x v="21"/>
    <x v="0"/>
    <b v="0"/>
    <x v="0"/>
    <n v="4"/>
    <x v="5"/>
    <x v="1"/>
    <n v="1"/>
    <x v="0"/>
    <n v="0.18"/>
    <n v="0.21210000000000001"/>
    <n v="0.74"/>
    <n v="8.9599999999999999E-2"/>
    <n v="2"/>
    <n v="36"/>
    <n v="38"/>
    <n v="-0.38213483633622569"/>
    <x v="0"/>
    <n v="-0.36294758673445349"/>
    <x v="0"/>
  </r>
  <r>
    <n v="594"/>
    <d v="2011-01-27T00:00:00"/>
    <n v="1"/>
    <x v="0"/>
    <x v="22"/>
    <x v="0"/>
    <b v="0"/>
    <x v="0"/>
    <n v="4"/>
    <x v="5"/>
    <x v="1"/>
    <n v="1"/>
    <x v="0"/>
    <n v="0.18"/>
    <n v="0.21210000000000001"/>
    <n v="0.74"/>
    <n v="8.9599999999999999E-2"/>
    <n v="0"/>
    <n v="27"/>
    <n v="27"/>
    <n v="-0.64378142061299781"/>
    <x v="0"/>
    <n v="-0.55086269233245611"/>
    <x v="0"/>
  </r>
  <r>
    <n v="595"/>
    <d v="2011-01-27T00:00:00"/>
    <n v="1"/>
    <x v="0"/>
    <x v="23"/>
    <x v="0"/>
    <b v="0"/>
    <x v="0"/>
    <n v="4"/>
    <x v="5"/>
    <x v="1"/>
    <n v="1"/>
    <x v="0"/>
    <n v="0.18"/>
    <n v="0.19700000000000001"/>
    <n v="0.8"/>
    <n v="0.16420000000000001"/>
    <n v="0"/>
    <n v="16"/>
    <n v="16"/>
    <n v="-0.64378142061299781"/>
    <x v="0"/>
    <n v="-0.78053671028557059"/>
    <x v="0"/>
  </r>
  <r>
    <n v="596"/>
    <d v="2011-01-28T00:00:00"/>
    <n v="1"/>
    <x v="0"/>
    <x v="0"/>
    <x v="0"/>
    <b v="0"/>
    <x v="0"/>
    <n v="5"/>
    <x v="6"/>
    <x v="1"/>
    <n v="2"/>
    <x v="1"/>
    <n v="0.2"/>
    <n v="0.21210000000000001"/>
    <n v="0.75"/>
    <n v="0.1343"/>
    <n v="0"/>
    <n v="9"/>
    <n v="9"/>
    <n v="-0.64378142061299781"/>
    <x v="0"/>
    <n v="-0.92669290352846156"/>
    <x v="0"/>
  </r>
  <r>
    <n v="597"/>
    <d v="2011-01-28T00:00:00"/>
    <n v="1"/>
    <x v="0"/>
    <x v="1"/>
    <x v="0"/>
    <b v="0"/>
    <x v="0"/>
    <n v="5"/>
    <x v="6"/>
    <x v="1"/>
    <n v="2"/>
    <x v="1"/>
    <n v="0.2"/>
    <n v="0.21210000000000001"/>
    <n v="0.75"/>
    <n v="0.1343"/>
    <n v="1"/>
    <n v="2"/>
    <n v="3"/>
    <n v="-0.51295812847461175"/>
    <x v="0"/>
    <n v="-1.0728490967713524"/>
    <x v="0"/>
  </r>
  <r>
    <n v="598"/>
    <d v="2011-01-28T00:00:00"/>
    <n v="1"/>
    <x v="0"/>
    <x v="2"/>
    <x v="0"/>
    <b v="0"/>
    <x v="0"/>
    <n v="5"/>
    <x v="6"/>
    <x v="1"/>
    <n v="2"/>
    <x v="1"/>
    <n v="0.2"/>
    <n v="0.21210000000000001"/>
    <n v="0.75"/>
    <n v="0.16420000000000001"/>
    <n v="0"/>
    <n v="2"/>
    <n v="2"/>
    <n v="-0.64378142061299781"/>
    <x v="0"/>
    <n v="-1.0728490967713524"/>
    <x v="0"/>
  </r>
  <r>
    <n v="599"/>
    <d v="2011-01-28T00:00:00"/>
    <n v="1"/>
    <x v="0"/>
    <x v="3"/>
    <x v="0"/>
    <b v="0"/>
    <x v="0"/>
    <n v="5"/>
    <x v="6"/>
    <x v="1"/>
    <n v="2"/>
    <x v="1"/>
    <n v="0.2"/>
    <n v="0.2273"/>
    <n v="0.75"/>
    <n v="0.1045"/>
    <n v="1"/>
    <n v="0"/>
    <n v="1"/>
    <n v="-0.51295812847461175"/>
    <x v="0"/>
    <n v="-1.1146080091264643"/>
    <x v="0"/>
  </r>
  <r>
    <n v="600"/>
    <d v="2011-01-28T00:00:00"/>
    <n v="1"/>
    <x v="0"/>
    <x v="5"/>
    <x v="1"/>
    <b v="0"/>
    <x v="0"/>
    <n v="5"/>
    <x v="6"/>
    <x v="1"/>
    <n v="2"/>
    <x v="1"/>
    <n v="0.18"/>
    <n v="0.21210000000000001"/>
    <n v="0.8"/>
    <n v="0.1045"/>
    <n v="0"/>
    <n v="4"/>
    <n v="4"/>
    <n v="-0.64378142061299781"/>
    <x v="0"/>
    <n v="-1.0310901844162408"/>
    <x v="0"/>
  </r>
  <r>
    <n v="601"/>
    <d v="2011-01-28T00:00:00"/>
    <n v="1"/>
    <x v="0"/>
    <x v="6"/>
    <x v="1"/>
    <b v="0"/>
    <x v="0"/>
    <n v="5"/>
    <x v="6"/>
    <x v="1"/>
    <n v="2"/>
    <x v="1"/>
    <n v="0.18"/>
    <n v="0.19700000000000001"/>
    <n v="0.8"/>
    <n v="0.1343"/>
    <n v="0"/>
    <n v="16"/>
    <n v="16"/>
    <n v="-0.64378142061299781"/>
    <x v="0"/>
    <n v="-0.78053671028557059"/>
    <x v="0"/>
  </r>
  <r>
    <n v="602"/>
    <d v="2011-01-28T00:00:00"/>
    <n v="1"/>
    <x v="0"/>
    <x v="7"/>
    <x v="1"/>
    <b v="0"/>
    <x v="0"/>
    <n v="5"/>
    <x v="6"/>
    <x v="1"/>
    <n v="2"/>
    <x v="1"/>
    <n v="0.16"/>
    <n v="0.19700000000000001"/>
    <n v="0.86"/>
    <n v="8.9599999999999999E-2"/>
    <n v="2"/>
    <n v="58"/>
    <n v="60"/>
    <n v="-0.38213483633622569"/>
    <x v="0"/>
    <n v="9.6400449171775315E-2"/>
    <x v="0"/>
  </r>
  <r>
    <n v="603"/>
    <d v="2011-01-28T00:00:00"/>
    <n v="1"/>
    <x v="0"/>
    <x v="8"/>
    <x v="2"/>
    <b v="0"/>
    <x v="0"/>
    <n v="5"/>
    <x v="6"/>
    <x v="1"/>
    <n v="2"/>
    <x v="1"/>
    <n v="0.16"/>
    <n v="0.19700000000000001"/>
    <n v="0.86"/>
    <n v="8.9599999999999999E-2"/>
    <n v="2"/>
    <n v="155"/>
    <n v="157"/>
    <n v="-0.38213483633622569"/>
    <x v="0"/>
    <n v="2.121707698394693"/>
    <x v="1"/>
  </r>
  <r>
    <n v="604"/>
    <d v="2011-01-28T00:00:00"/>
    <n v="1"/>
    <x v="0"/>
    <x v="9"/>
    <x v="2"/>
    <b v="0"/>
    <x v="0"/>
    <n v="5"/>
    <x v="6"/>
    <x v="1"/>
    <n v="3"/>
    <x v="2"/>
    <n v="0.18"/>
    <n v="0.21210000000000001"/>
    <n v="0.86"/>
    <n v="8.9599999999999999E-2"/>
    <n v="6"/>
    <n v="95"/>
    <n v="101"/>
    <n v="0.14115833221731852"/>
    <x v="0"/>
    <n v="0.86894032774134189"/>
    <x v="0"/>
  </r>
  <r>
    <n v="605"/>
    <d v="2011-01-28T00:00:00"/>
    <n v="1"/>
    <x v="0"/>
    <x v="10"/>
    <x v="2"/>
    <b v="0"/>
    <x v="0"/>
    <n v="5"/>
    <x v="6"/>
    <x v="1"/>
    <n v="3"/>
    <x v="2"/>
    <n v="0.18"/>
    <n v="0.21210000000000001"/>
    <n v="0.86"/>
    <n v="0.1045"/>
    <n v="0"/>
    <n v="49"/>
    <n v="49"/>
    <n v="-0.64378142061299781"/>
    <x v="0"/>
    <n v="-9.1514656426227359E-2"/>
    <x v="0"/>
  </r>
  <r>
    <n v="606"/>
    <d v="2011-01-28T00:00:00"/>
    <n v="1"/>
    <x v="0"/>
    <x v="11"/>
    <x v="2"/>
    <b v="0"/>
    <x v="0"/>
    <n v="5"/>
    <x v="6"/>
    <x v="1"/>
    <n v="3"/>
    <x v="2"/>
    <n v="0.18"/>
    <n v="0.21210000000000001"/>
    <n v="0.93"/>
    <n v="0.1045"/>
    <n v="0"/>
    <n v="30"/>
    <n v="30"/>
    <n v="-0.64378142061299781"/>
    <x v="0"/>
    <n v="-0.48822432379978858"/>
    <x v="0"/>
  </r>
  <r>
    <n v="607"/>
    <d v="2011-01-28T00:00:00"/>
    <n v="1"/>
    <x v="0"/>
    <x v="12"/>
    <x v="3"/>
    <b v="0"/>
    <x v="0"/>
    <n v="5"/>
    <x v="6"/>
    <x v="1"/>
    <n v="3"/>
    <x v="2"/>
    <n v="0.18"/>
    <n v="0.21210000000000001"/>
    <n v="0.93"/>
    <n v="0.1045"/>
    <n v="1"/>
    <n v="28"/>
    <n v="29"/>
    <n v="-0.51295812847461175"/>
    <x v="0"/>
    <n v="-0.52998323615490028"/>
    <x v="0"/>
  </r>
  <r>
    <n v="608"/>
    <d v="2011-01-28T00:00:00"/>
    <n v="1"/>
    <x v="0"/>
    <x v="13"/>
    <x v="3"/>
    <b v="0"/>
    <x v="0"/>
    <n v="5"/>
    <x v="6"/>
    <x v="1"/>
    <n v="3"/>
    <x v="2"/>
    <n v="0.18"/>
    <n v="0.21210000000000001"/>
    <n v="0.93"/>
    <n v="0.1045"/>
    <n v="0"/>
    <n v="31"/>
    <n v="31"/>
    <n v="-0.64378142061299781"/>
    <x v="0"/>
    <n v="-0.46734486762223271"/>
    <x v="0"/>
  </r>
  <r>
    <n v="609"/>
    <d v="2011-01-28T00:00:00"/>
    <n v="1"/>
    <x v="0"/>
    <x v="14"/>
    <x v="3"/>
    <b v="0"/>
    <x v="0"/>
    <n v="5"/>
    <x v="6"/>
    <x v="1"/>
    <n v="3"/>
    <x v="2"/>
    <n v="0.22"/>
    <n v="0.2727"/>
    <n v="0.8"/>
    <n v="0"/>
    <n v="2"/>
    <n v="36"/>
    <n v="38"/>
    <n v="-0.38213483633622569"/>
    <x v="0"/>
    <n v="-0.36294758673445349"/>
    <x v="0"/>
  </r>
  <r>
    <n v="610"/>
    <d v="2011-01-28T00:00:00"/>
    <n v="1"/>
    <x v="0"/>
    <x v="15"/>
    <x v="3"/>
    <b v="0"/>
    <x v="0"/>
    <n v="5"/>
    <x v="6"/>
    <x v="1"/>
    <n v="2"/>
    <x v="1"/>
    <n v="0.2"/>
    <n v="0.2576"/>
    <n v="0.86"/>
    <n v="0"/>
    <n v="1"/>
    <n v="40"/>
    <n v="41"/>
    <n v="-0.51295812847461175"/>
    <x v="0"/>
    <n v="-0.27942976202423003"/>
    <x v="0"/>
  </r>
  <r>
    <n v="611"/>
    <d v="2011-01-28T00:00:00"/>
    <n v="1"/>
    <x v="0"/>
    <x v="16"/>
    <x v="3"/>
    <b v="0"/>
    <x v="0"/>
    <n v="5"/>
    <x v="6"/>
    <x v="1"/>
    <n v="1"/>
    <x v="0"/>
    <n v="0.22"/>
    <n v="0.2727"/>
    <n v="0.8"/>
    <n v="0"/>
    <n v="10"/>
    <n v="70"/>
    <n v="80"/>
    <n v="0.66445150077086279"/>
    <x v="0"/>
    <n v="0.34695392330244557"/>
    <x v="0"/>
  </r>
  <r>
    <n v="612"/>
    <d v="2011-01-28T00:00:00"/>
    <n v="1"/>
    <x v="0"/>
    <x v="17"/>
    <x v="4"/>
    <b v="0"/>
    <x v="0"/>
    <n v="5"/>
    <x v="6"/>
    <x v="1"/>
    <n v="1"/>
    <x v="0"/>
    <n v="0.24"/>
    <n v="0.2424"/>
    <n v="0.75"/>
    <n v="0.1343"/>
    <n v="2"/>
    <n v="147"/>
    <n v="149"/>
    <n v="-0.38213483633622569"/>
    <x v="0"/>
    <n v="1.9546720489742462"/>
    <x v="0"/>
  </r>
  <r>
    <n v="613"/>
    <d v="2011-01-28T00:00:00"/>
    <n v="1"/>
    <x v="0"/>
    <x v="18"/>
    <x v="4"/>
    <b v="0"/>
    <x v="0"/>
    <n v="5"/>
    <x v="6"/>
    <x v="1"/>
    <n v="1"/>
    <x v="0"/>
    <n v="0.24"/>
    <n v="0.2273"/>
    <n v="0.75"/>
    <n v="0.19400000000000001"/>
    <n v="2"/>
    <n v="107"/>
    <n v="109"/>
    <n v="-0.38213483633622569"/>
    <x v="0"/>
    <n v="1.1194938018720122"/>
    <x v="0"/>
  </r>
  <r>
    <n v="614"/>
    <d v="2011-01-28T00:00:00"/>
    <n v="1"/>
    <x v="0"/>
    <x v="19"/>
    <x v="4"/>
    <b v="0"/>
    <x v="0"/>
    <n v="5"/>
    <x v="6"/>
    <x v="1"/>
    <n v="2"/>
    <x v="1"/>
    <n v="0.24"/>
    <n v="0.2424"/>
    <n v="0.75"/>
    <n v="0.1343"/>
    <n v="5"/>
    <n v="84"/>
    <n v="89"/>
    <n v="1.0335040078932463E-2"/>
    <x v="0"/>
    <n v="0.63926630978822752"/>
    <x v="0"/>
  </r>
  <r>
    <n v="615"/>
    <d v="2011-01-28T00:00:00"/>
    <n v="1"/>
    <x v="0"/>
    <x v="20"/>
    <x v="4"/>
    <b v="0"/>
    <x v="0"/>
    <n v="5"/>
    <x v="6"/>
    <x v="1"/>
    <n v="2"/>
    <x v="1"/>
    <n v="0.24"/>
    <n v="0.2273"/>
    <n v="0.7"/>
    <n v="0.19400000000000001"/>
    <n v="1"/>
    <n v="61"/>
    <n v="62"/>
    <n v="-0.51295812847461175"/>
    <x v="0"/>
    <n v="0.15903881770444289"/>
    <x v="0"/>
  </r>
  <r>
    <n v="616"/>
    <d v="2011-01-28T00:00:00"/>
    <n v="1"/>
    <x v="0"/>
    <x v="21"/>
    <x v="0"/>
    <b v="0"/>
    <x v="0"/>
    <n v="5"/>
    <x v="6"/>
    <x v="1"/>
    <n v="2"/>
    <x v="1"/>
    <n v="0.22"/>
    <n v="0.2273"/>
    <n v="0.75"/>
    <n v="0.1343"/>
    <n v="1"/>
    <n v="57"/>
    <n v="58"/>
    <n v="-0.51295812847461175"/>
    <x v="0"/>
    <n v="7.5520992994219466E-2"/>
    <x v="0"/>
  </r>
  <r>
    <n v="617"/>
    <d v="2011-01-28T00:00:00"/>
    <n v="1"/>
    <x v="0"/>
    <x v="22"/>
    <x v="0"/>
    <b v="0"/>
    <x v="0"/>
    <n v="5"/>
    <x v="6"/>
    <x v="1"/>
    <n v="1"/>
    <x v="0"/>
    <n v="0.24"/>
    <n v="0.21210000000000001"/>
    <n v="0.65"/>
    <n v="0.35820000000000002"/>
    <n v="0"/>
    <n v="26"/>
    <n v="26"/>
    <n v="-0.64378142061299781"/>
    <x v="0"/>
    <n v="-0.57174214851001204"/>
    <x v="0"/>
  </r>
  <r>
    <n v="618"/>
    <d v="2011-01-28T00:00:00"/>
    <n v="1"/>
    <x v="0"/>
    <x v="23"/>
    <x v="0"/>
    <b v="0"/>
    <x v="0"/>
    <n v="5"/>
    <x v="6"/>
    <x v="1"/>
    <n v="1"/>
    <x v="0"/>
    <n v="0.24"/>
    <n v="0.2273"/>
    <n v="0.6"/>
    <n v="0.22389999999999999"/>
    <n v="1"/>
    <n v="22"/>
    <n v="23"/>
    <n v="-0.51295812847461175"/>
    <x v="0"/>
    <n v="-0.65525997322023544"/>
    <x v="0"/>
  </r>
  <r>
    <n v="619"/>
    <d v="2011-01-29T00:00:00"/>
    <n v="1"/>
    <x v="0"/>
    <x v="0"/>
    <x v="0"/>
    <b v="0"/>
    <x v="0"/>
    <n v="6"/>
    <x v="0"/>
    <x v="0"/>
    <n v="1"/>
    <x v="0"/>
    <n v="0.22"/>
    <n v="0.19700000000000001"/>
    <n v="0.64"/>
    <n v="0.35820000000000002"/>
    <n v="2"/>
    <n v="26"/>
    <n v="28"/>
    <n v="-0.38213483633622569"/>
    <x v="0"/>
    <n v="-0.57174214851001204"/>
    <x v="0"/>
  </r>
  <r>
    <n v="620"/>
    <d v="2011-01-29T00:00:00"/>
    <n v="1"/>
    <x v="0"/>
    <x v="1"/>
    <x v="0"/>
    <b v="0"/>
    <x v="0"/>
    <n v="6"/>
    <x v="0"/>
    <x v="0"/>
    <n v="1"/>
    <x v="0"/>
    <n v="0.22"/>
    <n v="0.2273"/>
    <n v="0.64"/>
    <n v="0.19400000000000001"/>
    <n v="0"/>
    <n v="20"/>
    <n v="20"/>
    <n v="-0.64378142061299781"/>
    <x v="0"/>
    <n v="-0.69701888557534708"/>
    <x v="0"/>
  </r>
  <r>
    <n v="621"/>
    <d v="2011-01-29T00:00:00"/>
    <n v="1"/>
    <x v="0"/>
    <x v="2"/>
    <x v="0"/>
    <b v="0"/>
    <x v="0"/>
    <n v="6"/>
    <x v="0"/>
    <x v="0"/>
    <n v="1"/>
    <x v="0"/>
    <n v="0.22"/>
    <n v="0.2273"/>
    <n v="0.64"/>
    <n v="0.16420000000000001"/>
    <n v="0"/>
    <n v="15"/>
    <n v="15"/>
    <n v="-0.64378142061299781"/>
    <x v="0"/>
    <n v="-0.80141616646312641"/>
    <x v="0"/>
  </r>
  <r>
    <n v="622"/>
    <d v="2011-01-29T00:00:00"/>
    <n v="1"/>
    <x v="0"/>
    <x v="3"/>
    <x v="0"/>
    <b v="0"/>
    <x v="0"/>
    <n v="6"/>
    <x v="0"/>
    <x v="0"/>
    <n v="1"/>
    <x v="0"/>
    <n v="0.2"/>
    <n v="0.21210000000000001"/>
    <n v="0.64"/>
    <n v="0.1343"/>
    <n v="3"/>
    <n v="5"/>
    <n v="8"/>
    <n v="-0.25131154419783963"/>
    <x v="0"/>
    <n v="-1.010210728238685"/>
    <x v="0"/>
  </r>
  <r>
    <n v="623"/>
    <d v="2011-01-29T00:00:00"/>
    <n v="1"/>
    <x v="0"/>
    <x v="4"/>
    <x v="0"/>
    <b v="0"/>
    <x v="0"/>
    <n v="6"/>
    <x v="0"/>
    <x v="0"/>
    <n v="1"/>
    <x v="0"/>
    <n v="0.16"/>
    <n v="0.18179999999999999"/>
    <n v="0.69"/>
    <n v="0.1045"/>
    <n v="1"/>
    <n v="2"/>
    <n v="3"/>
    <n v="-0.51295812847461175"/>
    <x v="0"/>
    <n v="-1.0728490967713524"/>
    <x v="0"/>
  </r>
  <r>
    <n v="624"/>
    <d v="2011-01-29T00:00:00"/>
    <n v="1"/>
    <x v="0"/>
    <x v="6"/>
    <x v="1"/>
    <b v="0"/>
    <x v="0"/>
    <n v="6"/>
    <x v="0"/>
    <x v="0"/>
    <n v="1"/>
    <x v="0"/>
    <n v="0.16"/>
    <n v="0.18179999999999999"/>
    <n v="0.64"/>
    <n v="0.1343"/>
    <n v="0"/>
    <n v="2"/>
    <n v="2"/>
    <n v="-0.64378142061299781"/>
    <x v="0"/>
    <n v="-1.0728490967713524"/>
    <x v="0"/>
  </r>
  <r>
    <n v="625"/>
    <d v="2011-01-29T00:00:00"/>
    <n v="1"/>
    <x v="0"/>
    <x v="7"/>
    <x v="1"/>
    <b v="0"/>
    <x v="0"/>
    <n v="6"/>
    <x v="0"/>
    <x v="0"/>
    <n v="1"/>
    <x v="0"/>
    <n v="0.16"/>
    <n v="0.18179999999999999"/>
    <n v="0.59"/>
    <n v="0.1045"/>
    <n v="1"/>
    <n v="4"/>
    <n v="5"/>
    <n v="-0.51295812847461175"/>
    <x v="0"/>
    <n v="-1.0310901844162408"/>
    <x v="0"/>
  </r>
  <r>
    <n v="626"/>
    <d v="2011-01-29T00:00:00"/>
    <n v="1"/>
    <x v="0"/>
    <x v="8"/>
    <x v="2"/>
    <b v="0"/>
    <x v="0"/>
    <n v="6"/>
    <x v="0"/>
    <x v="0"/>
    <n v="1"/>
    <x v="0"/>
    <n v="0.18"/>
    <n v="0.19700000000000001"/>
    <n v="0.55000000000000004"/>
    <n v="0.16420000000000001"/>
    <n v="3"/>
    <n v="31"/>
    <n v="34"/>
    <n v="-0.25131154419783963"/>
    <x v="0"/>
    <n v="-0.46734486762223271"/>
    <x v="0"/>
  </r>
  <r>
    <n v="627"/>
    <d v="2011-01-29T00:00:00"/>
    <n v="1"/>
    <x v="0"/>
    <x v="9"/>
    <x v="2"/>
    <b v="0"/>
    <x v="0"/>
    <n v="6"/>
    <x v="0"/>
    <x v="0"/>
    <n v="1"/>
    <x v="0"/>
    <n v="0.18"/>
    <n v="0.21210000000000001"/>
    <n v="0.59"/>
    <n v="8.9599999999999999E-2"/>
    <n v="0"/>
    <n v="34"/>
    <n v="34"/>
    <n v="-0.64378142061299781"/>
    <x v="0"/>
    <n v="-0.40470649908956519"/>
    <x v="0"/>
  </r>
  <r>
    <n v="628"/>
    <d v="2011-01-29T00:00:00"/>
    <n v="1"/>
    <x v="0"/>
    <x v="10"/>
    <x v="2"/>
    <b v="0"/>
    <x v="0"/>
    <n v="6"/>
    <x v="0"/>
    <x v="0"/>
    <n v="2"/>
    <x v="1"/>
    <n v="0.18"/>
    <n v="0.21210000000000001"/>
    <n v="0.64"/>
    <n v="0.1045"/>
    <n v="4"/>
    <n v="51"/>
    <n v="55"/>
    <n v="-0.1204882520594536"/>
    <x v="0"/>
    <n v="-4.9755744071115653E-2"/>
    <x v="0"/>
  </r>
  <r>
    <n v="629"/>
    <d v="2011-01-29T00:00:00"/>
    <n v="1"/>
    <x v="0"/>
    <x v="11"/>
    <x v="2"/>
    <b v="0"/>
    <x v="0"/>
    <n v="6"/>
    <x v="0"/>
    <x v="0"/>
    <n v="2"/>
    <x v="1"/>
    <n v="0.18"/>
    <n v="0.19700000000000001"/>
    <n v="0.64"/>
    <n v="0.1343"/>
    <n v="4"/>
    <n v="60"/>
    <n v="64"/>
    <n v="-0.1204882520594536"/>
    <x v="0"/>
    <n v="0.13815936152688704"/>
    <x v="0"/>
  </r>
  <r>
    <n v="630"/>
    <d v="2011-01-29T00:00:00"/>
    <n v="1"/>
    <x v="0"/>
    <x v="12"/>
    <x v="3"/>
    <b v="0"/>
    <x v="0"/>
    <n v="6"/>
    <x v="0"/>
    <x v="0"/>
    <n v="2"/>
    <x v="1"/>
    <n v="0.2"/>
    <n v="0.19700000000000001"/>
    <n v="0.59"/>
    <n v="0.19400000000000001"/>
    <n v="12"/>
    <n v="66"/>
    <n v="78"/>
    <n v="0.92609808504763491"/>
    <x v="0"/>
    <n v="0.26343609859222217"/>
    <x v="0"/>
  </r>
  <r>
    <n v="631"/>
    <d v="2011-01-29T00:00:00"/>
    <n v="1"/>
    <x v="0"/>
    <x v="13"/>
    <x v="3"/>
    <b v="0"/>
    <x v="0"/>
    <n v="6"/>
    <x v="0"/>
    <x v="0"/>
    <n v="2"/>
    <x v="1"/>
    <n v="0.22"/>
    <n v="0.2273"/>
    <n v="0.55000000000000004"/>
    <n v="0.16420000000000001"/>
    <n v="9"/>
    <n v="56"/>
    <n v="65"/>
    <n v="0.53362820863247673"/>
    <x v="0"/>
    <n v="5.4641536816663616E-2"/>
    <x v="0"/>
  </r>
  <r>
    <n v="632"/>
    <d v="2011-01-29T00:00:00"/>
    <n v="1"/>
    <x v="0"/>
    <x v="14"/>
    <x v="3"/>
    <b v="0"/>
    <x v="0"/>
    <n v="6"/>
    <x v="0"/>
    <x v="0"/>
    <n v="2"/>
    <x v="1"/>
    <n v="0.22"/>
    <n v="0.2273"/>
    <n v="0.6"/>
    <n v="0.1343"/>
    <n v="10"/>
    <n v="89"/>
    <n v="99"/>
    <n v="0.66445150077086279"/>
    <x v="0"/>
    <n v="0.74366359067600685"/>
    <x v="0"/>
  </r>
  <r>
    <n v="633"/>
    <d v="2011-01-29T00:00:00"/>
    <n v="1"/>
    <x v="0"/>
    <x v="15"/>
    <x v="3"/>
    <b v="0"/>
    <x v="0"/>
    <n v="6"/>
    <x v="0"/>
    <x v="0"/>
    <n v="1"/>
    <x v="0"/>
    <n v="0.22"/>
    <n v="0.21210000000000001"/>
    <n v="0.69"/>
    <n v="0.25369999999999998"/>
    <n v="22"/>
    <n v="98"/>
    <n v="120"/>
    <n v="2.2343310064314954"/>
    <x v="1"/>
    <n v="0.93157869627400947"/>
    <x v="0"/>
  </r>
  <r>
    <n v="634"/>
    <d v="2011-01-29T00:00:00"/>
    <n v="1"/>
    <x v="0"/>
    <x v="16"/>
    <x v="3"/>
    <b v="0"/>
    <x v="0"/>
    <n v="6"/>
    <x v="0"/>
    <x v="0"/>
    <n v="1"/>
    <x v="0"/>
    <n v="0.24"/>
    <n v="0.2424"/>
    <n v="0.6"/>
    <n v="0.16420000000000001"/>
    <n v="19"/>
    <n v="88"/>
    <n v="107"/>
    <n v="1.8418611300163374"/>
    <x v="0"/>
    <n v="0.72278413449845091"/>
    <x v="0"/>
  </r>
  <r>
    <n v="635"/>
    <d v="2011-01-29T00:00:00"/>
    <n v="1"/>
    <x v="0"/>
    <x v="17"/>
    <x v="4"/>
    <b v="0"/>
    <x v="0"/>
    <n v="6"/>
    <x v="0"/>
    <x v="0"/>
    <n v="1"/>
    <x v="0"/>
    <n v="0.24"/>
    <n v="0.28789999999999999"/>
    <n v="0.6"/>
    <n v="0"/>
    <n v="9"/>
    <n v="82"/>
    <n v="91"/>
    <n v="0.53362820863247673"/>
    <x v="0"/>
    <n v="0.59750739743311576"/>
    <x v="0"/>
  </r>
  <r>
    <n v="636"/>
    <d v="2011-01-29T00:00:00"/>
    <n v="1"/>
    <x v="0"/>
    <x v="18"/>
    <x v="4"/>
    <b v="0"/>
    <x v="0"/>
    <n v="6"/>
    <x v="0"/>
    <x v="0"/>
    <n v="1"/>
    <x v="0"/>
    <n v="0.22"/>
    <n v="0.2273"/>
    <n v="0.69"/>
    <n v="0.1343"/>
    <n v="9"/>
    <n v="59"/>
    <n v="68"/>
    <n v="0.53362820863247673"/>
    <x v="0"/>
    <n v="0.11727990534933118"/>
    <x v="0"/>
  </r>
  <r>
    <n v="637"/>
    <d v="2011-01-29T00:00:00"/>
    <n v="1"/>
    <x v="0"/>
    <x v="19"/>
    <x v="4"/>
    <b v="0"/>
    <x v="0"/>
    <n v="6"/>
    <x v="0"/>
    <x v="0"/>
    <n v="2"/>
    <x v="1"/>
    <n v="0.22"/>
    <n v="0.21210000000000001"/>
    <n v="0.69"/>
    <n v="0.25369999999999998"/>
    <n v="6"/>
    <n v="52"/>
    <n v="58"/>
    <n v="0.14115833221731852"/>
    <x v="0"/>
    <n v="-2.8876287893559803E-2"/>
    <x v="0"/>
  </r>
  <r>
    <n v="638"/>
    <d v="2011-01-29T00:00:00"/>
    <n v="1"/>
    <x v="0"/>
    <x v="20"/>
    <x v="4"/>
    <b v="0"/>
    <x v="0"/>
    <n v="6"/>
    <x v="0"/>
    <x v="0"/>
    <n v="1"/>
    <x v="0"/>
    <n v="0.18"/>
    <n v="0.21210000000000001"/>
    <n v="0.74"/>
    <n v="8.9599999999999999E-2"/>
    <n v="1"/>
    <n v="42"/>
    <n v="43"/>
    <n v="-0.51295812847461175"/>
    <x v="0"/>
    <n v="-0.23767084966911833"/>
    <x v="0"/>
  </r>
  <r>
    <n v="639"/>
    <d v="2011-01-29T00:00:00"/>
    <n v="1"/>
    <x v="0"/>
    <x v="21"/>
    <x v="0"/>
    <b v="0"/>
    <x v="0"/>
    <n v="6"/>
    <x v="0"/>
    <x v="0"/>
    <n v="1"/>
    <x v="0"/>
    <n v="0.18"/>
    <n v="0.21210000000000001"/>
    <n v="0.74"/>
    <n v="8.9599999999999999E-2"/>
    <n v="1"/>
    <n v="35"/>
    <n v="36"/>
    <n v="-0.51295812847461175"/>
    <x v="0"/>
    <n v="-0.38382704291200931"/>
    <x v="0"/>
  </r>
  <r>
    <n v="640"/>
    <d v="2011-01-29T00:00:00"/>
    <n v="1"/>
    <x v="0"/>
    <x v="22"/>
    <x v="0"/>
    <b v="0"/>
    <x v="0"/>
    <n v="6"/>
    <x v="0"/>
    <x v="0"/>
    <n v="1"/>
    <x v="0"/>
    <n v="0.16"/>
    <n v="0.19700000000000001"/>
    <n v="0.8"/>
    <n v="8.9599999999999999E-2"/>
    <n v="4"/>
    <n v="28"/>
    <n v="32"/>
    <n v="-0.1204882520594536"/>
    <x v="0"/>
    <n v="-0.52998323615490028"/>
    <x v="0"/>
  </r>
  <r>
    <n v="641"/>
    <d v="2011-01-29T00:00:00"/>
    <n v="1"/>
    <x v="0"/>
    <x v="23"/>
    <x v="0"/>
    <b v="0"/>
    <x v="0"/>
    <n v="6"/>
    <x v="0"/>
    <x v="0"/>
    <n v="1"/>
    <x v="0"/>
    <n v="0.16"/>
    <n v="0.19700000000000001"/>
    <n v="0.8"/>
    <n v="8.9599999999999999E-2"/>
    <n v="3"/>
    <n v="30"/>
    <n v="33"/>
    <n v="-0.25131154419783963"/>
    <x v="0"/>
    <n v="-0.48822432379978858"/>
    <x v="0"/>
  </r>
  <r>
    <n v="642"/>
    <d v="2011-01-30T00:00:00"/>
    <n v="1"/>
    <x v="0"/>
    <x v="0"/>
    <x v="0"/>
    <b v="0"/>
    <x v="0"/>
    <n v="0"/>
    <x v="1"/>
    <x v="0"/>
    <n v="1"/>
    <x v="0"/>
    <n v="0.16"/>
    <n v="0.18179999999999999"/>
    <n v="0.8"/>
    <n v="0.1045"/>
    <n v="0"/>
    <n v="33"/>
    <n v="33"/>
    <n v="-0.64378142061299781"/>
    <x v="0"/>
    <n v="-0.42558595526712101"/>
    <x v="0"/>
  </r>
  <r>
    <n v="643"/>
    <d v="2011-01-30T00:00:00"/>
    <n v="1"/>
    <x v="0"/>
    <x v="1"/>
    <x v="0"/>
    <b v="0"/>
    <x v="0"/>
    <n v="0"/>
    <x v="1"/>
    <x v="0"/>
    <n v="1"/>
    <x v="0"/>
    <n v="0.14000000000000001"/>
    <n v="0.21210000000000001"/>
    <n v="0.8"/>
    <n v="0"/>
    <n v="7"/>
    <n v="22"/>
    <n v="29"/>
    <n v="0.27198162435570455"/>
    <x v="0"/>
    <n v="-0.65525997322023544"/>
    <x v="0"/>
  </r>
  <r>
    <n v="644"/>
    <d v="2011-01-30T00:00:00"/>
    <n v="1"/>
    <x v="0"/>
    <x v="2"/>
    <x v="0"/>
    <b v="0"/>
    <x v="0"/>
    <n v="0"/>
    <x v="1"/>
    <x v="0"/>
    <n v="1"/>
    <x v="0"/>
    <n v="0.16"/>
    <n v="0.2273"/>
    <n v="0.8"/>
    <n v="0"/>
    <n v="1"/>
    <n v="10"/>
    <n v="11"/>
    <n v="-0.51295812847461175"/>
    <x v="0"/>
    <n v="-0.90581344735090563"/>
    <x v="0"/>
  </r>
  <r>
    <n v="645"/>
    <d v="2011-01-30T00:00:00"/>
    <n v="1"/>
    <x v="0"/>
    <x v="3"/>
    <x v="0"/>
    <b v="0"/>
    <x v="0"/>
    <n v="0"/>
    <x v="1"/>
    <x v="0"/>
    <n v="1"/>
    <x v="0"/>
    <n v="0.14000000000000001"/>
    <n v="0.21210000000000001"/>
    <n v="0.93"/>
    <n v="0"/>
    <n v="1"/>
    <n v="7"/>
    <n v="8"/>
    <n v="-0.51295812847461175"/>
    <x v="0"/>
    <n v="-0.96845181588357321"/>
    <x v="0"/>
  </r>
  <r>
    <n v="646"/>
    <d v="2011-01-30T00:00:00"/>
    <n v="1"/>
    <x v="0"/>
    <x v="4"/>
    <x v="0"/>
    <b v="0"/>
    <x v="0"/>
    <n v="0"/>
    <x v="1"/>
    <x v="0"/>
    <n v="1"/>
    <x v="0"/>
    <n v="0.14000000000000001"/>
    <n v="0.21210000000000001"/>
    <n v="0.93"/>
    <n v="0"/>
    <n v="0"/>
    <n v="1"/>
    <n v="1"/>
    <n v="-0.64378142061299781"/>
    <x v="0"/>
    <n v="-1.0937285529489083"/>
    <x v="0"/>
  </r>
  <r>
    <n v="647"/>
    <d v="2011-01-30T00:00:00"/>
    <n v="1"/>
    <x v="0"/>
    <x v="5"/>
    <x v="1"/>
    <b v="0"/>
    <x v="0"/>
    <n v="0"/>
    <x v="1"/>
    <x v="0"/>
    <n v="1"/>
    <x v="0"/>
    <n v="0.14000000000000001"/>
    <n v="0.21210000000000001"/>
    <n v="0.86"/>
    <n v="0"/>
    <n v="0"/>
    <n v="3"/>
    <n v="3"/>
    <n v="-0.64378142061299781"/>
    <x v="0"/>
    <n v="-1.0519696405937966"/>
    <x v="0"/>
  </r>
  <r>
    <n v="648"/>
    <d v="2011-01-30T00:00:00"/>
    <n v="1"/>
    <x v="0"/>
    <x v="7"/>
    <x v="1"/>
    <b v="0"/>
    <x v="0"/>
    <n v="0"/>
    <x v="1"/>
    <x v="0"/>
    <n v="1"/>
    <x v="0"/>
    <n v="0.14000000000000001"/>
    <n v="0.21210000000000001"/>
    <n v="0.86"/>
    <n v="0"/>
    <n v="0"/>
    <n v="3"/>
    <n v="3"/>
    <n v="-0.64378142061299781"/>
    <x v="0"/>
    <n v="-1.0519696405937966"/>
    <x v="0"/>
  </r>
  <r>
    <n v="649"/>
    <d v="2011-01-30T00:00:00"/>
    <n v="1"/>
    <x v="0"/>
    <x v="8"/>
    <x v="2"/>
    <b v="0"/>
    <x v="0"/>
    <n v="0"/>
    <x v="1"/>
    <x v="0"/>
    <n v="2"/>
    <x v="1"/>
    <n v="0.14000000000000001"/>
    <n v="0.21210000000000001"/>
    <n v="0.86"/>
    <n v="0"/>
    <n v="1"/>
    <n v="11"/>
    <n v="12"/>
    <n v="-0.51295812847461175"/>
    <x v="0"/>
    <n v="-0.88493399117334981"/>
    <x v="0"/>
  </r>
  <r>
    <n v="650"/>
    <d v="2011-01-30T00:00:00"/>
    <n v="1"/>
    <x v="0"/>
    <x v="9"/>
    <x v="2"/>
    <b v="0"/>
    <x v="0"/>
    <n v="0"/>
    <x v="1"/>
    <x v="0"/>
    <n v="2"/>
    <x v="1"/>
    <n v="0.16"/>
    <n v="0.2273"/>
    <n v="0.8"/>
    <n v="0"/>
    <n v="4"/>
    <n v="34"/>
    <n v="38"/>
    <n v="-0.1204882520594536"/>
    <x v="0"/>
    <n v="-0.40470649908956519"/>
    <x v="0"/>
  </r>
  <r>
    <n v="651"/>
    <d v="2011-01-30T00:00:00"/>
    <n v="1"/>
    <x v="0"/>
    <x v="10"/>
    <x v="2"/>
    <b v="0"/>
    <x v="0"/>
    <n v="0"/>
    <x v="1"/>
    <x v="0"/>
    <n v="2"/>
    <x v="1"/>
    <n v="0.18"/>
    <n v="0.2424"/>
    <n v="0.8"/>
    <n v="0"/>
    <n v="7"/>
    <n v="57"/>
    <n v="64"/>
    <n v="0.27198162435570455"/>
    <x v="0"/>
    <n v="7.5520992994219466E-2"/>
    <x v="0"/>
  </r>
  <r>
    <n v="652"/>
    <d v="2011-01-30T00:00:00"/>
    <n v="1"/>
    <x v="0"/>
    <x v="11"/>
    <x v="2"/>
    <b v="0"/>
    <x v="0"/>
    <n v="0"/>
    <x v="1"/>
    <x v="0"/>
    <n v="1"/>
    <x v="0"/>
    <n v="0.22"/>
    <n v="0.2727"/>
    <n v="0.75"/>
    <n v="0"/>
    <n v="9"/>
    <n v="50"/>
    <n v="59"/>
    <n v="0.53362820863247673"/>
    <x v="0"/>
    <n v="-7.0635200248671509E-2"/>
    <x v="0"/>
  </r>
  <r>
    <n v="653"/>
    <d v="2011-01-30T00:00:00"/>
    <n v="1"/>
    <x v="0"/>
    <x v="12"/>
    <x v="3"/>
    <b v="0"/>
    <x v="0"/>
    <n v="0"/>
    <x v="1"/>
    <x v="0"/>
    <n v="1"/>
    <x v="0"/>
    <n v="0.3"/>
    <n v="0.31819999999999998"/>
    <n v="0.52"/>
    <n v="0.1045"/>
    <n v="10"/>
    <n v="87"/>
    <n v="97"/>
    <n v="0.66445150077086279"/>
    <x v="0"/>
    <n v="0.70190467832089509"/>
    <x v="0"/>
  </r>
  <r>
    <n v="654"/>
    <d v="2011-01-30T00:00:00"/>
    <n v="1"/>
    <x v="0"/>
    <x v="13"/>
    <x v="3"/>
    <b v="0"/>
    <x v="0"/>
    <n v="0"/>
    <x v="1"/>
    <x v="0"/>
    <n v="1"/>
    <x v="0"/>
    <n v="0.28000000000000003"/>
    <n v="0.28789999999999999"/>
    <n v="0.61"/>
    <n v="0.1045"/>
    <n v="13"/>
    <n v="71"/>
    <n v="84"/>
    <n v="1.0569213771860211"/>
    <x v="0"/>
    <n v="0.36783337948000144"/>
    <x v="0"/>
  </r>
  <r>
    <n v="655"/>
    <d v="2011-01-30T00:00:00"/>
    <n v="1"/>
    <x v="0"/>
    <x v="14"/>
    <x v="3"/>
    <b v="0"/>
    <x v="0"/>
    <n v="0"/>
    <x v="1"/>
    <x v="0"/>
    <n v="1"/>
    <x v="0"/>
    <n v="0.28000000000000003"/>
    <n v="0.30299999999999999"/>
    <n v="0.61"/>
    <n v="8.9599999999999999E-2"/>
    <n v="18"/>
    <n v="104"/>
    <n v="122"/>
    <n v="1.7110378378779514"/>
    <x v="0"/>
    <n v="1.0568554333393445"/>
    <x v="0"/>
  </r>
  <r>
    <n v="656"/>
    <d v="2011-01-30T00:00:00"/>
    <n v="1"/>
    <x v="0"/>
    <x v="15"/>
    <x v="3"/>
    <b v="0"/>
    <x v="0"/>
    <n v="0"/>
    <x v="1"/>
    <x v="0"/>
    <n v="1"/>
    <x v="0"/>
    <n v="0.3"/>
    <n v="0.33329999999999999"/>
    <n v="0.56000000000000005"/>
    <n v="0"/>
    <n v="14"/>
    <n v="95"/>
    <n v="109"/>
    <n v="1.1877446693244071"/>
    <x v="0"/>
    <n v="0.86894032774134189"/>
    <x v="0"/>
  </r>
  <r>
    <n v="657"/>
    <d v="2011-01-30T00:00:00"/>
    <n v="1"/>
    <x v="0"/>
    <x v="16"/>
    <x v="3"/>
    <b v="0"/>
    <x v="0"/>
    <n v="0"/>
    <x v="1"/>
    <x v="0"/>
    <n v="1"/>
    <x v="0"/>
    <n v="0.3"/>
    <n v="0.33329999999999999"/>
    <n v="0.56000000000000005"/>
    <n v="0"/>
    <n v="19"/>
    <n v="104"/>
    <n v="123"/>
    <n v="1.8418611300163374"/>
    <x v="0"/>
    <n v="1.0568554333393445"/>
    <x v="0"/>
  </r>
  <r>
    <n v="658"/>
    <d v="2011-01-30T00:00:00"/>
    <n v="1"/>
    <x v="0"/>
    <x v="17"/>
    <x v="4"/>
    <b v="0"/>
    <x v="0"/>
    <n v="0"/>
    <x v="1"/>
    <x v="0"/>
    <n v="1"/>
    <x v="0"/>
    <n v="0.3"/>
    <n v="0.28789999999999999"/>
    <n v="0.56000000000000005"/>
    <n v="0.19400000000000001"/>
    <n v="6"/>
    <n v="71"/>
    <n v="77"/>
    <n v="0.14115833221731852"/>
    <x v="0"/>
    <n v="0.36783337948000144"/>
    <x v="0"/>
  </r>
  <r>
    <n v="659"/>
    <d v="2011-01-30T00:00:00"/>
    <n v="1"/>
    <x v="0"/>
    <x v="18"/>
    <x v="4"/>
    <b v="0"/>
    <x v="0"/>
    <n v="0"/>
    <x v="1"/>
    <x v="0"/>
    <n v="1"/>
    <x v="0"/>
    <n v="0.26"/>
    <n v="0.2576"/>
    <n v="0.65"/>
    <n v="0.16420000000000001"/>
    <n v="8"/>
    <n v="57"/>
    <n v="65"/>
    <n v="0.40280491649409061"/>
    <x v="0"/>
    <n v="7.5520992994219466E-2"/>
    <x v="0"/>
  </r>
  <r>
    <n v="660"/>
    <d v="2011-01-30T00:00:00"/>
    <n v="1"/>
    <x v="0"/>
    <x v="19"/>
    <x v="4"/>
    <b v="0"/>
    <x v="0"/>
    <n v="0"/>
    <x v="1"/>
    <x v="0"/>
    <n v="1"/>
    <x v="0"/>
    <n v="0.26"/>
    <n v="0.2576"/>
    <n v="0.65"/>
    <n v="0.19400000000000001"/>
    <n v="9"/>
    <n v="46"/>
    <n v="55"/>
    <n v="0.53362820863247673"/>
    <x v="0"/>
    <n v="-0.15415302495889494"/>
    <x v="0"/>
  </r>
  <r>
    <n v="661"/>
    <d v="2011-01-30T00:00:00"/>
    <n v="1"/>
    <x v="0"/>
    <x v="20"/>
    <x v="4"/>
    <b v="0"/>
    <x v="0"/>
    <n v="0"/>
    <x v="1"/>
    <x v="0"/>
    <n v="2"/>
    <x v="1"/>
    <n v="0.26"/>
    <n v="0.2727"/>
    <n v="0.65"/>
    <n v="0.1045"/>
    <n v="3"/>
    <n v="30"/>
    <n v="33"/>
    <n v="-0.25131154419783963"/>
    <x v="0"/>
    <n v="-0.48822432379978858"/>
    <x v="0"/>
  </r>
  <r>
    <n v="662"/>
    <d v="2011-01-30T00:00:00"/>
    <n v="1"/>
    <x v="0"/>
    <x v="21"/>
    <x v="0"/>
    <b v="0"/>
    <x v="0"/>
    <n v="0"/>
    <x v="1"/>
    <x v="0"/>
    <n v="2"/>
    <x v="1"/>
    <n v="0.24"/>
    <n v="0.2424"/>
    <n v="0.7"/>
    <n v="0.16420000000000001"/>
    <n v="3"/>
    <n v="25"/>
    <n v="28"/>
    <n v="-0.25131154419783963"/>
    <x v="0"/>
    <n v="-0.59262160468756786"/>
    <x v="0"/>
  </r>
  <r>
    <n v="663"/>
    <d v="2011-01-30T00:00:00"/>
    <n v="1"/>
    <x v="0"/>
    <x v="22"/>
    <x v="0"/>
    <b v="0"/>
    <x v="0"/>
    <n v="0"/>
    <x v="1"/>
    <x v="0"/>
    <n v="2"/>
    <x v="1"/>
    <n v="0.24"/>
    <n v="0.2273"/>
    <n v="0.7"/>
    <n v="0.19400000000000001"/>
    <n v="2"/>
    <n v="19"/>
    <n v="21"/>
    <n v="-0.38213483633622569"/>
    <x v="0"/>
    <n v="-0.71789834175290301"/>
    <x v="0"/>
  </r>
  <r>
    <n v="664"/>
    <d v="2011-01-30T00:00:00"/>
    <n v="1"/>
    <x v="0"/>
    <x v="23"/>
    <x v="0"/>
    <b v="0"/>
    <x v="0"/>
    <n v="0"/>
    <x v="1"/>
    <x v="0"/>
    <n v="2"/>
    <x v="1"/>
    <n v="0.24"/>
    <n v="0.21210000000000001"/>
    <n v="0.65"/>
    <n v="0.28360000000000002"/>
    <n v="5"/>
    <n v="16"/>
    <n v="21"/>
    <n v="1.0335040078932463E-2"/>
    <x v="0"/>
    <n v="-0.78053671028557059"/>
    <x v="0"/>
  </r>
  <r>
    <n v="665"/>
    <d v="2011-01-31T00:00:00"/>
    <n v="1"/>
    <x v="0"/>
    <x v="0"/>
    <x v="0"/>
    <b v="0"/>
    <x v="0"/>
    <n v="1"/>
    <x v="2"/>
    <x v="1"/>
    <n v="2"/>
    <x v="1"/>
    <n v="0.24"/>
    <n v="0.2273"/>
    <n v="0.65"/>
    <n v="0.22389999999999999"/>
    <n v="1"/>
    <n v="6"/>
    <n v="7"/>
    <n v="-0.51295812847461175"/>
    <x v="0"/>
    <n v="-0.98933127206112903"/>
    <x v="0"/>
  </r>
  <r>
    <n v="666"/>
    <d v="2011-01-31T00:00:00"/>
    <n v="1"/>
    <x v="0"/>
    <x v="1"/>
    <x v="0"/>
    <b v="0"/>
    <x v="0"/>
    <n v="1"/>
    <x v="2"/>
    <x v="1"/>
    <n v="1"/>
    <x v="0"/>
    <n v="0.22"/>
    <n v="0.21210000000000001"/>
    <n v="0.64"/>
    <n v="0.25369999999999998"/>
    <n v="2"/>
    <n v="5"/>
    <n v="7"/>
    <n v="-0.38213483633622569"/>
    <x v="0"/>
    <n v="-1.010210728238685"/>
    <x v="0"/>
  </r>
  <r>
    <n v="667"/>
    <d v="2011-01-31T00:00:00"/>
    <n v="1"/>
    <x v="0"/>
    <x v="2"/>
    <x v="0"/>
    <b v="0"/>
    <x v="0"/>
    <n v="1"/>
    <x v="2"/>
    <x v="1"/>
    <n v="1"/>
    <x v="0"/>
    <n v="0.22"/>
    <n v="0.2273"/>
    <n v="0.64"/>
    <n v="0.19400000000000001"/>
    <n v="0"/>
    <n v="1"/>
    <n v="1"/>
    <n v="-0.64378142061299781"/>
    <x v="0"/>
    <n v="-1.0937285529489083"/>
    <x v="0"/>
  </r>
  <r>
    <n v="668"/>
    <d v="2011-01-31T00:00:00"/>
    <n v="1"/>
    <x v="0"/>
    <x v="3"/>
    <x v="0"/>
    <b v="0"/>
    <x v="0"/>
    <n v="1"/>
    <x v="2"/>
    <x v="1"/>
    <n v="1"/>
    <x v="0"/>
    <n v="0.22"/>
    <n v="0.2273"/>
    <n v="0.64"/>
    <n v="0.19400000000000001"/>
    <n v="0"/>
    <n v="2"/>
    <n v="2"/>
    <n v="-0.64378142061299781"/>
    <x v="0"/>
    <n v="-1.0728490967713524"/>
    <x v="0"/>
  </r>
  <r>
    <n v="669"/>
    <d v="2011-01-31T00:00:00"/>
    <n v="1"/>
    <x v="0"/>
    <x v="4"/>
    <x v="0"/>
    <b v="0"/>
    <x v="0"/>
    <n v="1"/>
    <x v="2"/>
    <x v="1"/>
    <n v="1"/>
    <x v="0"/>
    <n v="0.2"/>
    <n v="0.19700000000000001"/>
    <n v="0.59"/>
    <n v="0.22389999999999999"/>
    <n v="0"/>
    <n v="2"/>
    <n v="2"/>
    <n v="-0.64378142061299781"/>
    <x v="0"/>
    <n v="-1.0728490967713524"/>
    <x v="0"/>
  </r>
  <r>
    <n v="670"/>
    <d v="2011-01-31T00:00:00"/>
    <n v="1"/>
    <x v="0"/>
    <x v="5"/>
    <x v="1"/>
    <b v="0"/>
    <x v="0"/>
    <n v="1"/>
    <x v="2"/>
    <x v="1"/>
    <n v="1"/>
    <x v="0"/>
    <n v="0.18"/>
    <n v="0.16669999999999999"/>
    <n v="0.64"/>
    <n v="0.28360000000000002"/>
    <n v="0"/>
    <n v="8"/>
    <n v="8"/>
    <n v="-0.64378142061299781"/>
    <x v="0"/>
    <n v="-0.94757235970601739"/>
    <x v="0"/>
  </r>
  <r>
    <n v="671"/>
    <d v="2011-01-31T00:00:00"/>
    <n v="1"/>
    <x v="0"/>
    <x v="6"/>
    <x v="1"/>
    <b v="0"/>
    <x v="0"/>
    <n v="1"/>
    <x v="2"/>
    <x v="1"/>
    <n v="1"/>
    <x v="0"/>
    <n v="0.16"/>
    <n v="0.13639999999999999"/>
    <n v="0.69"/>
    <n v="0.32840000000000003"/>
    <n v="0"/>
    <n v="37"/>
    <n v="37"/>
    <n v="-0.64378142061299781"/>
    <x v="0"/>
    <n v="-0.34206813055689761"/>
    <x v="0"/>
  </r>
  <r>
    <n v="672"/>
    <d v="2011-01-31T00:00:00"/>
    <n v="1"/>
    <x v="0"/>
    <x v="7"/>
    <x v="1"/>
    <b v="0"/>
    <x v="0"/>
    <n v="1"/>
    <x v="2"/>
    <x v="1"/>
    <n v="2"/>
    <x v="1"/>
    <n v="0.16"/>
    <n v="0.13639999999999999"/>
    <n v="0.64"/>
    <n v="0.28360000000000002"/>
    <n v="1"/>
    <n v="71"/>
    <n v="72"/>
    <n v="-0.51295812847461175"/>
    <x v="0"/>
    <n v="0.36783337948000144"/>
    <x v="0"/>
  </r>
  <r>
    <n v="673"/>
    <d v="2011-01-31T00:00:00"/>
    <n v="1"/>
    <x v="0"/>
    <x v="8"/>
    <x v="2"/>
    <b v="0"/>
    <x v="0"/>
    <n v="1"/>
    <x v="2"/>
    <x v="1"/>
    <n v="2"/>
    <x v="1"/>
    <n v="0.16"/>
    <n v="0.13639999999999999"/>
    <n v="0.59"/>
    <n v="0.28360000000000002"/>
    <n v="3"/>
    <n v="182"/>
    <n v="185"/>
    <n v="-0.25131154419783963"/>
    <x v="0"/>
    <n v="2.6854530151887013"/>
    <x v="1"/>
  </r>
  <r>
    <n v="674"/>
    <d v="2011-01-31T00:00:00"/>
    <n v="1"/>
    <x v="0"/>
    <x v="9"/>
    <x v="2"/>
    <b v="0"/>
    <x v="0"/>
    <n v="1"/>
    <x v="2"/>
    <x v="1"/>
    <n v="2"/>
    <x v="1"/>
    <n v="0.16"/>
    <n v="0.13639999999999999"/>
    <n v="0.59"/>
    <n v="0.29849999999999999"/>
    <n v="0"/>
    <n v="112"/>
    <n v="112"/>
    <n v="-0.64378142061299781"/>
    <x v="0"/>
    <n v="1.2238910827597915"/>
    <x v="0"/>
  </r>
  <r>
    <n v="675"/>
    <d v="2011-01-31T00:00:00"/>
    <n v="1"/>
    <x v="0"/>
    <x v="10"/>
    <x v="2"/>
    <b v="0"/>
    <x v="0"/>
    <n v="1"/>
    <x v="2"/>
    <x v="1"/>
    <n v="2"/>
    <x v="1"/>
    <n v="0.16"/>
    <n v="0.1515"/>
    <n v="0.59"/>
    <n v="0.19400000000000001"/>
    <n v="1"/>
    <n v="68"/>
    <n v="69"/>
    <n v="-0.51295812847461175"/>
    <x v="0"/>
    <n v="0.30519501094733387"/>
    <x v="0"/>
  </r>
  <r>
    <n v="676"/>
    <d v="2011-01-31T00:00:00"/>
    <n v="1"/>
    <x v="0"/>
    <x v="11"/>
    <x v="2"/>
    <b v="0"/>
    <x v="0"/>
    <n v="1"/>
    <x v="2"/>
    <x v="1"/>
    <n v="2"/>
    <x v="1"/>
    <n v="0.16"/>
    <n v="0.1515"/>
    <n v="0.59"/>
    <n v="0.19400000000000001"/>
    <n v="2"/>
    <n v="46"/>
    <n v="48"/>
    <n v="-0.38213483633622569"/>
    <x v="0"/>
    <n v="-0.15415302495889494"/>
    <x v="0"/>
  </r>
  <r>
    <n v="677"/>
    <d v="2011-01-31T00:00:00"/>
    <n v="1"/>
    <x v="0"/>
    <x v="12"/>
    <x v="3"/>
    <b v="0"/>
    <x v="0"/>
    <n v="1"/>
    <x v="2"/>
    <x v="1"/>
    <n v="2"/>
    <x v="1"/>
    <n v="0.18"/>
    <n v="0.21210000000000001"/>
    <n v="0.55000000000000004"/>
    <n v="0.1045"/>
    <n v="6"/>
    <n v="62"/>
    <n v="68"/>
    <n v="0.14115833221731852"/>
    <x v="0"/>
    <n v="0.17991827388199874"/>
    <x v="0"/>
  </r>
  <r>
    <n v="678"/>
    <d v="2011-01-31T00:00:00"/>
    <n v="1"/>
    <x v="0"/>
    <x v="13"/>
    <x v="3"/>
    <b v="0"/>
    <x v="0"/>
    <n v="1"/>
    <x v="2"/>
    <x v="1"/>
    <n v="2"/>
    <x v="1"/>
    <n v="0.16"/>
    <n v="0.2273"/>
    <n v="0.59"/>
    <n v="0"/>
    <n v="2"/>
    <n v="52"/>
    <n v="54"/>
    <n v="-0.38213483633622569"/>
    <x v="0"/>
    <n v="-2.8876287893559803E-2"/>
    <x v="0"/>
  </r>
  <r>
    <n v="679"/>
    <d v="2011-01-31T00:00:00"/>
    <n v="1"/>
    <x v="0"/>
    <x v="14"/>
    <x v="3"/>
    <b v="0"/>
    <x v="0"/>
    <n v="1"/>
    <x v="2"/>
    <x v="1"/>
    <n v="2"/>
    <x v="1"/>
    <n v="0.18"/>
    <n v="0.19700000000000001"/>
    <n v="0.55000000000000004"/>
    <n v="0.1343"/>
    <n v="1"/>
    <n v="85"/>
    <n v="86"/>
    <n v="-0.51295812847461175"/>
    <x v="0"/>
    <n v="0.66014576596578334"/>
    <x v="0"/>
  </r>
  <r>
    <n v="680"/>
    <d v="2011-01-31T00:00:00"/>
    <n v="1"/>
    <x v="0"/>
    <x v="15"/>
    <x v="3"/>
    <b v="0"/>
    <x v="0"/>
    <n v="1"/>
    <x v="2"/>
    <x v="1"/>
    <n v="2"/>
    <x v="1"/>
    <n v="0.16"/>
    <n v="0.18179999999999999"/>
    <n v="0.59"/>
    <n v="0.1343"/>
    <n v="3"/>
    <n v="41"/>
    <n v="44"/>
    <n v="-0.25131154419783963"/>
    <x v="0"/>
    <n v="-0.25855030584667421"/>
    <x v="0"/>
  </r>
  <r>
    <n v="681"/>
    <d v="2011-01-31T00:00:00"/>
    <n v="1"/>
    <x v="0"/>
    <x v="16"/>
    <x v="3"/>
    <b v="0"/>
    <x v="0"/>
    <n v="1"/>
    <x v="2"/>
    <x v="1"/>
    <n v="2"/>
    <x v="1"/>
    <n v="0.16"/>
    <n v="0.18179999999999999"/>
    <n v="0.56000000000000005"/>
    <n v="0.19400000000000001"/>
    <n v="3"/>
    <n v="83"/>
    <n v="86"/>
    <n v="-0.25131154419783963"/>
    <x v="0"/>
    <n v="0.61838685361067169"/>
    <x v="0"/>
  </r>
  <r>
    <n v="682"/>
    <d v="2011-01-31T00:00:00"/>
    <n v="1"/>
    <x v="0"/>
    <x v="17"/>
    <x v="4"/>
    <b v="0"/>
    <x v="0"/>
    <n v="1"/>
    <x v="2"/>
    <x v="1"/>
    <n v="2"/>
    <x v="1"/>
    <n v="0.16"/>
    <n v="0.1515"/>
    <n v="0.59"/>
    <n v="0.19400000000000001"/>
    <n v="6"/>
    <n v="155"/>
    <n v="161"/>
    <n v="0.14115833221731852"/>
    <x v="0"/>
    <n v="2.121707698394693"/>
    <x v="1"/>
  </r>
  <r>
    <n v="683"/>
    <d v="2011-01-31T00:00:00"/>
    <n v="1"/>
    <x v="0"/>
    <x v="18"/>
    <x v="4"/>
    <b v="0"/>
    <x v="0"/>
    <n v="1"/>
    <x v="2"/>
    <x v="1"/>
    <n v="2"/>
    <x v="1"/>
    <n v="0.16"/>
    <n v="0.1515"/>
    <n v="0.55000000000000004"/>
    <n v="0.22389999999999999"/>
    <n v="3"/>
    <n v="153"/>
    <n v="156"/>
    <n v="-0.25131154419783963"/>
    <x v="0"/>
    <n v="2.0799487860395813"/>
    <x v="1"/>
  </r>
  <r>
    <n v="684"/>
    <d v="2011-01-31T00:00:00"/>
    <n v="1"/>
    <x v="0"/>
    <x v="19"/>
    <x v="4"/>
    <b v="0"/>
    <x v="0"/>
    <n v="1"/>
    <x v="2"/>
    <x v="1"/>
    <n v="1"/>
    <x v="0"/>
    <n v="0.3"/>
    <n v="0.31819999999999998"/>
    <n v="0.61"/>
    <n v="0.1045"/>
    <n v="3"/>
    <n v="108"/>
    <n v="111"/>
    <n v="-0.25131154419783963"/>
    <x v="0"/>
    <n v="1.140373258049568"/>
    <x v="0"/>
  </r>
  <r>
    <n v="685"/>
    <d v="2011-01-31T00:00:00"/>
    <n v="1"/>
    <x v="0"/>
    <x v="20"/>
    <x v="4"/>
    <b v="0"/>
    <x v="0"/>
    <n v="1"/>
    <x v="2"/>
    <x v="1"/>
    <n v="3"/>
    <x v="2"/>
    <n v="0.16"/>
    <n v="0.16669999999999999"/>
    <n v="0.59"/>
    <n v="0.16420000000000001"/>
    <n v="0"/>
    <n v="78"/>
    <n v="78"/>
    <n v="-0.64378142061299781"/>
    <x v="0"/>
    <n v="0.51398957272289236"/>
    <x v="0"/>
  </r>
  <r>
    <n v="686"/>
    <d v="2011-01-31T00:00:00"/>
    <n v="1"/>
    <x v="0"/>
    <x v="21"/>
    <x v="0"/>
    <b v="0"/>
    <x v="0"/>
    <n v="1"/>
    <x v="2"/>
    <x v="1"/>
    <n v="3"/>
    <x v="2"/>
    <n v="0.16"/>
    <n v="0.19700000000000001"/>
    <n v="0.59"/>
    <n v="8.9599999999999999E-2"/>
    <n v="3"/>
    <n v="53"/>
    <n v="56"/>
    <n v="-0.25131154419783963"/>
    <x v="0"/>
    <n v="-7.9968317160039482E-3"/>
    <x v="0"/>
  </r>
  <r>
    <n v="687"/>
    <d v="2011-01-31T00:00:00"/>
    <n v="1"/>
    <x v="0"/>
    <x v="22"/>
    <x v="0"/>
    <b v="0"/>
    <x v="0"/>
    <n v="1"/>
    <x v="2"/>
    <x v="1"/>
    <n v="2"/>
    <x v="1"/>
    <n v="0.16"/>
    <n v="0.18179999999999999"/>
    <n v="0.59"/>
    <n v="0.1045"/>
    <n v="0"/>
    <n v="34"/>
    <n v="34"/>
    <n v="-0.64378142061299781"/>
    <x v="0"/>
    <n v="-0.40470649908956519"/>
    <x v="0"/>
  </r>
  <r>
    <n v="688"/>
    <d v="2011-01-31T00:00:00"/>
    <n v="1"/>
    <x v="0"/>
    <x v="23"/>
    <x v="0"/>
    <b v="0"/>
    <x v="0"/>
    <n v="1"/>
    <x v="2"/>
    <x v="1"/>
    <n v="2"/>
    <x v="1"/>
    <n v="0.16"/>
    <n v="0.19700000000000001"/>
    <n v="0.64"/>
    <n v="8.9599999999999999E-2"/>
    <n v="2"/>
    <n v="15"/>
    <n v="17"/>
    <n v="-0.38213483633622569"/>
    <x v="0"/>
    <n v="-0.80141616646312641"/>
    <x v="0"/>
  </r>
  <r>
    <n v="689"/>
    <d v="2011-02-01T00:00:00"/>
    <n v="2"/>
    <x v="1"/>
    <x v="0"/>
    <x v="0"/>
    <b v="0"/>
    <x v="0"/>
    <n v="2"/>
    <x v="3"/>
    <x v="1"/>
    <n v="2"/>
    <x v="1"/>
    <n v="0.16"/>
    <n v="0.18179999999999999"/>
    <n v="0.64"/>
    <n v="0.1045"/>
    <n v="2"/>
    <n v="6"/>
    <n v="8"/>
    <n v="-0.38213483633622569"/>
    <x v="0"/>
    <n v="-0.98933127206112903"/>
    <x v="0"/>
  </r>
  <r>
    <n v="690"/>
    <d v="2011-02-01T00:00:00"/>
    <n v="2"/>
    <x v="1"/>
    <x v="1"/>
    <x v="0"/>
    <b v="0"/>
    <x v="0"/>
    <n v="2"/>
    <x v="3"/>
    <x v="1"/>
    <n v="2"/>
    <x v="1"/>
    <n v="0.16"/>
    <n v="0.18179999999999999"/>
    <n v="0.69"/>
    <n v="0.1045"/>
    <n v="0"/>
    <n v="3"/>
    <n v="3"/>
    <n v="-0.64378142061299781"/>
    <x v="0"/>
    <n v="-1.0519696405937966"/>
    <x v="0"/>
  </r>
  <r>
    <n v="691"/>
    <d v="2011-02-01T00:00:00"/>
    <n v="2"/>
    <x v="1"/>
    <x v="2"/>
    <x v="0"/>
    <b v="0"/>
    <x v="0"/>
    <n v="2"/>
    <x v="3"/>
    <x v="1"/>
    <n v="2"/>
    <x v="1"/>
    <n v="0.16"/>
    <n v="0.2273"/>
    <n v="0.69"/>
    <n v="0"/>
    <n v="0"/>
    <n v="2"/>
    <n v="2"/>
    <n v="-0.64378142061299781"/>
    <x v="0"/>
    <n v="-1.0728490967713524"/>
    <x v="0"/>
  </r>
  <r>
    <n v="692"/>
    <d v="2011-02-01T00:00:00"/>
    <n v="2"/>
    <x v="1"/>
    <x v="3"/>
    <x v="0"/>
    <b v="0"/>
    <x v="0"/>
    <n v="2"/>
    <x v="3"/>
    <x v="1"/>
    <n v="2"/>
    <x v="1"/>
    <n v="0.16"/>
    <n v="0.2273"/>
    <n v="0.69"/>
    <n v="0"/>
    <n v="0"/>
    <n v="2"/>
    <n v="2"/>
    <n v="-0.64378142061299781"/>
    <x v="0"/>
    <n v="-1.0728490967713524"/>
    <x v="0"/>
  </r>
  <r>
    <n v="693"/>
    <d v="2011-02-01T00:00:00"/>
    <n v="2"/>
    <x v="1"/>
    <x v="5"/>
    <x v="1"/>
    <b v="0"/>
    <x v="0"/>
    <n v="2"/>
    <x v="3"/>
    <x v="1"/>
    <n v="3"/>
    <x v="2"/>
    <n v="0.14000000000000001"/>
    <n v="0.21210000000000001"/>
    <n v="0.93"/>
    <n v="0"/>
    <n v="0"/>
    <n v="3"/>
    <n v="3"/>
    <n v="-0.64378142061299781"/>
    <x v="0"/>
    <n v="-1.0519696405937966"/>
    <x v="0"/>
  </r>
  <r>
    <n v="694"/>
    <d v="2011-02-01T00:00:00"/>
    <n v="2"/>
    <x v="1"/>
    <x v="6"/>
    <x v="1"/>
    <b v="0"/>
    <x v="0"/>
    <n v="2"/>
    <x v="3"/>
    <x v="1"/>
    <n v="3"/>
    <x v="2"/>
    <n v="0.14000000000000001"/>
    <n v="0.21210000000000001"/>
    <n v="0.93"/>
    <n v="0"/>
    <n v="0"/>
    <n v="22"/>
    <n v="22"/>
    <n v="-0.64378142061299781"/>
    <x v="0"/>
    <n v="-0.65525997322023544"/>
    <x v="0"/>
  </r>
  <r>
    <n v="695"/>
    <d v="2011-02-01T00:00:00"/>
    <n v="2"/>
    <x v="1"/>
    <x v="7"/>
    <x v="1"/>
    <b v="0"/>
    <x v="0"/>
    <n v="2"/>
    <x v="3"/>
    <x v="1"/>
    <n v="3"/>
    <x v="2"/>
    <n v="0.16"/>
    <n v="0.2273"/>
    <n v="0.93"/>
    <n v="0"/>
    <n v="0"/>
    <n v="52"/>
    <n v="52"/>
    <n v="-0.64378142061299781"/>
    <x v="0"/>
    <n v="-2.8876287893559803E-2"/>
    <x v="0"/>
  </r>
  <r>
    <n v="696"/>
    <d v="2011-02-01T00:00:00"/>
    <n v="2"/>
    <x v="1"/>
    <x v="8"/>
    <x v="2"/>
    <b v="0"/>
    <x v="0"/>
    <n v="2"/>
    <x v="3"/>
    <x v="1"/>
    <n v="3"/>
    <x v="2"/>
    <n v="0.16"/>
    <n v="0.2273"/>
    <n v="0.93"/>
    <n v="0"/>
    <n v="3"/>
    <n v="132"/>
    <n v="135"/>
    <n v="-0.25131154419783963"/>
    <x v="0"/>
    <n v="1.6414802063109084"/>
    <x v="0"/>
  </r>
  <r>
    <n v="697"/>
    <d v="2011-02-01T00:00:00"/>
    <n v="2"/>
    <x v="1"/>
    <x v="9"/>
    <x v="2"/>
    <b v="0"/>
    <x v="0"/>
    <n v="2"/>
    <x v="3"/>
    <x v="1"/>
    <n v="2"/>
    <x v="1"/>
    <n v="0.16"/>
    <n v="0.2273"/>
    <n v="0.93"/>
    <n v="0"/>
    <n v="2"/>
    <n v="114"/>
    <n v="116"/>
    <n v="-0.38213483633622569"/>
    <x v="0"/>
    <n v="1.2656499951149032"/>
    <x v="0"/>
  </r>
  <r>
    <n v="698"/>
    <d v="2011-02-01T00:00:00"/>
    <n v="2"/>
    <x v="1"/>
    <x v="10"/>
    <x v="2"/>
    <b v="0"/>
    <x v="0"/>
    <n v="2"/>
    <x v="3"/>
    <x v="1"/>
    <n v="2"/>
    <x v="1"/>
    <n v="0.16"/>
    <n v="0.2273"/>
    <n v="0.93"/>
    <n v="0"/>
    <n v="0"/>
    <n v="47"/>
    <n v="47"/>
    <n v="-0.64378142061299781"/>
    <x v="0"/>
    <n v="-0.13327356878133906"/>
    <x v="0"/>
  </r>
  <r>
    <n v="699"/>
    <d v="2011-02-01T00:00:00"/>
    <n v="2"/>
    <x v="1"/>
    <x v="11"/>
    <x v="2"/>
    <b v="0"/>
    <x v="0"/>
    <n v="2"/>
    <x v="3"/>
    <x v="1"/>
    <n v="2"/>
    <x v="1"/>
    <n v="0.18"/>
    <n v="0.2424"/>
    <n v="0.86"/>
    <n v="0"/>
    <n v="2"/>
    <n v="49"/>
    <n v="51"/>
    <n v="-0.38213483633622569"/>
    <x v="0"/>
    <n v="-9.1514656426227359E-2"/>
    <x v="0"/>
  </r>
  <r>
    <n v="700"/>
    <d v="2011-02-01T00:00:00"/>
    <n v="2"/>
    <x v="1"/>
    <x v="12"/>
    <x v="3"/>
    <b v="0"/>
    <x v="0"/>
    <n v="2"/>
    <x v="3"/>
    <x v="1"/>
    <n v="2"/>
    <x v="1"/>
    <n v="0.2"/>
    <n v="0.2576"/>
    <n v="0.86"/>
    <n v="0"/>
    <n v="2"/>
    <n v="53"/>
    <n v="55"/>
    <n v="-0.38213483633622569"/>
    <x v="0"/>
    <n v="-7.9968317160039482E-3"/>
    <x v="0"/>
  </r>
  <r>
    <n v="701"/>
    <d v="2011-02-01T00:00:00"/>
    <n v="2"/>
    <x v="1"/>
    <x v="13"/>
    <x v="3"/>
    <b v="0"/>
    <x v="0"/>
    <n v="2"/>
    <x v="3"/>
    <x v="1"/>
    <n v="2"/>
    <x v="1"/>
    <n v="0.2"/>
    <n v="0.2576"/>
    <n v="0.86"/>
    <n v="0"/>
    <n v="3"/>
    <n v="49"/>
    <n v="52"/>
    <n v="-0.25131154419783963"/>
    <x v="0"/>
    <n v="-9.1514656426227359E-2"/>
    <x v="0"/>
  </r>
  <r>
    <n v="702"/>
    <d v="2011-02-01T00:00:00"/>
    <n v="2"/>
    <x v="1"/>
    <x v="14"/>
    <x v="3"/>
    <b v="0"/>
    <x v="0"/>
    <n v="2"/>
    <x v="3"/>
    <x v="1"/>
    <n v="2"/>
    <x v="1"/>
    <n v="0.22"/>
    <n v="0.2576"/>
    <n v="0.8"/>
    <n v="8.9599999999999999E-2"/>
    <n v="5"/>
    <n v="49"/>
    <n v="54"/>
    <n v="1.0335040078932463E-2"/>
    <x v="0"/>
    <n v="-9.1514656426227359E-2"/>
    <x v="0"/>
  </r>
  <r>
    <n v="703"/>
    <d v="2011-02-01T00:00:00"/>
    <n v="2"/>
    <x v="1"/>
    <x v="15"/>
    <x v="3"/>
    <b v="0"/>
    <x v="0"/>
    <n v="2"/>
    <x v="3"/>
    <x v="1"/>
    <n v="2"/>
    <x v="1"/>
    <n v="0.24"/>
    <n v="0.28789999999999999"/>
    <n v="0.75"/>
    <n v="0"/>
    <n v="7"/>
    <n v="45"/>
    <n v="52"/>
    <n v="0.27198162435570455"/>
    <x v="0"/>
    <n v="-0.17503248113645078"/>
    <x v="0"/>
  </r>
  <r>
    <n v="704"/>
    <d v="2011-02-01T00:00:00"/>
    <n v="2"/>
    <x v="1"/>
    <x v="16"/>
    <x v="3"/>
    <b v="0"/>
    <x v="0"/>
    <n v="2"/>
    <x v="3"/>
    <x v="1"/>
    <n v="2"/>
    <x v="1"/>
    <n v="0.24"/>
    <n v="0.2424"/>
    <n v="0.75"/>
    <n v="0.1343"/>
    <n v="3"/>
    <n v="61"/>
    <n v="64"/>
    <n v="-0.25131154419783963"/>
    <x v="0"/>
    <n v="0.15903881770444289"/>
    <x v="0"/>
  </r>
  <r>
    <n v="705"/>
    <d v="2011-02-01T00:00:00"/>
    <n v="2"/>
    <x v="1"/>
    <x v="17"/>
    <x v="4"/>
    <b v="0"/>
    <x v="0"/>
    <n v="2"/>
    <x v="3"/>
    <x v="1"/>
    <n v="2"/>
    <x v="1"/>
    <n v="0.24"/>
    <n v="0.28789999999999999"/>
    <n v="0.75"/>
    <n v="0"/>
    <n v="4"/>
    <n v="172"/>
    <n v="176"/>
    <n v="-0.1204882520594536"/>
    <x v="0"/>
    <n v="2.4766584534131426"/>
    <x v="1"/>
  </r>
  <r>
    <n v="706"/>
    <d v="2011-02-01T00:00:00"/>
    <n v="2"/>
    <x v="1"/>
    <x v="18"/>
    <x v="4"/>
    <b v="0"/>
    <x v="0"/>
    <n v="2"/>
    <x v="3"/>
    <x v="1"/>
    <n v="2"/>
    <x v="1"/>
    <n v="0.24"/>
    <n v="0.2576"/>
    <n v="0.81"/>
    <n v="0.1045"/>
    <n v="3"/>
    <n v="165"/>
    <n v="168"/>
    <n v="-0.25131154419783963"/>
    <x v="0"/>
    <n v="2.3305022601702516"/>
    <x v="1"/>
  </r>
  <r>
    <n v="707"/>
    <d v="2011-02-01T00:00:00"/>
    <n v="2"/>
    <x v="1"/>
    <x v="19"/>
    <x v="4"/>
    <b v="0"/>
    <x v="0"/>
    <n v="2"/>
    <x v="3"/>
    <x v="1"/>
    <n v="2"/>
    <x v="1"/>
    <n v="0.24"/>
    <n v="0.2424"/>
    <n v="0.81"/>
    <n v="0.1343"/>
    <n v="3"/>
    <n v="105"/>
    <n v="108"/>
    <n v="-0.25131154419783963"/>
    <x v="0"/>
    <n v="1.0777348895169006"/>
    <x v="0"/>
  </r>
  <r>
    <n v="708"/>
    <d v="2011-02-01T00:00:00"/>
    <n v="2"/>
    <x v="1"/>
    <x v="20"/>
    <x v="4"/>
    <b v="0"/>
    <x v="0"/>
    <n v="2"/>
    <x v="3"/>
    <x v="1"/>
    <n v="2"/>
    <x v="1"/>
    <n v="0.22"/>
    <n v="0.2273"/>
    <n v="0.87"/>
    <n v="0.1343"/>
    <n v="5"/>
    <n v="69"/>
    <n v="74"/>
    <n v="1.0335040078932463E-2"/>
    <x v="0"/>
    <n v="0.32607446712488969"/>
    <x v="0"/>
  </r>
  <r>
    <n v="709"/>
    <d v="2011-02-01T00:00:00"/>
    <n v="2"/>
    <x v="1"/>
    <x v="21"/>
    <x v="0"/>
    <b v="0"/>
    <x v="0"/>
    <n v="2"/>
    <x v="3"/>
    <x v="1"/>
    <n v="2"/>
    <x v="1"/>
    <n v="0.22"/>
    <n v="0.2273"/>
    <n v="0.87"/>
    <n v="0.1343"/>
    <n v="0"/>
    <n v="64"/>
    <n v="64"/>
    <n v="-0.64378142061299781"/>
    <x v="0"/>
    <n v="0.22167718623711044"/>
    <x v="0"/>
  </r>
  <r>
    <n v="710"/>
    <d v="2011-02-01T00:00:00"/>
    <n v="2"/>
    <x v="1"/>
    <x v="22"/>
    <x v="0"/>
    <b v="0"/>
    <x v="0"/>
    <n v="2"/>
    <x v="3"/>
    <x v="1"/>
    <n v="2"/>
    <x v="1"/>
    <n v="0.22"/>
    <n v="0.2576"/>
    <n v="0.87"/>
    <n v="8.9599999999999999E-2"/>
    <n v="2"/>
    <n v="34"/>
    <n v="36"/>
    <n v="-0.38213483633622569"/>
    <x v="0"/>
    <n v="-0.40470649908956519"/>
    <x v="0"/>
  </r>
  <r>
    <n v="711"/>
    <d v="2011-02-01T00:00:00"/>
    <n v="2"/>
    <x v="1"/>
    <x v="23"/>
    <x v="0"/>
    <b v="0"/>
    <x v="0"/>
    <n v="2"/>
    <x v="3"/>
    <x v="1"/>
    <n v="3"/>
    <x v="2"/>
    <n v="0.2"/>
    <n v="0.19700000000000001"/>
    <n v="0.93"/>
    <n v="0.19400000000000001"/>
    <n v="1"/>
    <n v="15"/>
    <n v="16"/>
    <n v="-0.51295812847461175"/>
    <x v="0"/>
    <n v="-0.80141616646312641"/>
    <x v="0"/>
  </r>
  <r>
    <n v="712"/>
    <d v="2011-02-02T00:00:00"/>
    <n v="2"/>
    <x v="1"/>
    <x v="0"/>
    <x v="0"/>
    <b v="0"/>
    <x v="0"/>
    <n v="3"/>
    <x v="4"/>
    <x v="1"/>
    <n v="3"/>
    <x v="2"/>
    <n v="0.22"/>
    <n v="0.2424"/>
    <n v="0.93"/>
    <n v="0.1045"/>
    <n v="0"/>
    <n v="2"/>
    <n v="2"/>
    <n v="-0.64378142061299781"/>
    <x v="0"/>
    <n v="-1.0728490967713524"/>
    <x v="0"/>
  </r>
  <r>
    <n v="713"/>
    <d v="2011-02-02T00:00:00"/>
    <n v="2"/>
    <x v="1"/>
    <x v="1"/>
    <x v="0"/>
    <b v="0"/>
    <x v="0"/>
    <n v="3"/>
    <x v="4"/>
    <x v="1"/>
    <n v="3"/>
    <x v="2"/>
    <n v="0.22"/>
    <n v="0.2273"/>
    <n v="0.93"/>
    <n v="0.19400000000000001"/>
    <n v="0"/>
    <n v="3"/>
    <n v="3"/>
    <n v="-0.64378142061299781"/>
    <x v="0"/>
    <n v="-1.0519696405937966"/>
    <x v="0"/>
  </r>
  <r>
    <n v="714"/>
    <d v="2011-02-02T00:00:00"/>
    <n v="2"/>
    <x v="1"/>
    <x v="2"/>
    <x v="0"/>
    <b v="0"/>
    <x v="0"/>
    <n v="3"/>
    <x v="4"/>
    <x v="1"/>
    <n v="3"/>
    <x v="2"/>
    <n v="0.22"/>
    <n v="0.2273"/>
    <n v="0.93"/>
    <n v="0.1343"/>
    <n v="4"/>
    <n v="0"/>
    <n v="4"/>
    <n v="-0.1204882520594536"/>
    <x v="0"/>
    <n v="-1.1146080091264643"/>
    <x v="0"/>
  </r>
  <r>
    <n v="715"/>
    <d v="2011-02-02T00:00:00"/>
    <n v="2"/>
    <x v="1"/>
    <x v="3"/>
    <x v="0"/>
    <b v="0"/>
    <x v="0"/>
    <n v="3"/>
    <x v="4"/>
    <x v="1"/>
    <n v="3"/>
    <x v="2"/>
    <n v="0.22"/>
    <n v="0.2273"/>
    <n v="0.93"/>
    <n v="0.1343"/>
    <n v="0"/>
    <n v="1"/>
    <n v="1"/>
    <n v="-0.64378142061299781"/>
    <x v="0"/>
    <n v="-1.0937285529489083"/>
    <x v="0"/>
  </r>
  <r>
    <n v="716"/>
    <d v="2011-02-02T00:00:00"/>
    <n v="2"/>
    <x v="1"/>
    <x v="4"/>
    <x v="0"/>
    <b v="0"/>
    <x v="0"/>
    <n v="3"/>
    <x v="4"/>
    <x v="1"/>
    <n v="3"/>
    <x v="2"/>
    <n v="0.22"/>
    <n v="0.21210000000000001"/>
    <n v="0.93"/>
    <n v="0.28360000000000002"/>
    <n v="0"/>
    <n v="1"/>
    <n v="1"/>
    <n v="-0.64378142061299781"/>
    <x v="0"/>
    <n v="-1.0937285529489083"/>
    <x v="0"/>
  </r>
  <r>
    <n v="717"/>
    <d v="2011-02-02T00:00:00"/>
    <n v="2"/>
    <x v="1"/>
    <x v="5"/>
    <x v="1"/>
    <b v="0"/>
    <x v="0"/>
    <n v="3"/>
    <x v="4"/>
    <x v="1"/>
    <n v="3"/>
    <x v="2"/>
    <n v="0.22"/>
    <n v="0.2424"/>
    <n v="0.93"/>
    <n v="0.1045"/>
    <n v="0"/>
    <n v="3"/>
    <n v="3"/>
    <n v="-0.64378142061299781"/>
    <x v="0"/>
    <n v="-1.0519696405937966"/>
    <x v="0"/>
  </r>
  <r>
    <n v="718"/>
    <d v="2011-02-02T00:00:00"/>
    <n v="2"/>
    <x v="1"/>
    <x v="6"/>
    <x v="1"/>
    <b v="0"/>
    <x v="0"/>
    <n v="3"/>
    <x v="4"/>
    <x v="1"/>
    <n v="3"/>
    <x v="2"/>
    <n v="0.22"/>
    <n v="0.2424"/>
    <n v="0.93"/>
    <n v="0.1045"/>
    <n v="1"/>
    <n v="17"/>
    <n v="18"/>
    <n v="-0.51295812847461175"/>
    <x v="0"/>
    <n v="-0.75965725410801466"/>
    <x v="0"/>
  </r>
  <r>
    <n v="719"/>
    <d v="2011-02-02T00:00:00"/>
    <n v="2"/>
    <x v="1"/>
    <x v="7"/>
    <x v="1"/>
    <b v="0"/>
    <x v="0"/>
    <n v="3"/>
    <x v="4"/>
    <x v="1"/>
    <n v="3"/>
    <x v="2"/>
    <n v="0.22"/>
    <n v="0.21210000000000001"/>
    <n v="0.93"/>
    <n v="0.22389999999999999"/>
    <n v="1"/>
    <n v="48"/>
    <n v="49"/>
    <n v="-0.51295812847461175"/>
    <x v="0"/>
    <n v="-0.11239411260378322"/>
    <x v="0"/>
  </r>
  <r>
    <n v="720"/>
    <d v="2011-02-02T00:00:00"/>
    <n v="2"/>
    <x v="1"/>
    <x v="8"/>
    <x v="2"/>
    <b v="0"/>
    <x v="0"/>
    <n v="3"/>
    <x v="4"/>
    <x v="1"/>
    <n v="3"/>
    <x v="2"/>
    <n v="0.22"/>
    <n v="0.21210000000000001"/>
    <n v="0.93"/>
    <n v="0.22389999999999999"/>
    <n v="1"/>
    <n v="154"/>
    <n v="155"/>
    <n v="-0.51295812847461175"/>
    <x v="0"/>
    <n v="2.1008282422171369"/>
    <x v="1"/>
  </r>
  <r>
    <n v="721"/>
    <d v="2011-02-02T00:00:00"/>
    <n v="2"/>
    <x v="1"/>
    <x v="9"/>
    <x v="2"/>
    <b v="0"/>
    <x v="0"/>
    <n v="3"/>
    <x v="4"/>
    <x v="1"/>
    <n v="2"/>
    <x v="1"/>
    <n v="0.24"/>
    <n v="0.2576"/>
    <n v="0.93"/>
    <n v="8.9599999999999999E-2"/>
    <n v="4"/>
    <n v="119"/>
    <n v="123"/>
    <n v="-0.1204882520594536"/>
    <x v="0"/>
    <n v="1.3700472760026823"/>
    <x v="0"/>
  </r>
  <r>
    <n v="722"/>
    <d v="2011-02-02T00:00:00"/>
    <n v="2"/>
    <x v="1"/>
    <x v="10"/>
    <x v="2"/>
    <b v="0"/>
    <x v="0"/>
    <n v="3"/>
    <x v="4"/>
    <x v="1"/>
    <n v="2"/>
    <x v="1"/>
    <n v="0.22"/>
    <n v="0.2727"/>
    <n v="1"/>
    <n v="0"/>
    <n v="2"/>
    <n v="59"/>
    <n v="61"/>
    <n v="-0.38213483633622569"/>
    <x v="0"/>
    <n v="0.11727990534933118"/>
    <x v="0"/>
  </r>
  <r>
    <n v="723"/>
    <d v="2011-02-02T00:00:00"/>
    <n v="2"/>
    <x v="1"/>
    <x v="11"/>
    <x v="2"/>
    <b v="0"/>
    <x v="0"/>
    <n v="3"/>
    <x v="4"/>
    <x v="1"/>
    <n v="2"/>
    <x v="1"/>
    <n v="0.24"/>
    <n v="0.2273"/>
    <n v="0.93"/>
    <n v="0.19400000000000001"/>
    <n v="5"/>
    <n v="47"/>
    <n v="52"/>
    <n v="1.0335040078932463E-2"/>
    <x v="0"/>
    <n v="-0.13327356878133906"/>
    <x v="0"/>
  </r>
  <r>
    <n v="724"/>
    <d v="2011-02-02T00:00:00"/>
    <n v="2"/>
    <x v="1"/>
    <x v="12"/>
    <x v="3"/>
    <b v="0"/>
    <x v="0"/>
    <n v="3"/>
    <x v="4"/>
    <x v="1"/>
    <n v="2"/>
    <x v="1"/>
    <n v="0.24"/>
    <n v="0.2273"/>
    <n v="0.93"/>
    <n v="0.22389999999999999"/>
    <n v="3"/>
    <n v="61"/>
    <n v="64"/>
    <n v="-0.25131154419783963"/>
    <x v="0"/>
    <n v="0.15903881770444289"/>
    <x v="0"/>
  </r>
  <r>
    <n v="725"/>
    <d v="2011-02-02T00:00:00"/>
    <n v="2"/>
    <x v="1"/>
    <x v="13"/>
    <x v="3"/>
    <b v="0"/>
    <x v="0"/>
    <n v="3"/>
    <x v="4"/>
    <x v="1"/>
    <n v="1"/>
    <x v="0"/>
    <n v="0.34"/>
    <n v="0.33329999999999999"/>
    <n v="0.93"/>
    <n v="0.16420000000000001"/>
    <n v="1"/>
    <n v="74"/>
    <n v="75"/>
    <n v="-0.51295812847461175"/>
    <x v="0"/>
    <n v="0.43047174801266896"/>
    <x v="0"/>
  </r>
  <r>
    <n v="726"/>
    <d v="2011-02-02T00:00:00"/>
    <n v="2"/>
    <x v="1"/>
    <x v="14"/>
    <x v="3"/>
    <b v="0"/>
    <x v="0"/>
    <n v="3"/>
    <x v="4"/>
    <x v="1"/>
    <n v="1"/>
    <x v="0"/>
    <n v="0.38"/>
    <n v="0.39389999999999997"/>
    <n v="0.82"/>
    <n v="0.3881"/>
    <n v="2"/>
    <n v="61"/>
    <n v="63"/>
    <n v="-0.38213483633622569"/>
    <x v="0"/>
    <n v="0.15903881770444289"/>
    <x v="0"/>
  </r>
  <r>
    <n v="727"/>
    <d v="2011-02-02T00:00:00"/>
    <n v="2"/>
    <x v="1"/>
    <x v="15"/>
    <x v="3"/>
    <b v="0"/>
    <x v="0"/>
    <n v="3"/>
    <x v="4"/>
    <x v="1"/>
    <n v="1"/>
    <x v="0"/>
    <n v="0.38"/>
    <n v="0.39389999999999997"/>
    <n v="0.76"/>
    <n v="0.32840000000000003"/>
    <n v="10"/>
    <n v="66"/>
    <n v="76"/>
    <n v="0.66445150077086279"/>
    <x v="0"/>
    <n v="0.26343609859222217"/>
    <x v="0"/>
  </r>
  <r>
    <n v="728"/>
    <d v="2011-02-02T00:00:00"/>
    <n v="2"/>
    <x v="1"/>
    <x v="16"/>
    <x v="3"/>
    <b v="0"/>
    <x v="0"/>
    <n v="3"/>
    <x v="4"/>
    <x v="1"/>
    <n v="1"/>
    <x v="0"/>
    <n v="0.36"/>
    <n v="0.33329999999999999"/>
    <n v="0.71"/>
    <n v="0.29849999999999999"/>
    <n v="8"/>
    <n v="95"/>
    <n v="103"/>
    <n v="0.40280491649409061"/>
    <x v="0"/>
    <n v="0.86894032774134189"/>
    <x v="0"/>
  </r>
  <r>
    <n v="729"/>
    <d v="2011-02-02T00:00:00"/>
    <n v="2"/>
    <x v="1"/>
    <x v="17"/>
    <x v="4"/>
    <b v="0"/>
    <x v="0"/>
    <n v="3"/>
    <x v="4"/>
    <x v="1"/>
    <n v="1"/>
    <x v="0"/>
    <n v="0.36"/>
    <n v="0.31819999999999998"/>
    <n v="0.53"/>
    <n v="0.52239999999999998"/>
    <n v="7"/>
    <n v="183"/>
    <n v="190"/>
    <n v="0.27198162435570455"/>
    <x v="0"/>
    <n v="2.7063324713662569"/>
    <x v="1"/>
  </r>
  <r>
    <n v="730"/>
    <d v="2011-02-02T00:00:00"/>
    <n v="2"/>
    <x v="1"/>
    <x v="18"/>
    <x v="4"/>
    <b v="0"/>
    <x v="0"/>
    <n v="3"/>
    <x v="4"/>
    <x v="1"/>
    <n v="1"/>
    <x v="0"/>
    <n v="0.34"/>
    <n v="0.28789999999999999"/>
    <n v="0.42"/>
    <n v="0.55220000000000002"/>
    <n v="7"/>
    <n v="175"/>
    <n v="182"/>
    <n v="0.27198162435570455"/>
    <x v="0"/>
    <n v="2.5392968219458103"/>
    <x v="1"/>
  </r>
  <r>
    <n v="731"/>
    <d v="2011-02-02T00:00:00"/>
    <n v="2"/>
    <x v="1"/>
    <x v="19"/>
    <x v="4"/>
    <b v="0"/>
    <x v="0"/>
    <n v="3"/>
    <x v="4"/>
    <x v="1"/>
    <n v="1"/>
    <x v="0"/>
    <n v="0.28000000000000003"/>
    <n v="0.2424"/>
    <n v="0.45"/>
    <n v="0.49249999999999999"/>
    <n v="3"/>
    <n v="88"/>
    <n v="91"/>
    <n v="-0.25131154419783963"/>
    <x v="0"/>
    <n v="0.72278413449845091"/>
    <x v="0"/>
  </r>
  <r>
    <n v="732"/>
    <d v="2011-02-02T00:00:00"/>
    <n v="2"/>
    <x v="1"/>
    <x v="20"/>
    <x v="4"/>
    <b v="0"/>
    <x v="0"/>
    <n v="3"/>
    <x v="4"/>
    <x v="1"/>
    <n v="1"/>
    <x v="0"/>
    <n v="0.24"/>
    <n v="0.19700000000000001"/>
    <n v="0.48"/>
    <n v="0.55220000000000002"/>
    <n v="4"/>
    <n v="71"/>
    <n v="75"/>
    <n v="-0.1204882520594536"/>
    <x v="0"/>
    <n v="0.36783337948000144"/>
    <x v="0"/>
  </r>
  <r>
    <n v="733"/>
    <d v="2011-02-02T00:00:00"/>
    <n v="2"/>
    <x v="1"/>
    <x v="21"/>
    <x v="0"/>
    <b v="0"/>
    <x v="0"/>
    <n v="3"/>
    <x v="4"/>
    <x v="1"/>
    <n v="1"/>
    <x v="0"/>
    <n v="0.22"/>
    <n v="0.19700000000000001"/>
    <n v="0.47"/>
    <n v="0.32840000000000003"/>
    <n v="1"/>
    <n v="62"/>
    <n v="63"/>
    <n v="-0.51295812847461175"/>
    <x v="0"/>
    <n v="0.17991827388199874"/>
    <x v="0"/>
  </r>
  <r>
    <n v="734"/>
    <d v="2011-02-02T00:00:00"/>
    <n v="2"/>
    <x v="1"/>
    <x v="22"/>
    <x v="0"/>
    <b v="0"/>
    <x v="0"/>
    <n v="3"/>
    <x v="4"/>
    <x v="1"/>
    <n v="1"/>
    <x v="0"/>
    <n v="0.22"/>
    <n v="0.21210000000000001"/>
    <n v="0.44"/>
    <n v="0.25369999999999998"/>
    <n v="5"/>
    <n v="35"/>
    <n v="40"/>
    <n v="1.0335040078932463E-2"/>
    <x v="0"/>
    <n v="-0.38382704291200931"/>
    <x v="0"/>
  </r>
  <r>
    <n v="735"/>
    <d v="2011-02-02T00:00:00"/>
    <n v="2"/>
    <x v="1"/>
    <x v="23"/>
    <x v="0"/>
    <b v="0"/>
    <x v="0"/>
    <n v="3"/>
    <x v="4"/>
    <x v="1"/>
    <n v="1"/>
    <x v="0"/>
    <n v="0.2"/>
    <n v="0.16669999999999999"/>
    <n v="0.44"/>
    <n v="0.44779999999999998"/>
    <n v="3"/>
    <n v="29"/>
    <n v="32"/>
    <n v="-0.25131154419783963"/>
    <x v="0"/>
    <n v="-0.50910377997734446"/>
    <x v="0"/>
  </r>
  <r>
    <n v="736"/>
    <d v="2011-02-03T00:00:00"/>
    <n v="2"/>
    <x v="1"/>
    <x v="0"/>
    <x v="0"/>
    <b v="0"/>
    <x v="0"/>
    <n v="4"/>
    <x v="5"/>
    <x v="1"/>
    <n v="1"/>
    <x v="0"/>
    <n v="0.2"/>
    <n v="0.16669999999999999"/>
    <n v="0.4"/>
    <n v="0.44779999999999998"/>
    <n v="1"/>
    <n v="11"/>
    <n v="12"/>
    <n v="-0.51295812847461175"/>
    <x v="0"/>
    <n v="-0.88493399117334981"/>
    <x v="0"/>
  </r>
  <r>
    <n v="737"/>
    <d v="2011-02-03T00:00:00"/>
    <n v="2"/>
    <x v="1"/>
    <x v="1"/>
    <x v="0"/>
    <b v="0"/>
    <x v="0"/>
    <n v="4"/>
    <x v="5"/>
    <x v="1"/>
    <n v="1"/>
    <x v="0"/>
    <n v="0.2"/>
    <n v="0.1515"/>
    <n v="0.44"/>
    <n v="0.52239999999999998"/>
    <n v="0"/>
    <n v="5"/>
    <n v="5"/>
    <n v="-0.64378142061299781"/>
    <x v="0"/>
    <n v="-1.010210728238685"/>
    <x v="0"/>
  </r>
  <r>
    <n v="738"/>
    <d v="2011-02-03T00:00:00"/>
    <n v="2"/>
    <x v="1"/>
    <x v="2"/>
    <x v="0"/>
    <b v="0"/>
    <x v="0"/>
    <n v="4"/>
    <x v="5"/>
    <x v="1"/>
    <n v="1"/>
    <x v="0"/>
    <n v="0.18"/>
    <n v="0.16669999999999999"/>
    <n v="0.43"/>
    <n v="0.25369999999999998"/>
    <n v="0"/>
    <n v="2"/>
    <n v="2"/>
    <n v="-0.64378142061299781"/>
    <x v="0"/>
    <n v="-1.0728490967713524"/>
    <x v="0"/>
  </r>
  <r>
    <n v="739"/>
    <d v="2011-02-03T00:00:00"/>
    <n v="2"/>
    <x v="1"/>
    <x v="3"/>
    <x v="0"/>
    <b v="0"/>
    <x v="0"/>
    <n v="4"/>
    <x v="5"/>
    <x v="1"/>
    <n v="1"/>
    <x v="0"/>
    <n v="0.18"/>
    <n v="0.16669999999999999"/>
    <n v="0.43"/>
    <n v="0.25369999999999998"/>
    <n v="0"/>
    <n v="1"/>
    <n v="1"/>
    <n v="-0.64378142061299781"/>
    <x v="0"/>
    <n v="-1.0937285529489083"/>
    <x v="0"/>
  </r>
  <r>
    <n v="740"/>
    <d v="2011-02-03T00:00:00"/>
    <n v="2"/>
    <x v="1"/>
    <x v="5"/>
    <x v="1"/>
    <b v="0"/>
    <x v="0"/>
    <n v="4"/>
    <x v="5"/>
    <x v="1"/>
    <n v="1"/>
    <x v="0"/>
    <n v="0.16"/>
    <n v="0.13639999999999999"/>
    <n v="0.5"/>
    <n v="0.29849999999999999"/>
    <n v="0"/>
    <n v="2"/>
    <n v="2"/>
    <n v="-0.64378142061299781"/>
    <x v="0"/>
    <n v="-1.0728490967713524"/>
    <x v="0"/>
  </r>
  <r>
    <n v="741"/>
    <d v="2011-02-03T00:00:00"/>
    <n v="2"/>
    <x v="1"/>
    <x v="6"/>
    <x v="1"/>
    <b v="0"/>
    <x v="0"/>
    <n v="4"/>
    <x v="5"/>
    <x v="1"/>
    <n v="1"/>
    <x v="0"/>
    <n v="0.16"/>
    <n v="0.13639999999999999"/>
    <n v="0.43"/>
    <n v="0.35820000000000002"/>
    <n v="0"/>
    <n v="39"/>
    <n v="39"/>
    <n v="-0.64378142061299781"/>
    <x v="0"/>
    <n v="-0.30030921820178591"/>
    <x v="0"/>
  </r>
  <r>
    <n v="742"/>
    <d v="2011-02-03T00:00:00"/>
    <n v="2"/>
    <x v="1"/>
    <x v="7"/>
    <x v="1"/>
    <b v="0"/>
    <x v="0"/>
    <n v="4"/>
    <x v="5"/>
    <x v="1"/>
    <n v="1"/>
    <x v="0"/>
    <n v="0.14000000000000001"/>
    <n v="0.1212"/>
    <n v="0.5"/>
    <n v="0.32840000000000003"/>
    <n v="1"/>
    <n v="86"/>
    <n v="87"/>
    <n v="-0.51295812847461175"/>
    <x v="0"/>
    <n v="0.68102522214333927"/>
    <x v="0"/>
  </r>
  <r>
    <n v="743"/>
    <d v="2011-02-03T00:00:00"/>
    <n v="2"/>
    <x v="1"/>
    <x v="8"/>
    <x v="2"/>
    <b v="0"/>
    <x v="0"/>
    <n v="4"/>
    <x v="5"/>
    <x v="1"/>
    <n v="1"/>
    <x v="0"/>
    <n v="0.14000000000000001"/>
    <n v="0.1212"/>
    <n v="0.5"/>
    <n v="0.35820000000000002"/>
    <n v="4"/>
    <n v="184"/>
    <n v="188"/>
    <n v="-0.1204882520594536"/>
    <x v="0"/>
    <n v="2.7272119275438129"/>
    <x v="1"/>
  </r>
  <r>
    <n v="744"/>
    <d v="2011-02-03T00:00:00"/>
    <n v="2"/>
    <x v="1"/>
    <x v="9"/>
    <x v="2"/>
    <b v="0"/>
    <x v="0"/>
    <n v="4"/>
    <x v="5"/>
    <x v="1"/>
    <n v="1"/>
    <x v="0"/>
    <n v="0.16"/>
    <n v="0.13639999999999999"/>
    <n v="0.47"/>
    <n v="0.29849999999999999"/>
    <n v="6"/>
    <n v="127"/>
    <n v="133"/>
    <n v="0.14115833221731852"/>
    <x v="0"/>
    <n v="1.5370829254231291"/>
    <x v="0"/>
  </r>
  <r>
    <n v="745"/>
    <d v="2011-02-03T00:00:00"/>
    <n v="2"/>
    <x v="1"/>
    <x v="10"/>
    <x v="2"/>
    <b v="0"/>
    <x v="0"/>
    <n v="4"/>
    <x v="5"/>
    <x v="1"/>
    <n v="1"/>
    <x v="0"/>
    <n v="0.18"/>
    <n v="0.1515"/>
    <n v="0.43"/>
    <n v="0.32840000000000003"/>
    <n v="2"/>
    <n v="50"/>
    <n v="52"/>
    <n v="-0.38213483633622569"/>
    <x v="0"/>
    <n v="-7.0635200248671509E-2"/>
    <x v="0"/>
  </r>
  <r>
    <n v="746"/>
    <d v="2011-02-03T00:00:00"/>
    <n v="2"/>
    <x v="1"/>
    <x v="11"/>
    <x v="2"/>
    <b v="0"/>
    <x v="0"/>
    <n v="4"/>
    <x v="5"/>
    <x v="1"/>
    <n v="1"/>
    <x v="0"/>
    <n v="0.18"/>
    <n v="0.13639999999999999"/>
    <n v="0.43"/>
    <n v="0.44779999999999998"/>
    <n v="9"/>
    <n v="55"/>
    <n v="64"/>
    <n v="0.53362820863247673"/>
    <x v="0"/>
    <n v="3.376208063910776E-2"/>
    <x v="0"/>
  </r>
  <r>
    <n v="747"/>
    <d v="2011-02-03T00:00:00"/>
    <n v="2"/>
    <x v="1"/>
    <x v="12"/>
    <x v="3"/>
    <b v="0"/>
    <x v="0"/>
    <n v="4"/>
    <x v="5"/>
    <x v="1"/>
    <n v="1"/>
    <x v="0"/>
    <n v="0.2"/>
    <n v="0.18179999999999999"/>
    <n v="0.4"/>
    <n v="0.35820000000000002"/>
    <n v="2"/>
    <n v="67"/>
    <n v="69"/>
    <n v="-0.38213483633622569"/>
    <x v="0"/>
    <n v="0.28431555476977799"/>
    <x v="0"/>
  </r>
  <r>
    <n v="748"/>
    <d v="2011-02-03T00:00:00"/>
    <n v="2"/>
    <x v="1"/>
    <x v="13"/>
    <x v="3"/>
    <b v="0"/>
    <x v="0"/>
    <n v="4"/>
    <x v="5"/>
    <x v="1"/>
    <n v="1"/>
    <x v="0"/>
    <n v="0.2"/>
    <n v="0.16669999999999999"/>
    <n v="0.4"/>
    <n v="0.41789999999999999"/>
    <n v="4"/>
    <n v="47"/>
    <n v="51"/>
    <n v="-0.1204882520594536"/>
    <x v="0"/>
    <n v="-0.13327356878133906"/>
    <x v="0"/>
  </r>
  <r>
    <n v="749"/>
    <d v="2011-02-03T00:00:00"/>
    <n v="2"/>
    <x v="1"/>
    <x v="14"/>
    <x v="3"/>
    <b v="0"/>
    <x v="0"/>
    <n v="4"/>
    <x v="5"/>
    <x v="1"/>
    <n v="1"/>
    <x v="0"/>
    <n v="0.22"/>
    <n v="0.19700000000000001"/>
    <n v="0.37"/>
    <n v="0.3881"/>
    <n v="4"/>
    <n v="43"/>
    <n v="47"/>
    <n v="-0.1204882520594536"/>
    <x v="0"/>
    <n v="-0.21679139349156248"/>
    <x v="0"/>
  </r>
  <r>
    <n v="750"/>
    <d v="2011-02-03T00:00:00"/>
    <n v="2"/>
    <x v="1"/>
    <x v="15"/>
    <x v="3"/>
    <b v="0"/>
    <x v="0"/>
    <n v="4"/>
    <x v="5"/>
    <x v="1"/>
    <n v="1"/>
    <x v="0"/>
    <n v="0.22"/>
    <n v="0.19700000000000001"/>
    <n v="0.37"/>
    <n v="0.32840000000000003"/>
    <n v="4"/>
    <n v="56"/>
    <n v="60"/>
    <n v="-0.1204882520594536"/>
    <x v="0"/>
    <n v="5.4641536816663616E-2"/>
    <x v="0"/>
  </r>
  <r>
    <n v="751"/>
    <d v="2011-02-03T00:00:00"/>
    <n v="2"/>
    <x v="1"/>
    <x v="16"/>
    <x v="3"/>
    <b v="0"/>
    <x v="0"/>
    <n v="4"/>
    <x v="5"/>
    <x v="1"/>
    <n v="1"/>
    <x v="0"/>
    <n v="0.22"/>
    <n v="0.21210000000000001"/>
    <n v="0.37"/>
    <n v="0.25369999999999998"/>
    <n v="5"/>
    <n v="73"/>
    <n v="78"/>
    <n v="1.0335040078932463E-2"/>
    <x v="0"/>
    <n v="0.40959229183511314"/>
    <x v="0"/>
  </r>
  <r>
    <n v="752"/>
    <d v="2011-02-03T00:00:00"/>
    <n v="2"/>
    <x v="1"/>
    <x v="17"/>
    <x v="4"/>
    <b v="0"/>
    <x v="0"/>
    <n v="4"/>
    <x v="5"/>
    <x v="1"/>
    <n v="1"/>
    <x v="0"/>
    <n v="0.2"/>
    <n v="0.19700000000000001"/>
    <n v="0.4"/>
    <n v="0.19400000000000001"/>
    <n v="5"/>
    <n v="170"/>
    <n v="175"/>
    <n v="1.0335040078932463E-2"/>
    <x v="0"/>
    <n v="2.434899541058031"/>
    <x v="1"/>
  </r>
  <r>
    <n v="753"/>
    <d v="2011-02-03T00:00:00"/>
    <n v="2"/>
    <x v="1"/>
    <x v="18"/>
    <x v="4"/>
    <b v="0"/>
    <x v="0"/>
    <n v="4"/>
    <x v="5"/>
    <x v="1"/>
    <n v="1"/>
    <x v="0"/>
    <n v="0.2"/>
    <n v="0.21210000000000001"/>
    <n v="0.4"/>
    <n v="0.16420000000000001"/>
    <n v="2"/>
    <n v="145"/>
    <n v="147"/>
    <n v="-0.38213483633622569"/>
    <x v="0"/>
    <n v="1.9129131366191345"/>
    <x v="0"/>
  </r>
  <r>
    <n v="754"/>
    <d v="2011-02-03T00:00:00"/>
    <n v="2"/>
    <x v="1"/>
    <x v="19"/>
    <x v="4"/>
    <b v="0"/>
    <x v="0"/>
    <n v="4"/>
    <x v="5"/>
    <x v="1"/>
    <n v="1"/>
    <x v="0"/>
    <n v="0.2"/>
    <n v="0.2576"/>
    <n v="0.4"/>
    <n v="0"/>
    <n v="4"/>
    <n v="92"/>
    <n v="96"/>
    <n v="-0.1204882520594536"/>
    <x v="0"/>
    <n v="0.80630195920867431"/>
    <x v="0"/>
  </r>
  <r>
    <n v="755"/>
    <d v="2011-02-03T00:00:00"/>
    <n v="2"/>
    <x v="1"/>
    <x v="20"/>
    <x v="4"/>
    <b v="0"/>
    <x v="0"/>
    <n v="4"/>
    <x v="5"/>
    <x v="1"/>
    <n v="1"/>
    <x v="0"/>
    <n v="0.2"/>
    <n v="0.2273"/>
    <n v="0.47"/>
    <n v="8.9599999999999999E-2"/>
    <n v="1"/>
    <n v="108"/>
    <n v="109"/>
    <n v="-0.51295812847461175"/>
    <x v="0"/>
    <n v="1.140373258049568"/>
    <x v="0"/>
  </r>
  <r>
    <n v="756"/>
    <d v="2011-02-03T00:00:00"/>
    <n v="2"/>
    <x v="1"/>
    <x v="21"/>
    <x v="0"/>
    <b v="0"/>
    <x v="0"/>
    <n v="4"/>
    <x v="5"/>
    <x v="1"/>
    <n v="1"/>
    <x v="0"/>
    <n v="0.18"/>
    <n v="0.21210000000000001"/>
    <n v="0.55000000000000004"/>
    <n v="0.1045"/>
    <n v="1"/>
    <n v="53"/>
    <n v="54"/>
    <n v="-0.51295812847461175"/>
    <x v="0"/>
    <n v="-7.9968317160039482E-3"/>
    <x v="0"/>
  </r>
  <r>
    <n v="757"/>
    <d v="2011-02-03T00:00:00"/>
    <n v="2"/>
    <x v="1"/>
    <x v="22"/>
    <x v="0"/>
    <b v="0"/>
    <x v="0"/>
    <n v="4"/>
    <x v="5"/>
    <x v="1"/>
    <n v="1"/>
    <x v="0"/>
    <n v="0.18"/>
    <n v="0.21210000000000001"/>
    <n v="0.51"/>
    <n v="8.9599999999999999E-2"/>
    <n v="2"/>
    <n v="39"/>
    <n v="41"/>
    <n v="-0.38213483633622569"/>
    <x v="0"/>
    <n v="-0.30030921820178591"/>
    <x v="0"/>
  </r>
  <r>
    <n v="758"/>
    <d v="2011-02-03T00:00:00"/>
    <n v="2"/>
    <x v="1"/>
    <x v="23"/>
    <x v="0"/>
    <b v="0"/>
    <x v="0"/>
    <n v="4"/>
    <x v="5"/>
    <x v="1"/>
    <n v="1"/>
    <x v="0"/>
    <n v="0.2"/>
    <n v="0.2273"/>
    <n v="0.47"/>
    <n v="0.1045"/>
    <n v="4"/>
    <n v="34"/>
    <n v="38"/>
    <n v="-0.1204882520594536"/>
    <x v="0"/>
    <n v="-0.40470649908956519"/>
    <x v="0"/>
  </r>
  <r>
    <n v="759"/>
    <d v="2011-02-04T00:00:00"/>
    <n v="2"/>
    <x v="1"/>
    <x v="0"/>
    <x v="0"/>
    <b v="0"/>
    <x v="0"/>
    <n v="5"/>
    <x v="6"/>
    <x v="1"/>
    <n v="2"/>
    <x v="1"/>
    <n v="0.2"/>
    <n v="0.2576"/>
    <n v="0.44"/>
    <n v="0"/>
    <n v="3"/>
    <n v="10"/>
    <n v="13"/>
    <n v="-0.25131154419783963"/>
    <x v="0"/>
    <n v="-0.90581344735090563"/>
    <x v="0"/>
  </r>
  <r>
    <n v="760"/>
    <d v="2011-02-04T00:00:00"/>
    <n v="2"/>
    <x v="1"/>
    <x v="1"/>
    <x v="0"/>
    <b v="0"/>
    <x v="0"/>
    <n v="5"/>
    <x v="6"/>
    <x v="1"/>
    <n v="2"/>
    <x v="1"/>
    <n v="0.16"/>
    <n v="0.2273"/>
    <n v="0.59"/>
    <n v="0"/>
    <n v="0"/>
    <n v="7"/>
    <n v="7"/>
    <n v="-0.64378142061299781"/>
    <x v="0"/>
    <n v="-0.96845181588357321"/>
    <x v="0"/>
  </r>
  <r>
    <n v="761"/>
    <d v="2011-02-04T00:00:00"/>
    <n v="2"/>
    <x v="1"/>
    <x v="2"/>
    <x v="0"/>
    <b v="0"/>
    <x v="0"/>
    <n v="5"/>
    <x v="6"/>
    <x v="1"/>
    <n v="2"/>
    <x v="1"/>
    <n v="0.14000000000000001"/>
    <n v="0.16669999999999999"/>
    <n v="0.63"/>
    <n v="0.1045"/>
    <n v="0"/>
    <n v="1"/>
    <n v="1"/>
    <n v="-0.64378142061299781"/>
    <x v="0"/>
    <n v="-1.0937285529489083"/>
    <x v="0"/>
  </r>
  <r>
    <n v="762"/>
    <d v="2011-02-04T00:00:00"/>
    <n v="2"/>
    <x v="1"/>
    <x v="3"/>
    <x v="0"/>
    <b v="0"/>
    <x v="0"/>
    <n v="5"/>
    <x v="6"/>
    <x v="1"/>
    <n v="2"/>
    <x v="1"/>
    <n v="0.14000000000000001"/>
    <n v="0.16669999999999999"/>
    <n v="0.63"/>
    <n v="0.1045"/>
    <n v="0"/>
    <n v="1"/>
    <n v="1"/>
    <n v="-0.64378142061299781"/>
    <x v="0"/>
    <n v="-1.0937285529489083"/>
    <x v="0"/>
  </r>
  <r>
    <n v="763"/>
    <d v="2011-02-04T00:00:00"/>
    <n v="2"/>
    <x v="1"/>
    <x v="5"/>
    <x v="1"/>
    <b v="0"/>
    <x v="0"/>
    <n v="5"/>
    <x v="6"/>
    <x v="1"/>
    <n v="2"/>
    <x v="1"/>
    <n v="0.14000000000000001"/>
    <n v="0.1515"/>
    <n v="0.63"/>
    <n v="0.1343"/>
    <n v="0"/>
    <n v="7"/>
    <n v="7"/>
    <n v="-0.64378142061299781"/>
    <x v="0"/>
    <n v="-0.96845181588357321"/>
    <x v="0"/>
  </r>
  <r>
    <n v="764"/>
    <d v="2011-02-04T00:00:00"/>
    <n v="2"/>
    <x v="1"/>
    <x v="6"/>
    <x v="1"/>
    <b v="0"/>
    <x v="0"/>
    <n v="5"/>
    <x v="6"/>
    <x v="1"/>
    <n v="2"/>
    <x v="1"/>
    <n v="0.16"/>
    <n v="0.2273"/>
    <n v="0.55000000000000004"/>
    <n v="0"/>
    <n v="2"/>
    <n v="26"/>
    <n v="28"/>
    <n v="-0.38213483633622569"/>
    <x v="0"/>
    <n v="-0.57174214851001204"/>
    <x v="0"/>
  </r>
  <r>
    <n v="765"/>
    <d v="2011-02-04T00:00:00"/>
    <n v="2"/>
    <x v="1"/>
    <x v="7"/>
    <x v="1"/>
    <b v="0"/>
    <x v="0"/>
    <n v="5"/>
    <x v="6"/>
    <x v="1"/>
    <n v="1"/>
    <x v="0"/>
    <n v="0.14000000000000001"/>
    <n v="0.21210000000000001"/>
    <n v="0.59"/>
    <n v="0"/>
    <n v="0"/>
    <n v="87"/>
    <n v="87"/>
    <n v="-0.64378142061299781"/>
    <x v="0"/>
    <n v="0.70190467832089509"/>
    <x v="0"/>
  </r>
  <r>
    <n v="766"/>
    <d v="2011-02-04T00:00:00"/>
    <n v="2"/>
    <x v="1"/>
    <x v="8"/>
    <x v="2"/>
    <b v="0"/>
    <x v="0"/>
    <n v="5"/>
    <x v="6"/>
    <x v="1"/>
    <n v="1"/>
    <x v="0"/>
    <n v="0.14000000000000001"/>
    <n v="0.1515"/>
    <n v="0.74"/>
    <n v="0.1343"/>
    <n v="3"/>
    <n v="217"/>
    <n v="220"/>
    <n v="-0.25131154419783963"/>
    <x v="0"/>
    <n v="3.4162339814031562"/>
    <x v="1"/>
  </r>
  <r>
    <n v="767"/>
    <d v="2011-02-04T00:00:00"/>
    <n v="2"/>
    <x v="1"/>
    <x v="9"/>
    <x v="2"/>
    <b v="0"/>
    <x v="0"/>
    <n v="5"/>
    <x v="6"/>
    <x v="1"/>
    <n v="2"/>
    <x v="1"/>
    <n v="0.16"/>
    <n v="0.18179999999999999"/>
    <n v="0.8"/>
    <n v="0.1343"/>
    <n v="3"/>
    <n v="124"/>
    <n v="127"/>
    <n v="-0.25131154419783963"/>
    <x v="0"/>
    <n v="1.4744445568904616"/>
    <x v="0"/>
  </r>
  <r>
    <n v="768"/>
    <d v="2011-02-04T00:00:00"/>
    <n v="2"/>
    <x v="1"/>
    <x v="10"/>
    <x v="2"/>
    <b v="0"/>
    <x v="0"/>
    <n v="5"/>
    <x v="6"/>
    <x v="1"/>
    <n v="2"/>
    <x v="1"/>
    <n v="0.2"/>
    <n v="0.21210000000000001"/>
    <n v="0.51"/>
    <n v="0.1343"/>
    <n v="5"/>
    <n v="46"/>
    <n v="51"/>
    <n v="1.0335040078932463E-2"/>
    <x v="0"/>
    <n v="-0.15415302495889494"/>
    <x v="0"/>
  </r>
  <r>
    <n v="769"/>
    <d v="2011-02-04T00:00:00"/>
    <n v="2"/>
    <x v="1"/>
    <x v="11"/>
    <x v="2"/>
    <b v="0"/>
    <x v="0"/>
    <n v="5"/>
    <x v="6"/>
    <x v="1"/>
    <n v="1"/>
    <x v="0"/>
    <n v="0.22"/>
    <n v="0.2273"/>
    <n v="0.51"/>
    <n v="0.16420000000000001"/>
    <n v="3"/>
    <n v="61"/>
    <n v="64"/>
    <n v="-0.25131154419783963"/>
    <x v="0"/>
    <n v="0.15903881770444289"/>
    <x v="0"/>
  </r>
  <r>
    <n v="770"/>
    <d v="2011-02-04T00:00:00"/>
    <n v="2"/>
    <x v="1"/>
    <x v="12"/>
    <x v="3"/>
    <b v="0"/>
    <x v="0"/>
    <n v="5"/>
    <x v="6"/>
    <x v="1"/>
    <n v="2"/>
    <x v="1"/>
    <n v="0.24"/>
    <n v="0.2424"/>
    <n v="0.48"/>
    <n v="0.16420000000000001"/>
    <n v="8"/>
    <n v="78"/>
    <n v="86"/>
    <n v="0.40280491649409061"/>
    <x v="0"/>
    <n v="0.51398957272289236"/>
    <x v="0"/>
  </r>
  <r>
    <n v="771"/>
    <d v="2011-02-04T00:00:00"/>
    <n v="2"/>
    <x v="1"/>
    <x v="13"/>
    <x v="3"/>
    <b v="0"/>
    <x v="0"/>
    <n v="5"/>
    <x v="6"/>
    <x v="1"/>
    <n v="2"/>
    <x v="1"/>
    <n v="0.26"/>
    <n v="0.2576"/>
    <n v="0.5"/>
    <n v="0.22389999999999999"/>
    <n v="9"/>
    <n v="73"/>
    <n v="82"/>
    <n v="0.53362820863247673"/>
    <x v="0"/>
    <n v="0.40959229183511314"/>
    <x v="0"/>
  </r>
  <r>
    <n v="772"/>
    <d v="2011-02-04T00:00:00"/>
    <n v="2"/>
    <x v="1"/>
    <x v="14"/>
    <x v="3"/>
    <b v="0"/>
    <x v="0"/>
    <n v="5"/>
    <x v="6"/>
    <x v="1"/>
    <n v="2"/>
    <x v="1"/>
    <n v="0.28000000000000003"/>
    <n v="0.2727"/>
    <n v="0.45"/>
    <n v="0.16420000000000001"/>
    <n v="15"/>
    <n v="76"/>
    <n v="91"/>
    <n v="1.3185679614627932"/>
    <x v="0"/>
    <n v="0.47223066036778072"/>
    <x v="0"/>
  </r>
  <r>
    <n v="773"/>
    <d v="2011-02-04T00:00:00"/>
    <n v="2"/>
    <x v="1"/>
    <x v="15"/>
    <x v="3"/>
    <b v="0"/>
    <x v="0"/>
    <n v="5"/>
    <x v="6"/>
    <x v="1"/>
    <n v="2"/>
    <x v="1"/>
    <n v="0.28000000000000003"/>
    <n v="0.2727"/>
    <n v="0.48"/>
    <n v="0.25369999999999998"/>
    <n v="9"/>
    <n v="81"/>
    <n v="90"/>
    <n v="0.53362820863247673"/>
    <x v="0"/>
    <n v="0.57662794125555994"/>
    <x v="0"/>
  </r>
  <r>
    <n v="774"/>
    <d v="2011-02-04T00:00:00"/>
    <n v="2"/>
    <x v="1"/>
    <x v="16"/>
    <x v="3"/>
    <b v="0"/>
    <x v="0"/>
    <n v="5"/>
    <x v="6"/>
    <x v="1"/>
    <n v="2"/>
    <x v="1"/>
    <n v="0.3"/>
    <n v="0.28789999999999999"/>
    <n v="0.42"/>
    <n v="0.22389999999999999"/>
    <n v="8"/>
    <n v="91"/>
    <n v="99"/>
    <n v="0.40280491649409061"/>
    <x v="0"/>
    <n v="0.78542250303111849"/>
    <x v="0"/>
  </r>
  <r>
    <n v="775"/>
    <d v="2011-02-04T00:00:00"/>
    <n v="2"/>
    <x v="1"/>
    <x v="17"/>
    <x v="4"/>
    <b v="0"/>
    <x v="0"/>
    <n v="5"/>
    <x v="6"/>
    <x v="1"/>
    <n v="2"/>
    <x v="1"/>
    <n v="0.26"/>
    <n v="0.2727"/>
    <n v="0.56000000000000005"/>
    <n v="0.1343"/>
    <n v="10"/>
    <n v="195"/>
    <n v="205"/>
    <n v="0.66445150077086279"/>
    <x v="0"/>
    <n v="2.9568859454969272"/>
    <x v="1"/>
  </r>
  <r>
    <n v="776"/>
    <d v="2011-02-04T00:00:00"/>
    <n v="2"/>
    <x v="1"/>
    <x v="18"/>
    <x v="4"/>
    <b v="0"/>
    <x v="0"/>
    <n v="5"/>
    <x v="6"/>
    <x v="1"/>
    <n v="2"/>
    <x v="1"/>
    <n v="0.24"/>
    <n v="0.2576"/>
    <n v="0.6"/>
    <n v="0.1045"/>
    <n v="3"/>
    <n v="152"/>
    <n v="155"/>
    <n v="-0.25131154419783963"/>
    <x v="0"/>
    <n v="2.0590693298620253"/>
    <x v="1"/>
  </r>
  <r>
    <n v="777"/>
    <d v="2011-02-04T00:00:00"/>
    <n v="2"/>
    <x v="1"/>
    <x v="19"/>
    <x v="4"/>
    <b v="0"/>
    <x v="0"/>
    <n v="5"/>
    <x v="6"/>
    <x v="1"/>
    <n v="2"/>
    <x v="1"/>
    <n v="0.24"/>
    <n v="0.2424"/>
    <n v="0.65"/>
    <n v="0.1343"/>
    <n v="1"/>
    <n v="102"/>
    <n v="103"/>
    <n v="-0.51295812847461175"/>
    <x v="0"/>
    <n v="1.0150965209842329"/>
    <x v="0"/>
  </r>
  <r>
    <n v="778"/>
    <d v="2011-02-04T00:00:00"/>
    <n v="2"/>
    <x v="1"/>
    <x v="20"/>
    <x v="4"/>
    <b v="0"/>
    <x v="0"/>
    <n v="5"/>
    <x v="6"/>
    <x v="1"/>
    <n v="2"/>
    <x v="1"/>
    <n v="0.24"/>
    <n v="0.2424"/>
    <n v="0.65"/>
    <n v="0.16420000000000001"/>
    <n v="2"/>
    <n v="69"/>
    <n v="71"/>
    <n v="-0.38213483633622569"/>
    <x v="0"/>
    <n v="0.32607446712488969"/>
    <x v="0"/>
  </r>
  <r>
    <n v="779"/>
    <d v="2011-02-04T00:00:00"/>
    <n v="2"/>
    <x v="1"/>
    <x v="21"/>
    <x v="0"/>
    <b v="0"/>
    <x v="0"/>
    <n v="5"/>
    <x v="6"/>
    <x v="1"/>
    <n v="2"/>
    <x v="1"/>
    <n v="0.24"/>
    <n v="0.2424"/>
    <n v="0.7"/>
    <n v="0.16420000000000001"/>
    <n v="2"/>
    <n v="41"/>
    <n v="43"/>
    <n v="-0.38213483633622569"/>
    <x v="0"/>
    <n v="-0.25855030584667421"/>
    <x v="0"/>
  </r>
  <r>
    <n v="780"/>
    <d v="2011-02-04T00:00:00"/>
    <n v="2"/>
    <x v="1"/>
    <x v="22"/>
    <x v="0"/>
    <b v="0"/>
    <x v="0"/>
    <n v="5"/>
    <x v="6"/>
    <x v="1"/>
    <n v="2"/>
    <x v="1"/>
    <n v="0.24"/>
    <n v="0.2424"/>
    <n v="0.65"/>
    <n v="0.16420000000000001"/>
    <n v="1"/>
    <n v="45"/>
    <n v="46"/>
    <n v="-0.51295812847461175"/>
    <x v="0"/>
    <n v="-0.17503248113645078"/>
    <x v="0"/>
  </r>
  <r>
    <n v="781"/>
    <d v="2011-02-04T00:00:00"/>
    <n v="2"/>
    <x v="1"/>
    <x v="23"/>
    <x v="0"/>
    <b v="0"/>
    <x v="0"/>
    <n v="5"/>
    <x v="6"/>
    <x v="1"/>
    <n v="2"/>
    <x v="1"/>
    <n v="0.24"/>
    <n v="0.2424"/>
    <n v="0.7"/>
    <n v="0.1343"/>
    <n v="1"/>
    <n v="30"/>
    <n v="31"/>
    <n v="-0.51295812847461175"/>
    <x v="0"/>
    <n v="-0.48822432379978858"/>
    <x v="0"/>
  </r>
  <r>
    <n v="782"/>
    <d v="2011-02-05T00:00:00"/>
    <n v="2"/>
    <x v="1"/>
    <x v="0"/>
    <x v="0"/>
    <b v="0"/>
    <x v="0"/>
    <n v="6"/>
    <x v="0"/>
    <x v="0"/>
    <n v="2"/>
    <x v="1"/>
    <n v="0.24"/>
    <n v="0.2424"/>
    <n v="0.7"/>
    <n v="0.16420000000000001"/>
    <n v="3"/>
    <n v="36"/>
    <n v="39"/>
    <n v="-0.25131154419783963"/>
    <x v="0"/>
    <n v="-0.36294758673445349"/>
    <x v="0"/>
  </r>
  <r>
    <n v="783"/>
    <d v="2011-02-05T00:00:00"/>
    <n v="2"/>
    <x v="1"/>
    <x v="1"/>
    <x v="0"/>
    <b v="0"/>
    <x v="0"/>
    <n v="6"/>
    <x v="0"/>
    <x v="0"/>
    <n v="2"/>
    <x v="1"/>
    <n v="0.24"/>
    <n v="0.2424"/>
    <n v="0.65"/>
    <n v="0.16420000000000001"/>
    <n v="1"/>
    <n v="17"/>
    <n v="18"/>
    <n v="-0.51295812847461175"/>
    <x v="0"/>
    <n v="-0.75965725410801466"/>
    <x v="0"/>
  </r>
  <r>
    <n v="784"/>
    <d v="2011-02-05T00:00:00"/>
    <n v="2"/>
    <x v="1"/>
    <x v="2"/>
    <x v="0"/>
    <b v="0"/>
    <x v="0"/>
    <n v="6"/>
    <x v="0"/>
    <x v="0"/>
    <n v="2"/>
    <x v="1"/>
    <n v="0.24"/>
    <n v="0.2424"/>
    <n v="0.75"/>
    <n v="0.16420000000000001"/>
    <n v="5"/>
    <n v="12"/>
    <n v="17"/>
    <n v="1.0335040078932463E-2"/>
    <x v="0"/>
    <n v="-0.86405453499579399"/>
    <x v="0"/>
  </r>
  <r>
    <n v="785"/>
    <d v="2011-02-05T00:00:00"/>
    <n v="2"/>
    <x v="1"/>
    <x v="3"/>
    <x v="0"/>
    <b v="0"/>
    <x v="0"/>
    <n v="6"/>
    <x v="0"/>
    <x v="0"/>
    <n v="2"/>
    <x v="1"/>
    <n v="0.24"/>
    <n v="0.2424"/>
    <n v="0.75"/>
    <n v="0.16420000000000001"/>
    <n v="1"/>
    <n v="10"/>
    <n v="11"/>
    <n v="-0.51295812847461175"/>
    <x v="0"/>
    <n v="-0.90581344735090563"/>
    <x v="0"/>
  </r>
  <r>
    <n v="786"/>
    <d v="2011-02-05T00:00:00"/>
    <n v="2"/>
    <x v="1"/>
    <x v="4"/>
    <x v="0"/>
    <b v="0"/>
    <x v="0"/>
    <n v="6"/>
    <x v="0"/>
    <x v="0"/>
    <n v="3"/>
    <x v="2"/>
    <n v="0.22"/>
    <n v="0.2273"/>
    <n v="0.93"/>
    <n v="0.1343"/>
    <n v="0"/>
    <n v="8"/>
    <n v="8"/>
    <n v="-0.64378142061299781"/>
    <x v="0"/>
    <n v="-0.94757235970601739"/>
    <x v="0"/>
  </r>
  <r>
    <n v="787"/>
    <d v="2011-02-05T00:00:00"/>
    <n v="2"/>
    <x v="1"/>
    <x v="5"/>
    <x v="1"/>
    <b v="0"/>
    <x v="0"/>
    <n v="6"/>
    <x v="0"/>
    <x v="0"/>
    <n v="3"/>
    <x v="2"/>
    <n v="0.2"/>
    <n v="0.2273"/>
    <n v="1"/>
    <n v="8.9599999999999999E-2"/>
    <n v="0"/>
    <n v="9"/>
    <n v="9"/>
    <n v="-0.64378142061299781"/>
    <x v="0"/>
    <n v="-0.92669290352846156"/>
    <x v="0"/>
  </r>
  <r>
    <n v="788"/>
    <d v="2011-02-05T00:00:00"/>
    <n v="2"/>
    <x v="1"/>
    <x v="6"/>
    <x v="1"/>
    <b v="0"/>
    <x v="0"/>
    <n v="6"/>
    <x v="0"/>
    <x v="0"/>
    <n v="3"/>
    <x v="2"/>
    <n v="0.2"/>
    <n v="0.2576"/>
    <n v="1"/>
    <n v="0"/>
    <n v="0"/>
    <n v="4"/>
    <n v="4"/>
    <n v="-0.64378142061299781"/>
    <x v="0"/>
    <n v="-1.0310901844162408"/>
    <x v="0"/>
  </r>
  <r>
    <n v="789"/>
    <d v="2011-02-05T00:00:00"/>
    <n v="2"/>
    <x v="1"/>
    <x v="7"/>
    <x v="1"/>
    <b v="0"/>
    <x v="0"/>
    <n v="6"/>
    <x v="0"/>
    <x v="0"/>
    <n v="3"/>
    <x v="2"/>
    <n v="0.22"/>
    <n v="0.2576"/>
    <n v="0.93"/>
    <n v="8.9599999999999999E-2"/>
    <n v="0"/>
    <n v="4"/>
    <n v="4"/>
    <n v="-0.64378142061299781"/>
    <x v="0"/>
    <n v="-1.0310901844162408"/>
    <x v="0"/>
  </r>
  <r>
    <n v="790"/>
    <d v="2011-02-05T00:00:00"/>
    <n v="2"/>
    <x v="1"/>
    <x v="8"/>
    <x v="2"/>
    <b v="0"/>
    <x v="0"/>
    <n v="6"/>
    <x v="0"/>
    <x v="0"/>
    <n v="3"/>
    <x v="2"/>
    <n v="0.2"/>
    <n v="0.2273"/>
    <n v="1"/>
    <n v="8.9599999999999999E-2"/>
    <n v="0"/>
    <n v="10"/>
    <n v="10"/>
    <n v="-0.64378142061299781"/>
    <x v="0"/>
    <n v="-0.90581344735090563"/>
    <x v="0"/>
  </r>
  <r>
    <n v="791"/>
    <d v="2011-02-05T00:00:00"/>
    <n v="2"/>
    <x v="1"/>
    <x v="9"/>
    <x v="2"/>
    <b v="0"/>
    <x v="0"/>
    <n v="6"/>
    <x v="0"/>
    <x v="0"/>
    <n v="3"/>
    <x v="2"/>
    <n v="0.2"/>
    <n v="0.2273"/>
    <n v="1"/>
    <n v="8.9599999999999999E-2"/>
    <n v="3"/>
    <n v="17"/>
    <n v="20"/>
    <n v="-0.25131154419783963"/>
    <x v="0"/>
    <n v="-0.75965725410801466"/>
    <x v="0"/>
  </r>
  <r>
    <n v="792"/>
    <d v="2011-02-05T00:00:00"/>
    <n v="2"/>
    <x v="1"/>
    <x v="10"/>
    <x v="2"/>
    <b v="0"/>
    <x v="0"/>
    <n v="6"/>
    <x v="0"/>
    <x v="0"/>
    <n v="3"/>
    <x v="2"/>
    <n v="0.2"/>
    <n v="0.21210000000000001"/>
    <n v="1"/>
    <n v="0.1343"/>
    <n v="3"/>
    <n v="31"/>
    <n v="34"/>
    <n v="-0.25131154419783963"/>
    <x v="0"/>
    <n v="-0.46734486762223271"/>
    <x v="0"/>
  </r>
  <r>
    <n v="793"/>
    <d v="2011-02-05T00:00:00"/>
    <n v="2"/>
    <x v="1"/>
    <x v="11"/>
    <x v="2"/>
    <b v="0"/>
    <x v="0"/>
    <n v="6"/>
    <x v="0"/>
    <x v="0"/>
    <n v="3"/>
    <x v="2"/>
    <n v="0.22"/>
    <n v="0.2273"/>
    <n v="1"/>
    <n v="0.1343"/>
    <n v="1"/>
    <n v="46"/>
    <n v="47"/>
    <n v="-0.51295812847461175"/>
    <x v="0"/>
    <n v="-0.15415302495889494"/>
    <x v="0"/>
  </r>
  <r>
    <n v="794"/>
    <d v="2011-02-05T00:00:00"/>
    <n v="2"/>
    <x v="1"/>
    <x v="12"/>
    <x v="3"/>
    <b v="0"/>
    <x v="0"/>
    <n v="6"/>
    <x v="0"/>
    <x v="0"/>
    <n v="3"/>
    <x v="2"/>
    <n v="0.22"/>
    <n v="0.2273"/>
    <n v="1"/>
    <n v="0.16420000000000001"/>
    <n v="10"/>
    <n v="42"/>
    <n v="52"/>
    <n v="0.66445150077086279"/>
    <x v="0"/>
    <n v="-0.23767084966911833"/>
    <x v="0"/>
  </r>
  <r>
    <n v="795"/>
    <d v="2011-02-05T00:00:00"/>
    <n v="2"/>
    <x v="1"/>
    <x v="13"/>
    <x v="3"/>
    <b v="0"/>
    <x v="0"/>
    <n v="6"/>
    <x v="0"/>
    <x v="0"/>
    <n v="3"/>
    <x v="2"/>
    <n v="0.22"/>
    <n v="0.2273"/>
    <n v="1"/>
    <n v="0.16420000000000001"/>
    <n v="10"/>
    <n v="62"/>
    <n v="72"/>
    <n v="0.66445150077086279"/>
    <x v="0"/>
    <n v="0.17991827388199874"/>
    <x v="0"/>
  </r>
  <r>
    <n v="796"/>
    <d v="2011-02-05T00:00:00"/>
    <n v="2"/>
    <x v="1"/>
    <x v="14"/>
    <x v="3"/>
    <b v="0"/>
    <x v="0"/>
    <n v="6"/>
    <x v="0"/>
    <x v="0"/>
    <n v="3"/>
    <x v="2"/>
    <n v="0.22"/>
    <n v="0.2727"/>
    <n v="1"/>
    <n v="0"/>
    <n v="5"/>
    <n v="50"/>
    <n v="55"/>
    <n v="1.0335040078932463E-2"/>
    <x v="0"/>
    <n v="-7.0635200248671509E-2"/>
    <x v="0"/>
  </r>
  <r>
    <n v="797"/>
    <d v="2011-02-05T00:00:00"/>
    <n v="2"/>
    <x v="1"/>
    <x v="15"/>
    <x v="3"/>
    <b v="0"/>
    <x v="0"/>
    <n v="6"/>
    <x v="0"/>
    <x v="0"/>
    <n v="3"/>
    <x v="2"/>
    <n v="0.22"/>
    <n v="0.2727"/>
    <n v="1"/>
    <n v="0"/>
    <n v="11"/>
    <n v="49"/>
    <n v="60"/>
    <n v="0.79527479290924885"/>
    <x v="0"/>
    <n v="-9.1514656426227359E-2"/>
    <x v="0"/>
  </r>
  <r>
    <n v="798"/>
    <d v="2011-02-05T00:00:00"/>
    <n v="2"/>
    <x v="1"/>
    <x v="16"/>
    <x v="3"/>
    <b v="0"/>
    <x v="0"/>
    <n v="6"/>
    <x v="0"/>
    <x v="0"/>
    <n v="3"/>
    <x v="2"/>
    <n v="0.22"/>
    <n v="0.2273"/>
    <n v="1"/>
    <n v="0.1343"/>
    <n v="8"/>
    <n v="63"/>
    <n v="71"/>
    <n v="0.40280491649409061"/>
    <x v="0"/>
    <n v="0.20079773005955459"/>
    <x v="0"/>
  </r>
  <r>
    <n v="799"/>
    <d v="2011-02-05T00:00:00"/>
    <n v="2"/>
    <x v="1"/>
    <x v="17"/>
    <x v="4"/>
    <b v="0"/>
    <x v="0"/>
    <n v="6"/>
    <x v="0"/>
    <x v="0"/>
    <n v="2"/>
    <x v="1"/>
    <n v="0.24"/>
    <n v="0.21210000000000001"/>
    <n v="1"/>
    <n v="0.28360000000000002"/>
    <n v="14"/>
    <n v="64"/>
    <n v="78"/>
    <n v="1.1877446693244071"/>
    <x v="0"/>
    <n v="0.22167718623711044"/>
    <x v="0"/>
  </r>
  <r>
    <n v="800"/>
    <d v="2011-02-05T00:00:00"/>
    <n v="2"/>
    <x v="1"/>
    <x v="18"/>
    <x v="4"/>
    <b v="0"/>
    <x v="0"/>
    <n v="6"/>
    <x v="0"/>
    <x v="0"/>
    <n v="2"/>
    <x v="1"/>
    <n v="0.28000000000000003"/>
    <n v="0.2424"/>
    <n v="0.93"/>
    <n v="0.44779999999999998"/>
    <n v="2"/>
    <n v="81"/>
    <n v="83"/>
    <n v="-0.38213483633622569"/>
    <x v="0"/>
    <n v="0.57662794125555994"/>
    <x v="0"/>
  </r>
  <r>
    <n v="801"/>
    <d v="2011-02-05T00:00:00"/>
    <n v="2"/>
    <x v="1"/>
    <x v="19"/>
    <x v="4"/>
    <b v="0"/>
    <x v="0"/>
    <n v="6"/>
    <x v="0"/>
    <x v="0"/>
    <n v="2"/>
    <x v="1"/>
    <n v="0.28000000000000003"/>
    <n v="0.2424"/>
    <n v="0.93"/>
    <n v="0.44779999999999998"/>
    <n v="6"/>
    <n v="78"/>
    <n v="84"/>
    <n v="0.14115833221731852"/>
    <x v="0"/>
    <n v="0.51398957272289236"/>
    <x v="0"/>
  </r>
  <r>
    <n v="802"/>
    <d v="2011-02-05T00:00:00"/>
    <n v="2"/>
    <x v="1"/>
    <x v="20"/>
    <x v="4"/>
    <b v="0"/>
    <x v="0"/>
    <n v="6"/>
    <x v="0"/>
    <x v="0"/>
    <n v="1"/>
    <x v="0"/>
    <n v="0.3"/>
    <n v="0.28789999999999999"/>
    <n v="0.87"/>
    <n v="0.25369999999999998"/>
    <n v="5"/>
    <n v="64"/>
    <n v="69"/>
    <n v="1.0335040078932463E-2"/>
    <x v="0"/>
    <n v="0.22167718623711044"/>
    <x v="0"/>
  </r>
  <r>
    <n v="803"/>
    <d v="2011-02-05T00:00:00"/>
    <n v="2"/>
    <x v="1"/>
    <x v="21"/>
    <x v="0"/>
    <b v="0"/>
    <x v="0"/>
    <n v="6"/>
    <x v="0"/>
    <x v="0"/>
    <n v="1"/>
    <x v="0"/>
    <n v="0.26"/>
    <n v="0.2576"/>
    <n v="1"/>
    <n v="0.19400000000000001"/>
    <n v="3"/>
    <n v="53"/>
    <n v="56"/>
    <n v="-0.25131154419783963"/>
    <x v="0"/>
    <n v="-7.9968317160039482E-3"/>
    <x v="0"/>
  </r>
  <r>
    <n v="804"/>
    <d v="2011-02-05T00:00:00"/>
    <n v="2"/>
    <x v="1"/>
    <x v="22"/>
    <x v="0"/>
    <b v="0"/>
    <x v="0"/>
    <n v="6"/>
    <x v="0"/>
    <x v="0"/>
    <n v="1"/>
    <x v="0"/>
    <n v="0.26"/>
    <n v="0.2727"/>
    <n v="0.93"/>
    <n v="0.1343"/>
    <n v="2"/>
    <n v="43"/>
    <n v="45"/>
    <n v="-0.38213483633622569"/>
    <x v="0"/>
    <n v="-0.21679139349156248"/>
    <x v="0"/>
  </r>
  <r>
    <n v="805"/>
    <d v="2011-02-05T00:00:00"/>
    <n v="2"/>
    <x v="1"/>
    <x v="23"/>
    <x v="0"/>
    <b v="0"/>
    <x v="0"/>
    <n v="6"/>
    <x v="0"/>
    <x v="0"/>
    <n v="1"/>
    <x v="0"/>
    <n v="0.26"/>
    <n v="0.2576"/>
    <n v="0.93"/>
    <n v="0.22389999999999999"/>
    <n v="7"/>
    <n v="52"/>
    <n v="59"/>
    <n v="0.27198162435570455"/>
    <x v="0"/>
    <n v="-2.8876287893559803E-2"/>
    <x v="0"/>
  </r>
  <r>
    <n v="806"/>
    <d v="2011-02-06T00:00:00"/>
    <n v="2"/>
    <x v="1"/>
    <x v="0"/>
    <x v="0"/>
    <b v="0"/>
    <x v="0"/>
    <n v="0"/>
    <x v="1"/>
    <x v="0"/>
    <n v="1"/>
    <x v="0"/>
    <n v="0.26"/>
    <n v="0.2576"/>
    <n v="0.7"/>
    <n v="0.19400000000000001"/>
    <n v="2"/>
    <n v="37"/>
    <n v="39"/>
    <n v="-0.38213483633622569"/>
    <x v="0"/>
    <n v="-0.34206813055689761"/>
    <x v="0"/>
  </r>
  <r>
    <n v="807"/>
    <d v="2011-02-06T00:00:00"/>
    <n v="2"/>
    <x v="1"/>
    <x v="1"/>
    <x v="0"/>
    <b v="0"/>
    <x v="0"/>
    <n v="0"/>
    <x v="1"/>
    <x v="0"/>
    <n v="1"/>
    <x v="0"/>
    <n v="0.26"/>
    <n v="0.2273"/>
    <n v="0.65"/>
    <n v="0.41789999999999999"/>
    <n v="4"/>
    <n v="40"/>
    <n v="44"/>
    <n v="-0.1204882520594536"/>
    <x v="0"/>
    <n v="-0.27942976202423003"/>
    <x v="0"/>
  </r>
  <r>
    <n v="808"/>
    <d v="2011-02-06T00:00:00"/>
    <n v="2"/>
    <x v="1"/>
    <x v="2"/>
    <x v="0"/>
    <b v="0"/>
    <x v="0"/>
    <n v="0"/>
    <x v="1"/>
    <x v="0"/>
    <n v="1"/>
    <x v="0"/>
    <n v="0.26"/>
    <n v="0.2273"/>
    <n v="0.6"/>
    <n v="0.32840000000000003"/>
    <n v="0"/>
    <n v="20"/>
    <n v="20"/>
    <n v="-0.64378142061299781"/>
    <x v="0"/>
    <n v="-0.69701888557534708"/>
    <x v="0"/>
  </r>
  <r>
    <n v="809"/>
    <d v="2011-02-06T00:00:00"/>
    <n v="2"/>
    <x v="1"/>
    <x v="3"/>
    <x v="0"/>
    <b v="0"/>
    <x v="0"/>
    <n v="0"/>
    <x v="1"/>
    <x v="0"/>
    <n v="1"/>
    <x v="0"/>
    <n v="0.26"/>
    <n v="0.28789999999999999"/>
    <n v="0.6"/>
    <n v="8.9599999999999999E-2"/>
    <n v="3"/>
    <n v="10"/>
    <n v="13"/>
    <n v="-0.25131154419783963"/>
    <x v="0"/>
    <n v="-0.90581344735090563"/>
    <x v="0"/>
  </r>
  <r>
    <n v="810"/>
    <d v="2011-02-06T00:00:00"/>
    <n v="2"/>
    <x v="1"/>
    <x v="4"/>
    <x v="0"/>
    <b v="0"/>
    <x v="0"/>
    <n v="0"/>
    <x v="1"/>
    <x v="0"/>
    <n v="1"/>
    <x v="0"/>
    <n v="0.26"/>
    <n v="0.2273"/>
    <n v="0.6"/>
    <n v="0.35820000000000002"/>
    <n v="0"/>
    <n v="2"/>
    <n v="2"/>
    <n v="-0.64378142061299781"/>
    <x v="0"/>
    <n v="-1.0728490967713524"/>
    <x v="0"/>
  </r>
  <r>
    <n v="811"/>
    <d v="2011-02-06T00:00:00"/>
    <n v="2"/>
    <x v="1"/>
    <x v="5"/>
    <x v="1"/>
    <b v="0"/>
    <x v="0"/>
    <n v="0"/>
    <x v="1"/>
    <x v="0"/>
    <n v="1"/>
    <x v="0"/>
    <n v="0.26"/>
    <n v="0.2576"/>
    <n v="0.6"/>
    <n v="0.22389999999999999"/>
    <n v="0"/>
    <n v="1"/>
    <n v="1"/>
    <n v="-0.64378142061299781"/>
    <x v="0"/>
    <n v="-1.0937285529489083"/>
    <x v="0"/>
  </r>
  <r>
    <n v="812"/>
    <d v="2011-02-06T00:00:00"/>
    <n v="2"/>
    <x v="1"/>
    <x v="6"/>
    <x v="1"/>
    <b v="0"/>
    <x v="0"/>
    <n v="0"/>
    <x v="1"/>
    <x v="0"/>
    <n v="1"/>
    <x v="0"/>
    <n v="0.26"/>
    <n v="0.2576"/>
    <n v="0.6"/>
    <n v="0.22389999999999999"/>
    <n v="0"/>
    <n v="1"/>
    <n v="1"/>
    <n v="-0.64378142061299781"/>
    <x v="0"/>
    <n v="-1.0937285529489083"/>
    <x v="0"/>
  </r>
  <r>
    <n v="813"/>
    <d v="2011-02-06T00:00:00"/>
    <n v="2"/>
    <x v="1"/>
    <x v="7"/>
    <x v="1"/>
    <b v="0"/>
    <x v="0"/>
    <n v="0"/>
    <x v="1"/>
    <x v="0"/>
    <n v="1"/>
    <x v="0"/>
    <n v="0.24"/>
    <n v="0.2424"/>
    <n v="0.65"/>
    <n v="0.16420000000000001"/>
    <n v="0"/>
    <n v="8"/>
    <n v="8"/>
    <n v="-0.64378142061299781"/>
    <x v="0"/>
    <n v="-0.94757235970601739"/>
    <x v="0"/>
  </r>
  <r>
    <n v="814"/>
    <d v="2011-02-06T00:00:00"/>
    <n v="2"/>
    <x v="1"/>
    <x v="8"/>
    <x v="2"/>
    <b v="0"/>
    <x v="0"/>
    <n v="0"/>
    <x v="1"/>
    <x v="0"/>
    <n v="1"/>
    <x v="0"/>
    <n v="0.24"/>
    <n v="0.2576"/>
    <n v="0.65"/>
    <n v="0.1045"/>
    <n v="2"/>
    <n v="21"/>
    <n v="23"/>
    <n v="-0.38213483633622569"/>
    <x v="0"/>
    <n v="-0.67613942939779126"/>
    <x v="0"/>
  </r>
  <r>
    <n v="815"/>
    <d v="2011-02-06T00:00:00"/>
    <n v="2"/>
    <x v="1"/>
    <x v="9"/>
    <x v="2"/>
    <b v="0"/>
    <x v="0"/>
    <n v="0"/>
    <x v="1"/>
    <x v="0"/>
    <n v="1"/>
    <x v="0"/>
    <n v="0.28000000000000003"/>
    <n v="0.28789999999999999"/>
    <n v="0.56000000000000005"/>
    <n v="0.1045"/>
    <n v="7"/>
    <n v="38"/>
    <n v="45"/>
    <n v="0.27198162435570455"/>
    <x v="0"/>
    <n v="-0.32118867437934173"/>
    <x v="0"/>
  </r>
  <r>
    <n v="816"/>
    <d v="2011-02-06T00:00:00"/>
    <n v="2"/>
    <x v="1"/>
    <x v="10"/>
    <x v="2"/>
    <b v="0"/>
    <x v="0"/>
    <n v="0"/>
    <x v="1"/>
    <x v="0"/>
    <n v="1"/>
    <x v="0"/>
    <n v="0.3"/>
    <n v="0.28789999999999999"/>
    <n v="0.52"/>
    <n v="0.25369999999999998"/>
    <n v="15"/>
    <n v="74"/>
    <n v="89"/>
    <n v="1.3185679614627932"/>
    <x v="0"/>
    <n v="0.43047174801266896"/>
    <x v="0"/>
  </r>
  <r>
    <n v="817"/>
    <d v="2011-02-06T00:00:00"/>
    <n v="2"/>
    <x v="1"/>
    <x v="11"/>
    <x v="2"/>
    <b v="0"/>
    <x v="0"/>
    <n v="0"/>
    <x v="1"/>
    <x v="0"/>
    <n v="1"/>
    <x v="0"/>
    <n v="0.32"/>
    <n v="0.30299999999999999"/>
    <n v="0.49"/>
    <n v="0.25369999999999998"/>
    <n v="28"/>
    <n v="89"/>
    <n v="117"/>
    <n v="3.0192707592618118"/>
    <x v="1"/>
    <n v="0.74366359067600685"/>
    <x v="0"/>
  </r>
  <r>
    <n v="818"/>
    <d v="2011-02-06T00:00:00"/>
    <n v="2"/>
    <x v="1"/>
    <x v="12"/>
    <x v="3"/>
    <b v="0"/>
    <x v="0"/>
    <n v="0"/>
    <x v="1"/>
    <x v="0"/>
    <n v="1"/>
    <x v="0"/>
    <n v="0.34"/>
    <n v="0.33329999999999999"/>
    <n v="0.46"/>
    <n v="0"/>
    <n v="48"/>
    <n v="126"/>
    <n v="174"/>
    <n v="5.6357366020295334"/>
    <x v="1"/>
    <n v="1.5162034692455733"/>
    <x v="0"/>
  </r>
  <r>
    <n v="819"/>
    <d v="2011-02-06T00:00:00"/>
    <n v="2"/>
    <x v="1"/>
    <x v="13"/>
    <x v="3"/>
    <b v="0"/>
    <x v="0"/>
    <n v="0"/>
    <x v="1"/>
    <x v="0"/>
    <n v="1"/>
    <x v="0"/>
    <n v="0.34"/>
    <n v="0.36359999999999998"/>
    <n v="0.46"/>
    <n v="0"/>
    <n v="47"/>
    <n v="135"/>
    <n v="182"/>
    <n v="5.5049133098911467"/>
    <x v="1"/>
    <n v="1.7041185748435759"/>
    <x v="0"/>
  </r>
  <r>
    <n v="820"/>
    <d v="2011-02-06T00:00:00"/>
    <n v="2"/>
    <x v="1"/>
    <x v="14"/>
    <x v="3"/>
    <b v="0"/>
    <x v="0"/>
    <n v="0"/>
    <x v="1"/>
    <x v="0"/>
    <n v="1"/>
    <x v="0"/>
    <n v="0.34"/>
    <n v="0.34849999999999998"/>
    <n v="0.46"/>
    <n v="8.9599999999999999E-2"/>
    <n v="47"/>
    <n v="114"/>
    <n v="161"/>
    <n v="5.5049133098911467"/>
    <x v="1"/>
    <n v="1.2656499951149032"/>
    <x v="0"/>
  </r>
  <r>
    <n v="821"/>
    <d v="2011-02-06T00:00:00"/>
    <n v="2"/>
    <x v="1"/>
    <x v="15"/>
    <x v="3"/>
    <b v="0"/>
    <x v="0"/>
    <n v="0"/>
    <x v="1"/>
    <x v="0"/>
    <n v="1"/>
    <x v="0"/>
    <n v="0.34"/>
    <n v="0.34849999999999998"/>
    <n v="0.46"/>
    <n v="8.9599999999999999E-2"/>
    <n v="52"/>
    <n v="130"/>
    <n v="182"/>
    <n v="6.1590297705830777"/>
    <x v="1"/>
    <n v="1.5997212939557968"/>
    <x v="0"/>
  </r>
  <r>
    <n v="822"/>
    <d v="2011-02-06T00:00:00"/>
    <n v="2"/>
    <x v="1"/>
    <x v="16"/>
    <x v="3"/>
    <b v="0"/>
    <x v="0"/>
    <n v="0"/>
    <x v="1"/>
    <x v="0"/>
    <n v="1"/>
    <x v="0"/>
    <n v="0.34"/>
    <n v="0.34849999999999998"/>
    <n v="0.49"/>
    <n v="0.1045"/>
    <n v="42"/>
    <n v="115"/>
    <n v="157"/>
    <n v="4.8507968491992166"/>
    <x v="1"/>
    <n v="1.286529451292459"/>
    <x v="0"/>
  </r>
  <r>
    <n v="823"/>
    <d v="2011-02-06T00:00:00"/>
    <n v="2"/>
    <x v="1"/>
    <x v="17"/>
    <x v="4"/>
    <b v="0"/>
    <x v="0"/>
    <n v="0"/>
    <x v="1"/>
    <x v="0"/>
    <n v="1"/>
    <x v="0"/>
    <n v="0.34"/>
    <n v="0.36359999999999998"/>
    <n v="0.46"/>
    <n v="0"/>
    <n v="24"/>
    <n v="97"/>
    <n v="121"/>
    <n v="2.4959775907082675"/>
    <x v="1"/>
    <n v="0.91069924009645364"/>
    <x v="0"/>
  </r>
  <r>
    <n v="824"/>
    <d v="2011-02-06T00:00:00"/>
    <n v="2"/>
    <x v="1"/>
    <x v="18"/>
    <x v="4"/>
    <b v="0"/>
    <x v="0"/>
    <n v="0"/>
    <x v="1"/>
    <x v="0"/>
    <n v="1"/>
    <x v="0"/>
    <n v="0.3"/>
    <n v="0.30299999999999999"/>
    <n v="0.56000000000000005"/>
    <n v="0.16420000000000001"/>
    <n v="13"/>
    <n v="65"/>
    <n v="78"/>
    <n v="1.0569213771860211"/>
    <x v="0"/>
    <n v="0.24255664241466629"/>
    <x v="0"/>
  </r>
  <r>
    <n v="825"/>
    <d v="2011-02-06T00:00:00"/>
    <n v="2"/>
    <x v="1"/>
    <x v="19"/>
    <x v="4"/>
    <b v="0"/>
    <x v="0"/>
    <n v="0"/>
    <x v="1"/>
    <x v="0"/>
    <n v="1"/>
    <x v="0"/>
    <n v="0.28000000000000003"/>
    <n v="0.28789999999999999"/>
    <n v="0.61"/>
    <n v="0.1343"/>
    <n v="1"/>
    <n v="20"/>
    <n v="21"/>
    <n v="-0.51295812847461175"/>
    <x v="0"/>
    <n v="-0.69701888557534708"/>
    <x v="0"/>
  </r>
  <r>
    <n v="826"/>
    <d v="2011-02-06T00:00:00"/>
    <n v="2"/>
    <x v="1"/>
    <x v="20"/>
    <x v="4"/>
    <b v="0"/>
    <x v="0"/>
    <n v="0"/>
    <x v="1"/>
    <x v="0"/>
    <n v="1"/>
    <x v="0"/>
    <n v="0.28000000000000003"/>
    <n v="0.28789999999999999"/>
    <n v="0.61"/>
    <n v="0.1045"/>
    <n v="5"/>
    <n v="21"/>
    <n v="26"/>
    <n v="1.0335040078932463E-2"/>
    <x v="0"/>
    <n v="-0.67613942939779126"/>
    <x v="0"/>
  </r>
  <r>
    <n v="827"/>
    <d v="2011-02-06T00:00:00"/>
    <n v="2"/>
    <x v="1"/>
    <x v="21"/>
    <x v="0"/>
    <b v="0"/>
    <x v="0"/>
    <n v="0"/>
    <x v="1"/>
    <x v="0"/>
    <n v="1"/>
    <x v="0"/>
    <n v="0.26"/>
    <n v="0.30299999999999999"/>
    <n v="0.6"/>
    <n v="0"/>
    <n v="5"/>
    <n v="22"/>
    <n v="27"/>
    <n v="1.0335040078932463E-2"/>
    <x v="0"/>
    <n v="-0.65525997322023544"/>
    <x v="0"/>
  </r>
  <r>
    <n v="828"/>
    <d v="2011-02-06T00:00:00"/>
    <n v="2"/>
    <x v="1"/>
    <x v="22"/>
    <x v="0"/>
    <b v="0"/>
    <x v="0"/>
    <n v="0"/>
    <x v="1"/>
    <x v="0"/>
    <n v="1"/>
    <x v="0"/>
    <n v="0.26"/>
    <n v="0.30299999999999999"/>
    <n v="0.6"/>
    <n v="0"/>
    <n v="5"/>
    <n v="57"/>
    <n v="62"/>
    <n v="1.0335040078932463E-2"/>
    <x v="0"/>
    <n v="7.5520992994219466E-2"/>
    <x v="0"/>
  </r>
  <r>
    <n v="829"/>
    <d v="2011-02-06T00:00:00"/>
    <n v="2"/>
    <x v="1"/>
    <x v="23"/>
    <x v="0"/>
    <b v="0"/>
    <x v="0"/>
    <n v="0"/>
    <x v="1"/>
    <x v="0"/>
    <n v="1"/>
    <x v="0"/>
    <n v="0.24"/>
    <n v="0.28789999999999999"/>
    <n v="0.65"/>
    <n v="0"/>
    <n v="4"/>
    <n v="26"/>
    <n v="30"/>
    <n v="-0.1204882520594536"/>
    <x v="0"/>
    <n v="-0.57174214851001204"/>
    <x v="0"/>
  </r>
  <r>
    <n v="830"/>
    <d v="2011-02-07T00:00:00"/>
    <n v="2"/>
    <x v="1"/>
    <x v="0"/>
    <x v="0"/>
    <b v="0"/>
    <x v="0"/>
    <n v="1"/>
    <x v="2"/>
    <x v="1"/>
    <n v="1"/>
    <x v="0"/>
    <n v="0.24"/>
    <n v="0.28789999999999999"/>
    <n v="0.65"/>
    <n v="0"/>
    <n v="1"/>
    <n v="14"/>
    <n v="15"/>
    <n v="-0.51295812847461175"/>
    <x v="0"/>
    <n v="-0.82229562264068223"/>
    <x v="0"/>
  </r>
  <r>
    <n v="831"/>
    <d v="2011-02-07T00:00:00"/>
    <n v="2"/>
    <x v="1"/>
    <x v="1"/>
    <x v="0"/>
    <b v="0"/>
    <x v="0"/>
    <n v="1"/>
    <x v="2"/>
    <x v="1"/>
    <n v="1"/>
    <x v="0"/>
    <n v="0.22"/>
    <n v="0.2727"/>
    <n v="0.75"/>
    <n v="0"/>
    <n v="1"/>
    <n v="4"/>
    <n v="5"/>
    <n v="-0.51295812847461175"/>
    <x v="0"/>
    <n v="-1.0310901844162408"/>
    <x v="0"/>
  </r>
  <r>
    <n v="832"/>
    <d v="2011-02-07T00:00:00"/>
    <n v="2"/>
    <x v="1"/>
    <x v="2"/>
    <x v="0"/>
    <b v="0"/>
    <x v="0"/>
    <n v="1"/>
    <x v="2"/>
    <x v="1"/>
    <n v="1"/>
    <x v="0"/>
    <n v="0.2"/>
    <n v="0.2576"/>
    <n v="0.8"/>
    <n v="0"/>
    <n v="0"/>
    <n v="3"/>
    <n v="3"/>
    <n v="-0.64378142061299781"/>
    <x v="0"/>
    <n v="-1.0519696405937966"/>
    <x v="0"/>
  </r>
  <r>
    <n v="833"/>
    <d v="2011-02-07T00:00:00"/>
    <n v="2"/>
    <x v="1"/>
    <x v="3"/>
    <x v="0"/>
    <b v="0"/>
    <x v="0"/>
    <n v="1"/>
    <x v="2"/>
    <x v="1"/>
    <n v="1"/>
    <x v="0"/>
    <n v="0.2"/>
    <n v="0.2576"/>
    <n v="0.86"/>
    <n v="0"/>
    <n v="0"/>
    <n v="1"/>
    <n v="1"/>
    <n v="-0.64378142061299781"/>
    <x v="0"/>
    <n v="-1.0937285529489083"/>
    <x v="0"/>
  </r>
  <r>
    <n v="834"/>
    <d v="2011-02-07T00:00:00"/>
    <n v="2"/>
    <x v="1"/>
    <x v="4"/>
    <x v="0"/>
    <b v="0"/>
    <x v="0"/>
    <n v="1"/>
    <x v="2"/>
    <x v="1"/>
    <n v="1"/>
    <x v="0"/>
    <n v="0.2"/>
    <n v="0.2576"/>
    <n v="0.86"/>
    <n v="0"/>
    <n v="1"/>
    <n v="1"/>
    <n v="2"/>
    <n v="-0.51295812847461175"/>
    <x v="0"/>
    <n v="-1.0937285529489083"/>
    <x v="0"/>
  </r>
  <r>
    <n v="835"/>
    <d v="2011-02-07T00:00:00"/>
    <n v="2"/>
    <x v="1"/>
    <x v="5"/>
    <x v="1"/>
    <b v="0"/>
    <x v="0"/>
    <n v="1"/>
    <x v="2"/>
    <x v="1"/>
    <n v="1"/>
    <x v="0"/>
    <n v="0.2"/>
    <n v="0.2576"/>
    <n v="0.86"/>
    <n v="0"/>
    <n v="1"/>
    <n v="9"/>
    <n v="10"/>
    <n v="-0.51295812847461175"/>
    <x v="0"/>
    <n v="-0.92669290352846156"/>
    <x v="0"/>
  </r>
  <r>
    <n v="836"/>
    <d v="2011-02-07T00:00:00"/>
    <n v="2"/>
    <x v="1"/>
    <x v="6"/>
    <x v="1"/>
    <b v="0"/>
    <x v="0"/>
    <n v="1"/>
    <x v="2"/>
    <x v="1"/>
    <n v="1"/>
    <x v="0"/>
    <n v="0.18"/>
    <n v="0.2424"/>
    <n v="0.93"/>
    <n v="0"/>
    <n v="1"/>
    <n v="29"/>
    <n v="30"/>
    <n v="-0.51295812847461175"/>
    <x v="0"/>
    <n v="-0.50910377997734446"/>
    <x v="0"/>
  </r>
  <r>
    <n v="837"/>
    <d v="2011-02-07T00:00:00"/>
    <n v="2"/>
    <x v="1"/>
    <x v="7"/>
    <x v="1"/>
    <b v="0"/>
    <x v="0"/>
    <n v="1"/>
    <x v="2"/>
    <x v="1"/>
    <n v="1"/>
    <x v="0"/>
    <n v="0.18"/>
    <n v="0.2424"/>
    <n v="0.86"/>
    <n v="0"/>
    <n v="6"/>
    <n v="89"/>
    <n v="95"/>
    <n v="0.14115833221731852"/>
    <x v="0"/>
    <n v="0.74366359067600685"/>
    <x v="0"/>
  </r>
  <r>
    <n v="838"/>
    <d v="2011-02-07T00:00:00"/>
    <n v="2"/>
    <x v="1"/>
    <x v="8"/>
    <x v="2"/>
    <b v="0"/>
    <x v="0"/>
    <n v="1"/>
    <x v="2"/>
    <x v="1"/>
    <n v="2"/>
    <x v="1"/>
    <n v="0.16"/>
    <n v="0.2273"/>
    <n v="1"/>
    <n v="0"/>
    <n v="7"/>
    <n v="223"/>
    <n v="230"/>
    <n v="0.27198162435570455"/>
    <x v="0"/>
    <n v="3.5415107184684911"/>
    <x v="1"/>
  </r>
  <r>
    <n v="839"/>
    <d v="2011-02-07T00:00:00"/>
    <n v="2"/>
    <x v="1"/>
    <x v="9"/>
    <x v="2"/>
    <b v="0"/>
    <x v="0"/>
    <n v="1"/>
    <x v="2"/>
    <x v="1"/>
    <n v="1"/>
    <x v="0"/>
    <n v="0.22"/>
    <n v="0.2727"/>
    <n v="0.8"/>
    <n v="0"/>
    <n v="3"/>
    <n v="115"/>
    <n v="118"/>
    <n v="-0.25131154419783963"/>
    <x v="0"/>
    <n v="1.286529451292459"/>
    <x v="0"/>
  </r>
  <r>
    <n v="840"/>
    <d v="2011-02-07T00:00:00"/>
    <n v="2"/>
    <x v="1"/>
    <x v="10"/>
    <x v="2"/>
    <b v="0"/>
    <x v="0"/>
    <n v="1"/>
    <x v="2"/>
    <x v="1"/>
    <n v="1"/>
    <x v="0"/>
    <n v="0.24"/>
    <n v="0.2576"/>
    <n v="0.75"/>
    <n v="0.1045"/>
    <n v="6"/>
    <n v="49"/>
    <n v="55"/>
    <n v="0.14115833221731852"/>
    <x v="0"/>
    <n v="-9.1514656426227359E-2"/>
    <x v="0"/>
  </r>
  <r>
    <n v="841"/>
    <d v="2011-02-07T00:00:00"/>
    <n v="2"/>
    <x v="1"/>
    <x v="11"/>
    <x v="2"/>
    <b v="0"/>
    <x v="0"/>
    <n v="1"/>
    <x v="2"/>
    <x v="1"/>
    <n v="1"/>
    <x v="0"/>
    <n v="0.3"/>
    <n v="0.31819999999999998"/>
    <n v="0.65"/>
    <n v="8.9599999999999999E-2"/>
    <n v="11"/>
    <n v="36"/>
    <n v="47"/>
    <n v="0.79527479290924885"/>
    <x v="0"/>
    <n v="-0.36294758673445349"/>
    <x v="0"/>
  </r>
  <r>
    <n v="842"/>
    <d v="2011-02-07T00:00:00"/>
    <n v="2"/>
    <x v="1"/>
    <x v="12"/>
    <x v="3"/>
    <b v="0"/>
    <x v="0"/>
    <n v="1"/>
    <x v="2"/>
    <x v="1"/>
    <n v="2"/>
    <x v="1"/>
    <n v="0.32"/>
    <n v="0.34849999999999998"/>
    <n v="0.62"/>
    <n v="0"/>
    <n v="7"/>
    <n v="59"/>
    <n v="66"/>
    <n v="0.27198162435570455"/>
    <x v="0"/>
    <n v="0.11727990534933118"/>
    <x v="0"/>
  </r>
  <r>
    <n v="843"/>
    <d v="2011-02-07T00:00:00"/>
    <n v="2"/>
    <x v="1"/>
    <x v="13"/>
    <x v="3"/>
    <b v="0"/>
    <x v="0"/>
    <n v="1"/>
    <x v="2"/>
    <x v="1"/>
    <n v="2"/>
    <x v="1"/>
    <n v="0.36"/>
    <n v="0.36359999999999998"/>
    <n v="0.56999999999999995"/>
    <n v="8.9599999999999999E-2"/>
    <n v="10"/>
    <n v="54"/>
    <n v="64"/>
    <n v="0.66445150077086279"/>
    <x v="0"/>
    <n v="1.2882624461551907E-2"/>
    <x v="0"/>
  </r>
  <r>
    <n v="844"/>
    <d v="2011-02-07T00:00:00"/>
    <n v="2"/>
    <x v="1"/>
    <x v="14"/>
    <x v="3"/>
    <b v="0"/>
    <x v="0"/>
    <n v="1"/>
    <x v="2"/>
    <x v="1"/>
    <n v="2"/>
    <x v="1"/>
    <n v="0.36"/>
    <n v="0.36359999999999998"/>
    <n v="0.56999999999999995"/>
    <n v="8.9599999999999999E-2"/>
    <n v="8"/>
    <n v="52"/>
    <n v="60"/>
    <n v="0.40280491649409061"/>
    <x v="0"/>
    <n v="-2.8876287893559803E-2"/>
    <x v="0"/>
  </r>
  <r>
    <n v="845"/>
    <d v="2011-02-07T00:00:00"/>
    <n v="2"/>
    <x v="1"/>
    <x v="15"/>
    <x v="3"/>
    <b v="0"/>
    <x v="0"/>
    <n v="1"/>
    <x v="2"/>
    <x v="1"/>
    <n v="2"/>
    <x v="1"/>
    <n v="0.38"/>
    <n v="0.39389999999999997"/>
    <n v="0.54"/>
    <n v="8.9599999999999999E-2"/>
    <n v="4"/>
    <n v="46"/>
    <n v="50"/>
    <n v="-0.1204882520594536"/>
    <x v="0"/>
    <n v="-0.15415302495889494"/>
    <x v="0"/>
  </r>
  <r>
    <n v="846"/>
    <d v="2011-02-07T00:00:00"/>
    <n v="2"/>
    <x v="1"/>
    <x v="16"/>
    <x v="3"/>
    <b v="0"/>
    <x v="0"/>
    <n v="1"/>
    <x v="2"/>
    <x v="1"/>
    <n v="2"/>
    <x v="1"/>
    <n v="0.36"/>
    <n v="0.34849999999999998"/>
    <n v="0.56999999999999995"/>
    <n v="0.1343"/>
    <n v="16"/>
    <n v="98"/>
    <n v="114"/>
    <n v="1.4493912536011793"/>
    <x v="0"/>
    <n v="0.93157869627400947"/>
    <x v="0"/>
  </r>
  <r>
    <n v="847"/>
    <d v="2011-02-07T00:00:00"/>
    <n v="2"/>
    <x v="1"/>
    <x v="17"/>
    <x v="4"/>
    <b v="0"/>
    <x v="0"/>
    <n v="1"/>
    <x v="2"/>
    <x v="1"/>
    <n v="2"/>
    <x v="1"/>
    <n v="0.32"/>
    <n v="0.31819999999999998"/>
    <n v="0.7"/>
    <n v="0.16420000000000001"/>
    <n v="9"/>
    <n v="207"/>
    <n v="216"/>
    <n v="0.53362820863247673"/>
    <x v="0"/>
    <n v="3.2074394196275975"/>
    <x v="1"/>
  </r>
  <r>
    <n v="848"/>
    <d v="2011-02-07T00:00:00"/>
    <n v="2"/>
    <x v="1"/>
    <x v="18"/>
    <x v="4"/>
    <b v="0"/>
    <x v="0"/>
    <n v="1"/>
    <x v="2"/>
    <x v="1"/>
    <n v="2"/>
    <x v="1"/>
    <n v="0.34"/>
    <n v="0.33329999999999999"/>
    <n v="0.66"/>
    <n v="0.1343"/>
    <n v="5"/>
    <n v="170"/>
    <n v="175"/>
    <n v="1.0335040078932463E-2"/>
    <x v="0"/>
    <n v="2.434899541058031"/>
    <x v="1"/>
  </r>
  <r>
    <n v="849"/>
    <d v="2011-02-07T00:00:00"/>
    <n v="2"/>
    <x v="1"/>
    <x v="19"/>
    <x v="4"/>
    <b v="0"/>
    <x v="0"/>
    <n v="1"/>
    <x v="2"/>
    <x v="1"/>
    <n v="2"/>
    <x v="1"/>
    <n v="0.32"/>
    <n v="0.34849999999999998"/>
    <n v="0.7"/>
    <n v="0"/>
    <n v="5"/>
    <n v="123"/>
    <n v="128"/>
    <n v="1.0335040078932463E-2"/>
    <x v="0"/>
    <n v="1.4535651007129058"/>
    <x v="0"/>
  </r>
  <r>
    <n v="850"/>
    <d v="2011-02-07T00:00:00"/>
    <n v="2"/>
    <x v="1"/>
    <x v="20"/>
    <x v="4"/>
    <b v="0"/>
    <x v="0"/>
    <n v="1"/>
    <x v="2"/>
    <x v="1"/>
    <n v="2"/>
    <x v="1"/>
    <n v="0.32"/>
    <n v="0.33329999999999999"/>
    <n v="0.7"/>
    <n v="0.1045"/>
    <n v="6"/>
    <n v="82"/>
    <n v="88"/>
    <n v="0.14115833221731852"/>
    <x v="0"/>
    <n v="0.59750739743311576"/>
    <x v="0"/>
  </r>
  <r>
    <n v="851"/>
    <d v="2011-02-07T00:00:00"/>
    <n v="2"/>
    <x v="1"/>
    <x v="21"/>
    <x v="0"/>
    <b v="0"/>
    <x v="0"/>
    <n v="1"/>
    <x v="2"/>
    <x v="1"/>
    <n v="1"/>
    <x v="0"/>
    <n v="0.32"/>
    <n v="0.34849999999999998"/>
    <n v="0.7"/>
    <n v="0"/>
    <n v="3"/>
    <n v="75"/>
    <n v="78"/>
    <n v="-0.25131154419783963"/>
    <x v="0"/>
    <n v="0.45135120419022484"/>
    <x v="0"/>
  </r>
  <r>
    <n v="852"/>
    <d v="2011-02-07T00:00:00"/>
    <n v="2"/>
    <x v="1"/>
    <x v="22"/>
    <x v="0"/>
    <b v="0"/>
    <x v="0"/>
    <n v="1"/>
    <x v="2"/>
    <x v="1"/>
    <n v="1"/>
    <x v="0"/>
    <n v="0.28000000000000003"/>
    <n v="0.30299999999999999"/>
    <n v="0.81"/>
    <n v="8.9599999999999999E-2"/>
    <n v="3"/>
    <n v="34"/>
    <n v="37"/>
    <n v="-0.25131154419783963"/>
    <x v="0"/>
    <n v="-0.40470649908956519"/>
    <x v="0"/>
  </r>
  <r>
    <n v="853"/>
    <d v="2011-02-07T00:00:00"/>
    <n v="2"/>
    <x v="1"/>
    <x v="23"/>
    <x v="0"/>
    <b v="0"/>
    <x v="0"/>
    <n v="1"/>
    <x v="2"/>
    <x v="1"/>
    <n v="2"/>
    <x v="1"/>
    <n v="0.3"/>
    <n v="0.33329999999999999"/>
    <n v="0.81"/>
    <n v="0"/>
    <n v="6"/>
    <n v="19"/>
    <n v="25"/>
    <n v="0.14115833221731852"/>
    <x v="0"/>
    <n v="-0.71789834175290301"/>
    <x v="0"/>
  </r>
  <r>
    <n v="854"/>
    <d v="2011-02-08T00:00:00"/>
    <n v="2"/>
    <x v="1"/>
    <x v="0"/>
    <x v="0"/>
    <b v="0"/>
    <x v="0"/>
    <n v="2"/>
    <x v="3"/>
    <x v="1"/>
    <n v="2"/>
    <x v="1"/>
    <n v="0.28000000000000003"/>
    <n v="0.31819999999999998"/>
    <n v="0.87"/>
    <n v="0"/>
    <n v="4"/>
    <n v="6"/>
    <n v="10"/>
    <n v="-0.1204882520594536"/>
    <x v="0"/>
    <n v="-0.98933127206112903"/>
    <x v="0"/>
  </r>
  <r>
    <n v="855"/>
    <d v="2011-02-08T00:00:00"/>
    <n v="2"/>
    <x v="1"/>
    <x v="1"/>
    <x v="0"/>
    <b v="0"/>
    <x v="0"/>
    <n v="2"/>
    <x v="3"/>
    <x v="1"/>
    <n v="2"/>
    <x v="1"/>
    <n v="0.28000000000000003"/>
    <n v="0.31819999999999998"/>
    <n v="0.87"/>
    <n v="0"/>
    <n v="0"/>
    <n v="4"/>
    <n v="4"/>
    <n v="-0.64378142061299781"/>
    <x v="0"/>
    <n v="-1.0310901844162408"/>
    <x v="0"/>
  </r>
  <r>
    <n v="856"/>
    <d v="2011-02-08T00:00:00"/>
    <n v="2"/>
    <x v="1"/>
    <x v="2"/>
    <x v="0"/>
    <b v="0"/>
    <x v="0"/>
    <n v="2"/>
    <x v="3"/>
    <x v="1"/>
    <n v="2"/>
    <x v="1"/>
    <n v="0.26"/>
    <n v="0.2727"/>
    <n v="0.93"/>
    <n v="0.1045"/>
    <n v="1"/>
    <n v="1"/>
    <n v="2"/>
    <n v="-0.51295812847461175"/>
    <x v="0"/>
    <n v="-1.0937285529489083"/>
    <x v="0"/>
  </r>
  <r>
    <n v="857"/>
    <d v="2011-02-08T00:00:00"/>
    <n v="2"/>
    <x v="1"/>
    <x v="3"/>
    <x v="0"/>
    <b v="0"/>
    <x v="0"/>
    <n v="2"/>
    <x v="3"/>
    <x v="1"/>
    <n v="3"/>
    <x v="2"/>
    <n v="0.28000000000000003"/>
    <n v="0.2727"/>
    <n v="0.93"/>
    <n v="0.16420000000000001"/>
    <n v="0"/>
    <n v="1"/>
    <n v="1"/>
    <n v="-0.64378142061299781"/>
    <x v="0"/>
    <n v="-1.0937285529489083"/>
    <x v="0"/>
  </r>
  <r>
    <n v="858"/>
    <d v="2011-02-08T00:00:00"/>
    <n v="2"/>
    <x v="1"/>
    <x v="4"/>
    <x v="0"/>
    <b v="0"/>
    <x v="0"/>
    <n v="2"/>
    <x v="3"/>
    <x v="1"/>
    <n v="1"/>
    <x v="0"/>
    <n v="0.26"/>
    <n v="0.2576"/>
    <n v="0.93"/>
    <n v="0.16420000000000001"/>
    <n v="0"/>
    <n v="3"/>
    <n v="3"/>
    <n v="-0.64378142061299781"/>
    <x v="0"/>
    <n v="-1.0519696405937966"/>
    <x v="0"/>
  </r>
  <r>
    <n v="859"/>
    <d v="2011-02-08T00:00:00"/>
    <n v="2"/>
    <x v="1"/>
    <x v="5"/>
    <x v="1"/>
    <b v="0"/>
    <x v="0"/>
    <n v="2"/>
    <x v="3"/>
    <x v="1"/>
    <n v="1"/>
    <x v="0"/>
    <n v="0.26"/>
    <n v="0.2273"/>
    <n v="0.81"/>
    <n v="0.32840000000000003"/>
    <n v="0"/>
    <n v="2"/>
    <n v="2"/>
    <n v="-0.64378142061299781"/>
    <x v="0"/>
    <n v="-1.0728490967713524"/>
    <x v="0"/>
  </r>
  <r>
    <n v="860"/>
    <d v="2011-02-08T00:00:00"/>
    <n v="2"/>
    <x v="1"/>
    <x v="6"/>
    <x v="1"/>
    <b v="0"/>
    <x v="0"/>
    <n v="2"/>
    <x v="3"/>
    <x v="1"/>
    <n v="1"/>
    <x v="0"/>
    <n v="0.26"/>
    <n v="0.2273"/>
    <n v="0.7"/>
    <n v="0.32840000000000003"/>
    <n v="0"/>
    <n v="39"/>
    <n v="39"/>
    <n v="-0.64378142061299781"/>
    <x v="0"/>
    <n v="-0.30030921820178591"/>
    <x v="0"/>
  </r>
  <r>
    <n v="861"/>
    <d v="2011-02-08T00:00:00"/>
    <n v="2"/>
    <x v="1"/>
    <x v="7"/>
    <x v="1"/>
    <b v="0"/>
    <x v="0"/>
    <n v="2"/>
    <x v="3"/>
    <x v="1"/>
    <n v="1"/>
    <x v="0"/>
    <n v="0.24"/>
    <n v="0.19700000000000001"/>
    <n v="0.65"/>
    <n v="0.41789999999999999"/>
    <n v="3"/>
    <n v="97"/>
    <n v="100"/>
    <n v="-0.25131154419783963"/>
    <x v="0"/>
    <n v="0.91069924009645364"/>
    <x v="0"/>
  </r>
  <r>
    <n v="862"/>
    <d v="2011-02-08T00:00:00"/>
    <n v="2"/>
    <x v="1"/>
    <x v="8"/>
    <x v="2"/>
    <b v="0"/>
    <x v="0"/>
    <n v="2"/>
    <x v="3"/>
    <x v="1"/>
    <n v="1"/>
    <x v="0"/>
    <n v="0.24"/>
    <n v="0.19700000000000001"/>
    <n v="0.56000000000000005"/>
    <n v="0.49249999999999999"/>
    <n v="7"/>
    <n v="236"/>
    <n v="243"/>
    <n v="0.27198162435570455"/>
    <x v="0"/>
    <n v="3.812943648776717"/>
    <x v="1"/>
  </r>
  <r>
    <n v="863"/>
    <d v="2011-02-08T00:00:00"/>
    <n v="2"/>
    <x v="1"/>
    <x v="9"/>
    <x v="2"/>
    <b v="0"/>
    <x v="0"/>
    <n v="2"/>
    <x v="3"/>
    <x v="1"/>
    <n v="1"/>
    <x v="0"/>
    <n v="0.24"/>
    <n v="0.19700000000000001"/>
    <n v="0.52"/>
    <n v="0.49249999999999999"/>
    <n v="7"/>
    <n v="128"/>
    <n v="135"/>
    <n v="0.27198162435570455"/>
    <x v="0"/>
    <n v="1.5579623816006849"/>
    <x v="0"/>
  </r>
  <r>
    <n v="864"/>
    <d v="2011-02-08T00:00:00"/>
    <n v="2"/>
    <x v="1"/>
    <x v="10"/>
    <x v="2"/>
    <b v="0"/>
    <x v="0"/>
    <n v="2"/>
    <x v="3"/>
    <x v="1"/>
    <n v="1"/>
    <x v="0"/>
    <n v="0.22"/>
    <n v="0.18179999999999999"/>
    <n v="0.47"/>
    <n v="0.55220000000000002"/>
    <n v="4"/>
    <n v="44"/>
    <n v="48"/>
    <n v="-0.1204882520594536"/>
    <x v="0"/>
    <n v="-0.19591193731400663"/>
    <x v="0"/>
  </r>
  <r>
    <n v="865"/>
    <d v="2011-02-08T00:00:00"/>
    <n v="2"/>
    <x v="1"/>
    <x v="11"/>
    <x v="2"/>
    <b v="0"/>
    <x v="0"/>
    <n v="2"/>
    <x v="3"/>
    <x v="1"/>
    <n v="1"/>
    <x v="0"/>
    <n v="0.22"/>
    <n v="0.18179999999999999"/>
    <n v="0.47"/>
    <n v="0.4627"/>
    <n v="1"/>
    <n v="49"/>
    <n v="50"/>
    <n v="-0.51295812847461175"/>
    <x v="0"/>
    <n v="-9.1514656426227359E-2"/>
    <x v="0"/>
  </r>
  <r>
    <n v="866"/>
    <d v="2011-02-08T00:00:00"/>
    <n v="2"/>
    <x v="1"/>
    <x v="12"/>
    <x v="3"/>
    <b v="0"/>
    <x v="0"/>
    <n v="2"/>
    <x v="3"/>
    <x v="1"/>
    <n v="1"/>
    <x v="0"/>
    <n v="0.24"/>
    <n v="0.19700000000000001"/>
    <n v="0.38"/>
    <n v="0.49249999999999999"/>
    <n v="2"/>
    <n v="63"/>
    <n v="65"/>
    <n v="-0.38213483633622569"/>
    <x v="0"/>
    <n v="0.20079773005955459"/>
    <x v="0"/>
  </r>
  <r>
    <n v="867"/>
    <d v="2011-02-08T00:00:00"/>
    <n v="2"/>
    <x v="1"/>
    <x v="13"/>
    <x v="3"/>
    <b v="0"/>
    <x v="0"/>
    <n v="2"/>
    <x v="3"/>
    <x v="1"/>
    <n v="2"/>
    <x v="1"/>
    <n v="0.24"/>
    <n v="0.19700000000000001"/>
    <n v="0.32"/>
    <n v="0.44779999999999998"/>
    <n v="2"/>
    <n v="48"/>
    <n v="50"/>
    <n v="-0.38213483633622569"/>
    <x v="0"/>
    <n v="-0.11239411260378322"/>
    <x v="0"/>
  </r>
  <r>
    <n v="868"/>
    <d v="2011-02-08T00:00:00"/>
    <n v="2"/>
    <x v="1"/>
    <x v="14"/>
    <x v="3"/>
    <b v="0"/>
    <x v="0"/>
    <n v="2"/>
    <x v="3"/>
    <x v="1"/>
    <n v="1"/>
    <x v="0"/>
    <n v="0.22"/>
    <n v="0.19700000000000001"/>
    <n v="0.37"/>
    <n v="0.41789999999999999"/>
    <n v="3"/>
    <n v="61"/>
    <n v="64"/>
    <n v="-0.25131154419783963"/>
    <x v="0"/>
    <n v="0.15903881770444289"/>
    <x v="0"/>
  </r>
  <r>
    <n v="869"/>
    <d v="2011-02-08T00:00:00"/>
    <n v="2"/>
    <x v="1"/>
    <x v="15"/>
    <x v="3"/>
    <b v="0"/>
    <x v="0"/>
    <n v="2"/>
    <x v="3"/>
    <x v="1"/>
    <n v="1"/>
    <x v="0"/>
    <n v="0.22"/>
    <n v="0.19700000000000001"/>
    <n v="0.35"/>
    <n v="0.3881"/>
    <n v="6"/>
    <n v="45"/>
    <n v="51"/>
    <n v="0.14115833221731852"/>
    <x v="0"/>
    <n v="-0.17503248113645078"/>
    <x v="0"/>
  </r>
  <r>
    <n v="870"/>
    <d v="2011-02-08T00:00:00"/>
    <n v="2"/>
    <x v="1"/>
    <x v="16"/>
    <x v="3"/>
    <b v="0"/>
    <x v="0"/>
    <n v="2"/>
    <x v="3"/>
    <x v="1"/>
    <n v="1"/>
    <x v="0"/>
    <n v="0.22"/>
    <n v="0.18179999999999999"/>
    <n v="0.35"/>
    <n v="0.52239999999999998"/>
    <n v="4"/>
    <n v="79"/>
    <n v="83"/>
    <n v="-0.1204882520594536"/>
    <x v="0"/>
    <n v="0.5348690289004483"/>
    <x v="0"/>
  </r>
  <r>
    <n v="871"/>
    <d v="2011-02-08T00:00:00"/>
    <n v="2"/>
    <x v="1"/>
    <x v="17"/>
    <x v="4"/>
    <b v="0"/>
    <x v="0"/>
    <n v="2"/>
    <x v="3"/>
    <x v="1"/>
    <n v="1"/>
    <x v="0"/>
    <n v="0.22"/>
    <n v="0.18179999999999999"/>
    <n v="0.32"/>
    <n v="0.58209999999999995"/>
    <n v="4"/>
    <n v="172"/>
    <n v="176"/>
    <n v="-0.1204882520594536"/>
    <x v="0"/>
    <n v="2.4766584534131426"/>
    <x v="1"/>
  </r>
  <r>
    <n v="872"/>
    <d v="2011-02-08T00:00:00"/>
    <n v="2"/>
    <x v="1"/>
    <x v="18"/>
    <x v="4"/>
    <b v="0"/>
    <x v="0"/>
    <n v="2"/>
    <x v="3"/>
    <x v="1"/>
    <n v="1"/>
    <x v="0"/>
    <n v="0.2"/>
    <n v="0.18179999999999999"/>
    <n v="0.32"/>
    <n v="0.3881"/>
    <n v="1"/>
    <n v="151"/>
    <n v="152"/>
    <n v="-0.51295812847461175"/>
    <x v="0"/>
    <n v="2.0381898736844697"/>
    <x v="1"/>
  </r>
  <r>
    <n v="873"/>
    <d v="2011-02-08T00:00:00"/>
    <n v="2"/>
    <x v="1"/>
    <x v="19"/>
    <x v="4"/>
    <b v="0"/>
    <x v="0"/>
    <n v="2"/>
    <x v="3"/>
    <x v="1"/>
    <n v="1"/>
    <x v="0"/>
    <n v="0.16"/>
    <n v="0.1212"/>
    <n v="0.4"/>
    <n v="0.4627"/>
    <n v="1"/>
    <n v="100"/>
    <n v="101"/>
    <n v="-0.51295812847461175"/>
    <x v="0"/>
    <n v="0.97333760862912122"/>
    <x v="0"/>
  </r>
  <r>
    <n v="874"/>
    <d v="2011-02-08T00:00:00"/>
    <n v="2"/>
    <x v="1"/>
    <x v="20"/>
    <x v="4"/>
    <b v="0"/>
    <x v="0"/>
    <n v="2"/>
    <x v="3"/>
    <x v="1"/>
    <n v="1"/>
    <x v="0"/>
    <n v="0.16"/>
    <n v="0.13639999999999999"/>
    <n v="0.4"/>
    <n v="0.32840000000000003"/>
    <n v="3"/>
    <n v="53"/>
    <n v="56"/>
    <n v="-0.25131154419783963"/>
    <x v="0"/>
    <n v="-7.9968317160039482E-3"/>
    <x v="0"/>
  </r>
  <r>
    <n v="875"/>
    <d v="2011-02-08T00:00:00"/>
    <n v="2"/>
    <x v="1"/>
    <x v="21"/>
    <x v="0"/>
    <b v="0"/>
    <x v="0"/>
    <n v="2"/>
    <x v="3"/>
    <x v="1"/>
    <n v="1"/>
    <x v="0"/>
    <n v="0.14000000000000001"/>
    <n v="0.1061"/>
    <n v="0.33"/>
    <n v="0.4627"/>
    <n v="8"/>
    <n v="46"/>
    <n v="54"/>
    <n v="0.40280491649409061"/>
    <x v="0"/>
    <n v="-0.15415302495889494"/>
    <x v="0"/>
  </r>
  <r>
    <n v="876"/>
    <d v="2011-02-08T00:00:00"/>
    <n v="2"/>
    <x v="1"/>
    <x v="22"/>
    <x v="0"/>
    <b v="0"/>
    <x v="0"/>
    <n v="2"/>
    <x v="3"/>
    <x v="1"/>
    <n v="1"/>
    <x v="0"/>
    <n v="0.12"/>
    <n v="0.1061"/>
    <n v="0.33"/>
    <n v="0.35820000000000002"/>
    <n v="0"/>
    <n v="29"/>
    <n v="29"/>
    <n v="-0.64378142061299781"/>
    <x v="0"/>
    <n v="-0.50910377997734446"/>
    <x v="0"/>
  </r>
  <r>
    <n v="877"/>
    <d v="2011-02-08T00:00:00"/>
    <n v="2"/>
    <x v="1"/>
    <x v="23"/>
    <x v="0"/>
    <b v="0"/>
    <x v="0"/>
    <n v="2"/>
    <x v="3"/>
    <x v="1"/>
    <n v="1"/>
    <x v="0"/>
    <n v="0.12"/>
    <n v="0.1061"/>
    <n v="0.33"/>
    <n v="0.32840000000000003"/>
    <n v="3"/>
    <n v="9"/>
    <n v="12"/>
    <n v="-0.25131154419783963"/>
    <x v="0"/>
    <n v="-0.92669290352846156"/>
    <x v="0"/>
  </r>
  <r>
    <n v="878"/>
    <d v="2011-02-09T00:00:00"/>
    <n v="2"/>
    <x v="1"/>
    <x v="0"/>
    <x v="0"/>
    <b v="0"/>
    <x v="0"/>
    <n v="3"/>
    <x v="4"/>
    <x v="1"/>
    <n v="1"/>
    <x v="0"/>
    <n v="0.1"/>
    <n v="7.5800000000000006E-2"/>
    <n v="0.36"/>
    <n v="0.35820000000000002"/>
    <n v="0"/>
    <n v="17"/>
    <n v="17"/>
    <n v="-0.64378142061299781"/>
    <x v="0"/>
    <n v="-0.75965725410801466"/>
    <x v="0"/>
  </r>
  <r>
    <n v="879"/>
    <d v="2011-02-09T00:00:00"/>
    <n v="2"/>
    <x v="1"/>
    <x v="1"/>
    <x v="0"/>
    <b v="0"/>
    <x v="0"/>
    <n v="3"/>
    <x v="4"/>
    <x v="1"/>
    <n v="1"/>
    <x v="0"/>
    <n v="0.1"/>
    <n v="0.1061"/>
    <n v="0.36"/>
    <n v="0.22389999999999999"/>
    <n v="0"/>
    <n v="7"/>
    <n v="7"/>
    <n v="-0.64378142061299781"/>
    <x v="0"/>
    <n v="-0.96845181588357321"/>
    <x v="0"/>
  </r>
  <r>
    <n v="880"/>
    <d v="2011-02-09T00:00:00"/>
    <n v="2"/>
    <x v="1"/>
    <x v="2"/>
    <x v="0"/>
    <b v="0"/>
    <x v="0"/>
    <n v="3"/>
    <x v="4"/>
    <x v="1"/>
    <n v="1"/>
    <x v="0"/>
    <n v="0.08"/>
    <n v="7.5800000000000006E-2"/>
    <n v="0.38"/>
    <n v="0.28360000000000002"/>
    <n v="1"/>
    <n v="2"/>
    <n v="3"/>
    <n v="-0.51295812847461175"/>
    <x v="0"/>
    <n v="-1.0728490967713524"/>
    <x v="0"/>
  </r>
  <r>
    <n v="881"/>
    <d v="2011-02-09T00:00:00"/>
    <n v="2"/>
    <x v="1"/>
    <x v="3"/>
    <x v="0"/>
    <b v="0"/>
    <x v="0"/>
    <n v="3"/>
    <x v="4"/>
    <x v="1"/>
    <n v="1"/>
    <x v="0"/>
    <n v="0.06"/>
    <n v="7.5800000000000006E-2"/>
    <n v="0.45"/>
    <n v="0.1343"/>
    <n v="0"/>
    <n v="2"/>
    <n v="2"/>
    <n v="-0.64378142061299781"/>
    <x v="0"/>
    <n v="-1.0728490967713524"/>
    <x v="0"/>
  </r>
  <r>
    <n v="882"/>
    <d v="2011-02-09T00:00:00"/>
    <n v="2"/>
    <x v="1"/>
    <x v="5"/>
    <x v="1"/>
    <b v="0"/>
    <x v="0"/>
    <n v="3"/>
    <x v="4"/>
    <x v="1"/>
    <n v="1"/>
    <x v="0"/>
    <n v="0.06"/>
    <n v="0.1061"/>
    <n v="0.45"/>
    <n v="0.1045"/>
    <n v="0"/>
    <n v="7"/>
    <n v="7"/>
    <n v="-0.64378142061299781"/>
    <x v="0"/>
    <n v="-0.96845181588357321"/>
    <x v="0"/>
  </r>
  <r>
    <n v="883"/>
    <d v="2011-02-09T00:00:00"/>
    <n v="2"/>
    <x v="1"/>
    <x v="6"/>
    <x v="1"/>
    <b v="0"/>
    <x v="0"/>
    <n v="3"/>
    <x v="4"/>
    <x v="1"/>
    <n v="1"/>
    <x v="0"/>
    <n v="0.06"/>
    <n v="0.1515"/>
    <n v="0.45"/>
    <n v="0"/>
    <n v="0"/>
    <n v="43"/>
    <n v="43"/>
    <n v="-0.64378142061299781"/>
    <x v="0"/>
    <n v="-0.21679139349156248"/>
    <x v="0"/>
  </r>
  <r>
    <n v="884"/>
    <d v="2011-02-09T00:00:00"/>
    <n v="2"/>
    <x v="1"/>
    <x v="7"/>
    <x v="1"/>
    <b v="0"/>
    <x v="0"/>
    <n v="3"/>
    <x v="4"/>
    <x v="1"/>
    <n v="1"/>
    <x v="0"/>
    <n v="0.06"/>
    <n v="0.1061"/>
    <n v="0.49"/>
    <n v="0.1045"/>
    <n v="4"/>
    <n v="95"/>
    <n v="99"/>
    <n v="-0.1204882520594536"/>
    <x v="0"/>
    <n v="0.86894032774134189"/>
    <x v="0"/>
  </r>
  <r>
    <n v="885"/>
    <d v="2011-02-09T00:00:00"/>
    <n v="2"/>
    <x v="1"/>
    <x v="8"/>
    <x v="2"/>
    <b v="0"/>
    <x v="0"/>
    <n v="3"/>
    <x v="4"/>
    <x v="1"/>
    <n v="1"/>
    <x v="0"/>
    <n v="0.1"/>
    <n v="0.13639999999999999"/>
    <n v="0.42"/>
    <n v="0"/>
    <n v="1"/>
    <n v="198"/>
    <n v="199"/>
    <n v="-0.51295812847461175"/>
    <x v="0"/>
    <n v="3.0195243140295949"/>
    <x v="1"/>
  </r>
  <r>
    <n v="886"/>
    <d v="2011-02-09T00:00:00"/>
    <n v="2"/>
    <x v="1"/>
    <x v="9"/>
    <x v="2"/>
    <b v="0"/>
    <x v="0"/>
    <n v="3"/>
    <x v="4"/>
    <x v="1"/>
    <n v="1"/>
    <x v="0"/>
    <n v="0.12"/>
    <n v="0.13639999999999999"/>
    <n v="0.39"/>
    <n v="0.16420000000000001"/>
    <n v="4"/>
    <n v="119"/>
    <n v="123"/>
    <n v="-0.1204882520594536"/>
    <x v="0"/>
    <n v="1.3700472760026823"/>
    <x v="0"/>
  </r>
  <r>
    <n v="887"/>
    <d v="2011-02-09T00:00:00"/>
    <n v="2"/>
    <x v="1"/>
    <x v="10"/>
    <x v="2"/>
    <b v="0"/>
    <x v="0"/>
    <n v="3"/>
    <x v="4"/>
    <x v="1"/>
    <n v="1"/>
    <x v="0"/>
    <n v="0.14000000000000001"/>
    <n v="0.18179999999999999"/>
    <n v="0.36"/>
    <n v="0"/>
    <n v="8"/>
    <n v="51"/>
    <n v="59"/>
    <n v="0.40280491649409061"/>
    <x v="0"/>
    <n v="-4.9755744071115653E-2"/>
    <x v="0"/>
  </r>
  <r>
    <n v="888"/>
    <d v="2011-02-09T00:00:00"/>
    <n v="2"/>
    <x v="1"/>
    <x v="11"/>
    <x v="2"/>
    <b v="0"/>
    <x v="0"/>
    <n v="3"/>
    <x v="4"/>
    <x v="1"/>
    <n v="2"/>
    <x v="1"/>
    <n v="0.14000000000000001"/>
    <n v="0.1515"/>
    <n v="0.43"/>
    <n v="0.16420000000000001"/>
    <n v="1"/>
    <n v="40"/>
    <n v="41"/>
    <n v="-0.51295812847461175"/>
    <x v="0"/>
    <n v="-0.27942976202423003"/>
    <x v="0"/>
  </r>
  <r>
    <n v="889"/>
    <d v="2011-02-09T00:00:00"/>
    <n v="2"/>
    <x v="1"/>
    <x v="12"/>
    <x v="3"/>
    <b v="0"/>
    <x v="0"/>
    <n v="3"/>
    <x v="4"/>
    <x v="1"/>
    <n v="2"/>
    <x v="1"/>
    <n v="0.18"/>
    <n v="0.18179999999999999"/>
    <n v="0.4"/>
    <n v="0.22389999999999999"/>
    <n v="4"/>
    <n v="57"/>
    <n v="61"/>
    <n v="-0.1204882520594536"/>
    <x v="0"/>
    <n v="7.5520992994219466E-2"/>
    <x v="0"/>
  </r>
  <r>
    <n v="890"/>
    <d v="2011-02-09T00:00:00"/>
    <n v="2"/>
    <x v="1"/>
    <x v="13"/>
    <x v="3"/>
    <b v="0"/>
    <x v="0"/>
    <n v="3"/>
    <x v="4"/>
    <x v="1"/>
    <n v="1"/>
    <x v="0"/>
    <n v="0.18"/>
    <n v="0.16669999999999999"/>
    <n v="0.4"/>
    <n v="0.25369999999999998"/>
    <n v="2"/>
    <n v="67"/>
    <n v="69"/>
    <n v="-0.38213483633622569"/>
    <x v="0"/>
    <n v="0.28431555476977799"/>
    <x v="0"/>
  </r>
  <r>
    <n v="891"/>
    <d v="2011-02-09T00:00:00"/>
    <n v="2"/>
    <x v="1"/>
    <x v="14"/>
    <x v="3"/>
    <b v="0"/>
    <x v="0"/>
    <n v="3"/>
    <x v="4"/>
    <x v="1"/>
    <n v="1"/>
    <x v="0"/>
    <n v="0.2"/>
    <n v="0.18179999999999999"/>
    <n v="0.34"/>
    <n v="0.29849999999999999"/>
    <n v="2"/>
    <n v="56"/>
    <n v="58"/>
    <n v="-0.38213483633622569"/>
    <x v="0"/>
    <n v="5.4641536816663616E-2"/>
    <x v="0"/>
  </r>
  <r>
    <n v="892"/>
    <d v="2011-02-09T00:00:00"/>
    <n v="2"/>
    <x v="1"/>
    <x v="15"/>
    <x v="3"/>
    <b v="0"/>
    <x v="0"/>
    <n v="3"/>
    <x v="4"/>
    <x v="1"/>
    <n v="2"/>
    <x v="1"/>
    <n v="0.2"/>
    <n v="0.18179999999999999"/>
    <n v="0.34"/>
    <n v="0.28360000000000002"/>
    <n v="3"/>
    <n v="61"/>
    <n v="64"/>
    <n v="-0.25131154419783963"/>
    <x v="0"/>
    <n v="0.15903881770444289"/>
    <x v="0"/>
  </r>
  <r>
    <n v="893"/>
    <d v="2011-02-09T00:00:00"/>
    <n v="2"/>
    <x v="1"/>
    <x v="16"/>
    <x v="3"/>
    <b v="0"/>
    <x v="0"/>
    <n v="3"/>
    <x v="4"/>
    <x v="1"/>
    <n v="2"/>
    <x v="1"/>
    <n v="0.2"/>
    <n v="0.19700000000000001"/>
    <n v="0.37"/>
    <n v="0.25369999999999998"/>
    <n v="7"/>
    <n v="72"/>
    <n v="79"/>
    <n v="0.27198162435570455"/>
    <x v="0"/>
    <n v="0.38871283565755727"/>
    <x v="0"/>
  </r>
  <r>
    <n v="894"/>
    <d v="2011-02-09T00:00:00"/>
    <n v="2"/>
    <x v="1"/>
    <x v="17"/>
    <x v="4"/>
    <b v="0"/>
    <x v="0"/>
    <n v="3"/>
    <x v="4"/>
    <x v="1"/>
    <n v="2"/>
    <x v="1"/>
    <n v="0.2"/>
    <n v="0.19700000000000001"/>
    <n v="0.34"/>
    <n v="0.25369999999999998"/>
    <n v="9"/>
    <n v="157"/>
    <n v="166"/>
    <n v="0.53362820863247673"/>
    <x v="0"/>
    <n v="2.1634666107498046"/>
    <x v="1"/>
  </r>
  <r>
    <n v="895"/>
    <d v="2011-02-09T00:00:00"/>
    <n v="2"/>
    <x v="1"/>
    <x v="18"/>
    <x v="4"/>
    <b v="0"/>
    <x v="0"/>
    <n v="3"/>
    <x v="4"/>
    <x v="1"/>
    <n v="2"/>
    <x v="1"/>
    <n v="0.18"/>
    <n v="0.16669999999999999"/>
    <n v="0.47"/>
    <n v="0.29849999999999999"/>
    <n v="2"/>
    <n v="168"/>
    <n v="170"/>
    <n v="-0.38213483633622569"/>
    <x v="0"/>
    <n v="2.3931406287029193"/>
    <x v="1"/>
  </r>
  <r>
    <n v="896"/>
    <d v="2011-02-09T00:00:00"/>
    <n v="2"/>
    <x v="1"/>
    <x v="19"/>
    <x v="4"/>
    <b v="0"/>
    <x v="0"/>
    <n v="3"/>
    <x v="4"/>
    <x v="1"/>
    <n v="3"/>
    <x v="2"/>
    <n v="0.14000000000000001"/>
    <n v="0.1212"/>
    <n v="0.86"/>
    <n v="0.25369999999999998"/>
    <n v="1"/>
    <n v="87"/>
    <n v="88"/>
    <n v="-0.51295812847461175"/>
    <x v="0"/>
    <n v="0.70190467832089509"/>
    <x v="0"/>
  </r>
  <r>
    <n v="897"/>
    <d v="2011-02-09T00:00:00"/>
    <n v="2"/>
    <x v="1"/>
    <x v="20"/>
    <x v="4"/>
    <b v="0"/>
    <x v="0"/>
    <n v="3"/>
    <x v="4"/>
    <x v="1"/>
    <n v="3"/>
    <x v="2"/>
    <n v="0.14000000000000001"/>
    <n v="0.1515"/>
    <n v="0.86"/>
    <n v="0.16420000000000001"/>
    <n v="0"/>
    <n v="84"/>
    <n v="84"/>
    <n v="-0.64378142061299781"/>
    <x v="0"/>
    <n v="0.63926630978822752"/>
    <x v="0"/>
  </r>
  <r>
    <n v="898"/>
    <d v="2011-02-09T00:00:00"/>
    <n v="2"/>
    <x v="1"/>
    <x v="21"/>
    <x v="0"/>
    <b v="0"/>
    <x v="0"/>
    <n v="3"/>
    <x v="4"/>
    <x v="1"/>
    <n v="2"/>
    <x v="1"/>
    <n v="0.14000000000000001"/>
    <n v="0.1515"/>
    <n v="0.86"/>
    <n v="0.16420000000000001"/>
    <n v="0"/>
    <n v="83"/>
    <n v="83"/>
    <n v="-0.64378142061299781"/>
    <x v="0"/>
    <n v="0.61838685361067169"/>
    <x v="0"/>
  </r>
  <r>
    <n v="899"/>
    <d v="2011-02-09T00:00:00"/>
    <n v="2"/>
    <x v="1"/>
    <x v="22"/>
    <x v="0"/>
    <b v="0"/>
    <x v="0"/>
    <n v="3"/>
    <x v="4"/>
    <x v="1"/>
    <n v="3"/>
    <x v="2"/>
    <n v="0.16"/>
    <n v="0.16669999999999999"/>
    <n v="0.8"/>
    <n v="0.16420000000000001"/>
    <n v="4"/>
    <n v="42"/>
    <n v="46"/>
    <n v="-0.1204882520594536"/>
    <x v="0"/>
    <n v="-0.23767084966911833"/>
    <x v="0"/>
  </r>
  <r>
    <n v="900"/>
    <d v="2011-02-09T00:00:00"/>
    <n v="2"/>
    <x v="1"/>
    <x v="23"/>
    <x v="0"/>
    <b v="0"/>
    <x v="0"/>
    <n v="3"/>
    <x v="4"/>
    <x v="1"/>
    <n v="3"/>
    <x v="2"/>
    <n v="0.16"/>
    <n v="0.1515"/>
    <n v="0.8"/>
    <n v="0.19400000000000001"/>
    <n v="0"/>
    <n v="37"/>
    <n v="37"/>
    <n v="-0.64378142061299781"/>
    <x v="0"/>
    <n v="-0.34206813055689761"/>
    <x v="0"/>
  </r>
  <r>
    <n v="901"/>
    <d v="2011-02-10T00:00:00"/>
    <n v="2"/>
    <x v="1"/>
    <x v="0"/>
    <x v="0"/>
    <b v="0"/>
    <x v="0"/>
    <n v="4"/>
    <x v="5"/>
    <x v="1"/>
    <n v="3"/>
    <x v="2"/>
    <n v="0.14000000000000001"/>
    <n v="0.13639999999999999"/>
    <n v="0.86"/>
    <n v="0.19400000000000001"/>
    <n v="0"/>
    <n v="16"/>
    <n v="16"/>
    <n v="-0.64378142061299781"/>
    <x v="0"/>
    <n v="-0.78053671028557059"/>
    <x v="0"/>
  </r>
  <r>
    <n v="902"/>
    <d v="2011-02-10T00:00:00"/>
    <n v="2"/>
    <x v="1"/>
    <x v="1"/>
    <x v="0"/>
    <b v="0"/>
    <x v="0"/>
    <n v="4"/>
    <x v="5"/>
    <x v="1"/>
    <n v="3"/>
    <x v="2"/>
    <n v="0.14000000000000001"/>
    <n v="0.1515"/>
    <n v="0.8"/>
    <n v="0.1343"/>
    <n v="0"/>
    <n v="7"/>
    <n v="7"/>
    <n v="-0.64378142061299781"/>
    <x v="0"/>
    <n v="-0.96845181588357321"/>
    <x v="0"/>
  </r>
  <r>
    <n v="903"/>
    <d v="2011-02-10T00:00:00"/>
    <n v="2"/>
    <x v="1"/>
    <x v="2"/>
    <x v="0"/>
    <b v="0"/>
    <x v="0"/>
    <n v="4"/>
    <x v="5"/>
    <x v="1"/>
    <n v="3"/>
    <x v="2"/>
    <n v="0.14000000000000001"/>
    <n v="0.1515"/>
    <n v="0.8"/>
    <n v="0.1343"/>
    <n v="0"/>
    <n v="3"/>
    <n v="3"/>
    <n v="-0.64378142061299781"/>
    <x v="0"/>
    <n v="-1.0519696405937966"/>
    <x v="0"/>
  </r>
  <r>
    <n v="904"/>
    <d v="2011-02-10T00:00:00"/>
    <n v="2"/>
    <x v="1"/>
    <x v="4"/>
    <x v="0"/>
    <b v="0"/>
    <x v="0"/>
    <n v="4"/>
    <x v="5"/>
    <x v="1"/>
    <n v="2"/>
    <x v="1"/>
    <n v="0.14000000000000001"/>
    <n v="0.13639999999999999"/>
    <n v="0.59"/>
    <n v="0.22389999999999999"/>
    <n v="0"/>
    <n v="1"/>
    <n v="1"/>
    <n v="-0.64378142061299781"/>
    <x v="0"/>
    <n v="-1.0937285529489083"/>
    <x v="0"/>
  </r>
  <r>
    <n v="905"/>
    <d v="2011-02-10T00:00:00"/>
    <n v="2"/>
    <x v="1"/>
    <x v="5"/>
    <x v="1"/>
    <b v="0"/>
    <x v="0"/>
    <n v="4"/>
    <x v="5"/>
    <x v="1"/>
    <n v="2"/>
    <x v="1"/>
    <n v="0.12"/>
    <n v="0.1212"/>
    <n v="0.5"/>
    <n v="0.22389999999999999"/>
    <n v="0"/>
    <n v="6"/>
    <n v="6"/>
    <n v="-0.64378142061299781"/>
    <x v="0"/>
    <n v="-0.98933127206112903"/>
    <x v="0"/>
  </r>
  <r>
    <n v="906"/>
    <d v="2011-02-10T00:00:00"/>
    <n v="2"/>
    <x v="1"/>
    <x v="6"/>
    <x v="1"/>
    <b v="0"/>
    <x v="0"/>
    <n v="4"/>
    <x v="5"/>
    <x v="1"/>
    <n v="2"/>
    <x v="1"/>
    <n v="0.12"/>
    <n v="0.1212"/>
    <n v="0.54"/>
    <n v="0.28360000000000002"/>
    <n v="0"/>
    <n v="26"/>
    <n v="26"/>
    <n v="-0.64378142061299781"/>
    <x v="0"/>
    <n v="-0.57174214851001204"/>
    <x v="0"/>
  </r>
  <r>
    <n v="907"/>
    <d v="2011-02-10T00:00:00"/>
    <n v="2"/>
    <x v="1"/>
    <x v="7"/>
    <x v="1"/>
    <b v="0"/>
    <x v="0"/>
    <n v="4"/>
    <x v="5"/>
    <x v="1"/>
    <n v="1"/>
    <x v="0"/>
    <n v="0.1"/>
    <n v="7.5800000000000006E-2"/>
    <n v="0.5"/>
    <n v="0.41789999999999999"/>
    <n v="0"/>
    <n v="99"/>
    <n v="99"/>
    <n v="-0.64378142061299781"/>
    <x v="0"/>
    <n v="0.95245815245156529"/>
    <x v="0"/>
  </r>
  <r>
    <n v="908"/>
    <d v="2011-02-10T00:00:00"/>
    <n v="2"/>
    <x v="1"/>
    <x v="8"/>
    <x v="2"/>
    <b v="0"/>
    <x v="0"/>
    <n v="4"/>
    <x v="5"/>
    <x v="1"/>
    <n v="1"/>
    <x v="0"/>
    <n v="0.1"/>
    <n v="7.5800000000000006E-2"/>
    <n v="0.49"/>
    <n v="0.32840000000000003"/>
    <n v="5"/>
    <n v="173"/>
    <n v="178"/>
    <n v="1.0335040078932463E-2"/>
    <x v="0"/>
    <n v="2.4975379095906982"/>
    <x v="1"/>
  </r>
  <r>
    <n v="909"/>
    <d v="2011-02-10T00:00:00"/>
    <n v="2"/>
    <x v="1"/>
    <x v="9"/>
    <x v="2"/>
    <b v="0"/>
    <x v="0"/>
    <n v="4"/>
    <x v="5"/>
    <x v="1"/>
    <n v="1"/>
    <x v="0"/>
    <n v="0.12"/>
    <n v="0.1061"/>
    <n v="0.42"/>
    <n v="0.35820000000000002"/>
    <n v="1"/>
    <n v="121"/>
    <n v="122"/>
    <n v="-0.51295812847461175"/>
    <x v="0"/>
    <n v="1.4118061883577939"/>
    <x v="0"/>
  </r>
  <r>
    <n v="910"/>
    <d v="2011-02-10T00:00:00"/>
    <n v="2"/>
    <x v="1"/>
    <x v="10"/>
    <x v="2"/>
    <b v="0"/>
    <x v="0"/>
    <n v="4"/>
    <x v="5"/>
    <x v="1"/>
    <n v="1"/>
    <x v="0"/>
    <n v="0.12"/>
    <n v="0.1061"/>
    <n v="0.42"/>
    <n v="0.29849999999999999"/>
    <n v="1"/>
    <n v="34"/>
    <n v="35"/>
    <n v="-0.51295812847461175"/>
    <x v="0"/>
    <n v="-0.40470649908956519"/>
    <x v="0"/>
  </r>
  <r>
    <n v="911"/>
    <d v="2011-02-10T00:00:00"/>
    <n v="2"/>
    <x v="1"/>
    <x v="11"/>
    <x v="2"/>
    <b v="0"/>
    <x v="0"/>
    <n v="4"/>
    <x v="5"/>
    <x v="1"/>
    <n v="1"/>
    <x v="0"/>
    <n v="0.14000000000000001"/>
    <n v="0.1212"/>
    <n v="0.39"/>
    <n v="0.35820000000000002"/>
    <n v="1"/>
    <n v="44"/>
    <n v="45"/>
    <n v="-0.51295812847461175"/>
    <x v="0"/>
    <n v="-0.19591193731400663"/>
    <x v="0"/>
  </r>
  <r>
    <n v="912"/>
    <d v="2011-02-10T00:00:00"/>
    <n v="2"/>
    <x v="1"/>
    <x v="12"/>
    <x v="3"/>
    <b v="0"/>
    <x v="0"/>
    <n v="4"/>
    <x v="5"/>
    <x v="1"/>
    <n v="1"/>
    <x v="0"/>
    <n v="0.16"/>
    <n v="0.13639999999999999"/>
    <n v="0.34"/>
    <n v="0.3881"/>
    <n v="4"/>
    <n v="65"/>
    <n v="69"/>
    <n v="-0.1204882520594536"/>
    <x v="0"/>
    <n v="0.24255664241466629"/>
    <x v="0"/>
  </r>
  <r>
    <n v="913"/>
    <d v="2011-02-10T00:00:00"/>
    <n v="2"/>
    <x v="1"/>
    <x v="13"/>
    <x v="3"/>
    <b v="0"/>
    <x v="0"/>
    <n v="4"/>
    <x v="5"/>
    <x v="1"/>
    <n v="1"/>
    <x v="0"/>
    <n v="0.18"/>
    <n v="0.16669999999999999"/>
    <n v="0.28999999999999998"/>
    <n v="0.29849999999999999"/>
    <n v="3"/>
    <n v="59"/>
    <n v="62"/>
    <n v="-0.25131154419783963"/>
    <x v="0"/>
    <n v="0.11727990534933118"/>
    <x v="0"/>
  </r>
  <r>
    <n v="914"/>
    <d v="2011-02-10T00:00:00"/>
    <n v="2"/>
    <x v="1"/>
    <x v="14"/>
    <x v="3"/>
    <b v="0"/>
    <x v="0"/>
    <n v="4"/>
    <x v="5"/>
    <x v="1"/>
    <n v="1"/>
    <x v="0"/>
    <n v="0.2"/>
    <n v="0.18179999999999999"/>
    <n v="0.27"/>
    <n v="0.28360000000000002"/>
    <n v="6"/>
    <n v="42"/>
    <n v="48"/>
    <n v="0.14115833221731852"/>
    <x v="0"/>
    <n v="-0.23767084966911833"/>
    <x v="0"/>
  </r>
  <r>
    <n v="915"/>
    <d v="2011-02-10T00:00:00"/>
    <n v="2"/>
    <x v="1"/>
    <x v="15"/>
    <x v="3"/>
    <b v="0"/>
    <x v="0"/>
    <n v="4"/>
    <x v="5"/>
    <x v="1"/>
    <n v="1"/>
    <x v="0"/>
    <n v="0.2"/>
    <n v="0.19700000000000001"/>
    <n v="0.25"/>
    <n v="0.25369999999999998"/>
    <n v="0"/>
    <n v="50"/>
    <n v="50"/>
    <n v="-0.64378142061299781"/>
    <x v="0"/>
    <n v="-7.0635200248671509E-2"/>
    <x v="0"/>
  </r>
  <r>
    <n v="916"/>
    <d v="2011-02-10T00:00:00"/>
    <n v="2"/>
    <x v="1"/>
    <x v="16"/>
    <x v="3"/>
    <b v="0"/>
    <x v="0"/>
    <n v="4"/>
    <x v="5"/>
    <x v="1"/>
    <n v="1"/>
    <x v="0"/>
    <n v="0.2"/>
    <n v="0.18179999999999999"/>
    <n v="0.27"/>
    <n v="0.29849999999999999"/>
    <n v="4"/>
    <n v="76"/>
    <n v="80"/>
    <n v="-0.1204882520594536"/>
    <x v="0"/>
    <n v="0.47223066036778072"/>
    <x v="0"/>
  </r>
  <r>
    <n v="917"/>
    <d v="2011-02-10T00:00:00"/>
    <n v="2"/>
    <x v="1"/>
    <x v="17"/>
    <x v="4"/>
    <b v="0"/>
    <x v="0"/>
    <n v="4"/>
    <x v="5"/>
    <x v="1"/>
    <n v="1"/>
    <x v="0"/>
    <n v="0.18"/>
    <n v="0.18179999999999999"/>
    <n v="0.26"/>
    <n v="0.19400000000000001"/>
    <n v="6"/>
    <n v="159"/>
    <n v="165"/>
    <n v="0.14115833221731852"/>
    <x v="0"/>
    <n v="2.2052255231049163"/>
    <x v="1"/>
  </r>
  <r>
    <n v="918"/>
    <d v="2011-02-10T00:00:00"/>
    <n v="2"/>
    <x v="1"/>
    <x v="18"/>
    <x v="4"/>
    <b v="0"/>
    <x v="0"/>
    <n v="4"/>
    <x v="5"/>
    <x v="1"/>
    <n v="1"/>
    <x v="0"/>
    <n v="0.16"/>
    <n v="0.18179999999999999"/>
    <n v="0.28000000000000003"/>
    <n v="0.1343"/>
    <n v="3"/>
    <n v="157"/>
    <n v="160"/>
    <n v="-0.25131154419783963"/>
    <x v="0"/>
    <n v="2.1634666107498046"/>
    <x v="1"/>
  </r>
  <r>
    <n v="919"/>
    <d v="2011-02-10T00:00:00"/>
    <n v="2"/>
    <x v="1"/>
    <x v="19"/>
    <x v="4"/>
    <b v="0"/>
    <x v="0"/>
    <n v="4"/>
    <x v="5"/>
    <x v="1"/>
    <n v="1"/>
    <x v="0"/>
    <n v="0.14000000000000001"/>
    <n v="0.16669999999999999"/>
    <n v="0.28000000000000003"/>
    <n v="0.1045"/>
    <n v="2"/>
    <n v="110"/>
    <n v="112"/>
    <n v="-0.38213483633622569"/>
    <x v="0"/>
    <n v="1.1821321704046797"/>
    <x v="0"/>
  </r>
  <r>
    <n v="920"/>
    <d v="2011-02-10T00:00:00"/>
    <n v="2"/>
    <x v="1"/>
    <x v="20"/>
    <x v="4"/>
    <b v="0"/>
    <x v="0"/>
    <n v="4"/>
    <x v="5"/>
    <x v="1"/>
    <n v="1"/>
    <x v="0"/>
    <n v="0.14000000000000001"/>
    <n v="0.18179999999999999"/>
    <n v="0.31"/>
    <n v="8.9599999999999999E-2"/>
    <n v="4"/>
    <n v="93"/>
    <n v="97"/>
    <n v="-0.1204882520594536"/>
    <x v="0"/>
    <n v="0.82718141538623025"/>
    <x v="0"/>
  </r>
  <r>
    <n v="921"/>
    <d v="2011-02-10T00:00:00"/>
    <n v="2"/>
    <x v="1"/>
    <x v="21"/>
    <x v="0"/>
    <b v="0"/>
    <x v="0"/>
    <n v="4"/>
    <x v="5"/>
    <x v="1"/>
    <n v="1"/>
    <x v="0"/>
    <n v="0.14000000000000001"/>
    <n v="0.21210000000000001"/>
    <n v="0.39"/>
    <n v="0"/>
    <n v="2"/>
    <n v="70"/>
    <n v="72"/>
    <n v="-0.38213483633622569"/>
    <x v="0"/>
    <n v="0.34695392330244557"/>
    <x v="0"/>
  </r>
  <r>
    <n v="922"/>
    <d v="2011-02-10T00:00:00"/>
    <n v="2"/>
    <x v="1"/>
    <x v="22"/>
    <x v="0"/>
    <b v="0"/>
    <x v="0"/>
    <n v="4"/>
    <x v="5"/>
    <x v="1"/>
    <n v="1"/>
    <x v="0"/>
    <n v="0.12"/>
    <n v="0.19700000000000001"/>
    <n v="0.39"/>
    <n v="0"/>
    <n v="4"/>
    <n v="47"/>
    <n v="51"/>
    <n v="-0.1204882520594536"/>
    <x v="0"/>
    <n v="-0.13327356878133906"/>
    <x v="0"/>
  </r>
  <r>
    <n v="923"/>
    <d v="2011-02-10T00:00:00"/>
    <n v="2"/>
    <x v="1"/>
    <x v="23"/>
    <x v="0"/>
    <b v="0"/>
    <x v="0"/>
    <n v="4"/>
    <x v="5"/>
    <x v="1"/>
    <n v="1"/>
    <x v="0"/>
    <n v="0.12"/>
    <n v="0.1515"/>
    <n v="0.42"/>
    <n v="0.1045"/>
    <n v="1"/>
    <n v="33"/>
    <n v="34"/>
    <n v="-0.51295812847461175"/>
    <x v="0"/>
    <n v="-0.42558595526712101"/>
    <x v="0"/>
  </r>
  <r>
    <n v="924"/>
    <d v="2011-02-11T00:00:00"/>
    <n v="2"/>
    <x v="1"/>
    <x v="0"/>
    <x v="0"/>
    <b v="0"/>
    <x v="0"/>
    <n v="5"/>
    <x v="6"/>
    <x v="1"/>
    <n v="1"/>
    <x v="0"/>
    <n v="0.1"/>
    <n v="0.13639999999999999"/>
    <n v="0.49"/>
    <n v="0.1045"/>
    <n v="2"/>
    <n v="12"/>
    <n v="14"/>
    <n v="-0.38213483633622569"/>
    <x v="0"/>
    <n v="-0.86405453499579399"/>
    <x v="0"/>
  </r>
  <r>
    <n v="925"/>
    <d v="2011-02-11T00:00:00"/>
    <n v="2"/>
    <x v="1"/>
    <x v="1"/>
    <x v="0"/>
    <b v="0"/>
    <x v="0"/>
    <n v="5"/>
    <x v="6"/>
    <x v="1"/>
    <n v="1"/>
    <x v="0"/>
    <n v="0.1"/>
    <n v="0.13639999999999999"/>
    <n v="0.54"/>
    <n v="8.9599999999999999E-2"/>
    <n v="1"/>
    <n v="6"/>
    <n v="7"/>
    <n v="-0.51295812847461175"/>
    <x v="0"/>
    <n v="-0.98933127206112903"/>
    <x v="0"/>
  </r>
  <r>
    <n v="926"/>
    <d v="2011-02-11T00:00:00"/>
    <n v="2"/>
    <x v="1"/>
    <x v="2"/>
    <x v="0"/>
    <b v="0"/>
    <x v="0"/>
    <n v="5"/>
    <x v="6"/>
    <x v="1"/>
    <n v="1"/>
    <x v="0"/>
    <n v="0.1"/>
    <n v="0.13639999999999999"/>
    <n v="0.54"/>
    <n v="8.9599999999999999E-2"/>
    <n v="0"/>
    <n v="3"/>
    <n v="3"/>
    <n v="-0.64378142061299781"/>
    <x v="0"/>
    <n v="-1.0519696405937966"/>
    <x v="0"/>
  </r>
  <r>
    <n v="927"/>
    <d v="2011-02-11T00:00:00"/>
    <n v="2"/>
    <x v="1"/>
    <x v="5"/>
    <x v="1"/>
    <b v="0"/>
    <x v="0"/>
    <n v="5"/>
    <x v="6"/>
    <x v="1"/>
    <n v="1"/>
    <x v="0"/>
    <n v="0.08"/>
    <n v="0.1212"/>
    <n v="0.63"/>
    <n v="8.9599999999999999E-2"/>
    <n v="0"/>
    <n v="4"/>
    <n v="4"/>
    <n v="-0.64378142061299781"/>
    <x v="0"/>
    <n v="-1.0310901844162408"/>
    <x v="0"/>
  </r>
  <r>
    <n v="928"/>
    <d v="2011-02-11T00:00:00"/>
    <n v="2"/>
    <x v="1"/>
    <x v="6"/>
    <x v="1"/>
    <b v="0"/>
    <x v="0"/>
    <n v="5"/>
    <x v="6"/>
    <x v="1"/>
    <n v="1"/>
    <x v="0"/>
    <n v="0.1"/>
    <n v="0.18179999999999999"/>
    <n v="0.68"/>
    <n v="0"/>
    <n v="1"/>
    <n v="23"/>
    <n v="24"/>
    <n v="-0.51295812847461175"/>
    <x v="0"/>
    <n v="-0.63438051704267961"/>
    <x v="0"/>
  </r>
  <r>
    <n v="929"/>
    <d v="2011-02-11T00:00:00"/>
    <n v="2"/>
    <x v="1"/>
    <x v="7"/>
    <x v="1"/>
    <b v="0"/>
    <x v="0"/>
    <n v="5"/>
    <x v="6"/>
    <x v="1"/>
    <n v="1"/>
    <x v="0"/>
    <n v="0.08"/>
    <n v="0.16669999999999999"/>
    <n v="0.73"/>
    <n v="0"/>
    <n v="1"/>
    <n v="73"/>
    <n v="74"/>
    <n v="-0.51295812847461175"/>
    <x v="0"/>
    <n v="0.40959229183511314"/>
    <x v="0"/>
  </r>
  <r>
    <n v="930"/>
    <d v="2011-02-11T00:00:00"/>
    <n v="2"/>
    <x v="1"/>
    <x v="8"/>
    <x v="2"/>
    <b v="0"/>
    <x v="0"/>
    <n v="5"/>
    <x v="6"/>
    <x v="1"/>
    <n v="1"/>
    <x v="0"/>
    <n v="0.1"/>
    <n v="0.1212"/>
    <n v="0.74"/>
    <n v="0.16420000000000001"/>
    <n v="4"/>
    <n v="212"/>
    <n v="216"/>
    <n v="-0.1204882520594536"/>
    <x v="0"/>
    <n v="3.3118367005153768"/>
    <x v="1"/>
  </r>
  <r>
    <n v="931"/>
    <d v="2011-02-11T00:00:00"/>
    <n v="2"/>
    <x v="1"/>
    <x v="9"/>
    <x v="2"/>
    <b v="0"/>
    <x v="0"/>
    <n v="5"/>
    <x v="6"/>
    <x v="1"/>
    <n v="1"/>
    <x v="0"/>
    <n v="0.12"/>
    <n v="0.1212"/>
    <n v="0.74"/>
    <n v="0.22389999999999999"/>
    <n v="8"/>
    <n v="132"/>
    <n v="140"/>
    <n v="0.40280491649409061"/>
    <x v="0"/>
    <n v="1.6414802063109084"/>
    <x v="0"/>
  </r>
  <r>
    <n v="932"/>
    <d v="2011-02-11T00:00:00"/>
    <n v="2"/>
    <x v="1"/>
    <x v="10"/>
    <x v="2"/>
    <b v="0"/>
    <x v="0"/>
    <n v="5"/>
    <x v="6"/>
    <x v="1"/>
    <n v="1"/>
    <x v="0"/>
    <n v="0.14000000000000001"/>
    <n v="0.13639999999999999"/>
    <n v="0.69"/>
    <n v="0.19400000000000001"/>
    <n v="5"/>
    <n v="39"/>
    <n v="44"/>
    <n v="1.0335040078932463E-2"/>
    <x v="0"/>
    <n v="-0.30030921820178591"/>
    <x v="0"/>
  </r>
  <r>
    <n v="933"/>
    <d v="2011-02-11T00:00:00"/>
    <n v="2"/>
    <x v="1"/>
    <x v="11"/>
    <x v="2"/>
    <b v="0"/>
    <x v="0"/>
    <n v="5"/>
    <x v="6"/>
    <x v="1"/>
    <n v="1"/>
    <x v="0"/>
    <n v="0.22"/>
    <n v="0.2273"/>
    <n v="0.47"/>
    <n v="0.1343"/>
    <n v="12"/>
    <n v="52"/>
    <n v="64"/>
    <n v="0.92609808504763491"/>
    <x v="0"/>
    <n v="-2.8876287893559803E-2"/>
    <x v="0"/>
  </r>
  <r>
    <n v="934"/>
    <d v="2011-02-11T00:00:00"/>
    <n v="2"/>
    <x v="1"/>
    <x v="12"/>
    <x v="3"/>
    <b v="0"/>
    <x v="0"/>
    <n v="5"/>
    <x v="6"/>
    <x v="1"/>
    <n v="1"/>
    <x v="0"/>
    <n v="0.22"/>
    <n v="0.2273"/>
    <n v="0.47"/>
    <n v="0.1343"/>
    <n v="7"/>
    <n v="64"/>
    <n v="71"/>
    <n v="0.27198162435570455"/>
    <x v="0"/>
    <n v="0.22167718623711044"/>
    <x v="0"/>
  </r>
  <r>
    <n v="935"/>
    <d v="2011-02-11T00:00:00"/>
    <n v="2"/>
    <x v="1"/>
    <x v="13"/>
    <x v="3"/>
    <b v="0"/>
    <x v="0"/>
    <n v="5"/>
    <x v="6"/>
    <x v="1"/>
    <n v="1"/>
    <x v="0"/>
    <n v="0.24"/>
    <n v="0.2273"/>
    <n v="0.35"/>
    <n v="0.19400000000000001"/>
    <n v="21"/>
    <n v="89"/>
    <n v="110"/>
    <n v="2.1035077142931096"/>
    <x v="1"/>
    <n v="0.74366359067600685"/>
    <x v="0"/>
  </r>
  <r>
    <n v="936"/>
    <d v="2011-02-11T00:00:00"/>
    <n v="2"/>
    <x v="1"/>
    <x v="14"/>
    <x v="3"/>
    <b v="0"/>
    <x v="0"/>
    <n v="5"/>
    <x v="6"/>
    <x v="1"/>
    <n v="1"/>
    <x v="0"/>
    <n v="0.3"/>
    <n v="0.28789999999999999"/>
    <n v="0.26"/>
    <n v="0.25369999999999998"/>
    <n v="17"/>
    <n v="67"/>
    <n v="84"/>
    <n v="1.5802145457395653"/>
    <x v="0"/>
    <n v="0.28431555476977799"/>
    <x v="0"/>
  </r>
  <r>
    <n v="937"/>
    <d v="2011-02-11T00:00:00"/>
    <n v="2"/>
    <x v="1"/>
    <x v="15"/>
    <x v="3"/>
    <b v="0"/>
    <x v="0"/>
    <n v="5"/>
    <x v="6"/>
    <x v="1"/>
    <n v="1"/>
    <x v="0"/>
    <n v="0.32"/>
    <n v="0.31819999999999998"/>
    <n v="0.21"/>
    <n v="0.16420000000000001"/>
    <n v="12"/>
    <n v="62"/>
    <n v="74"/>
    <n v="0.92609808504763491"/>
    <x v="0"/>
    <n v="0.17991827388199874"/>
    <x v="0"/>
  </r>
  <r>
    <n v="938"/>
    <d v="2011-02-11T00:00:00"/>
    <n v="2"/>
    <x v="1"/>
    <x v="16"/>
    <x v="3"/>
    <b v="0"/>
    <x v="0"/>
    <n v="5"/>
    <x v="6"/>
    <x v="1"/>
    <n v="1"/>
    <x v="0"/>
    <n v="0.3"/>
    <n v="0.28789999999999999"/>
    <n v="0.28000000000000003"/>
    <n v="0.19400000000000001"/>
    <n v="14"/>
    <n v="111"/>
    <n v="125"/>
    <n v="1.1877446693244071"/>
    <x v="0"/>
    <n v="1.2030116265822355"/>
    <x v="0"/>
  </r>
  <r>
    <n v="939"/>
    <d v="2011-02-11T00:00:00"/>
    <n v="2"/>
    <x v="1"/>
    <x v="17"/>
    <x v="4"/>
    <b v="0"/>
    <x v="0"/>
    <n v="5"/>
    <x v="6"/>
    <x v="1"/>
    <n v="1"/>
    <x v="0"/>
    <n v="0.3"/>
    <n v="0.33329999999999999"/>
    <n v="0.24"/>
    <n v="0"/>
    <n v="18"/>
    <n v="193"/>
    <n v="211"/>
    <n v="1.7110378378779514"/>
    <x v="0"/>
    <n v="2.9151270331418155"/>
    <x v="1"/>
  </r>
  <r>
    <n v="940"/>
    <d v="2011-02-11T00:00:00"/>
    <n v="2"/>
    <x v="1"/>
    <x v="18"/>
    <x v="4"/>
    <b v="0"/>
    <x v="0"/>
    <n v="5"/>
    <x v="6"/>
    <x v="1"/>
    <n v="1"/>
    <x v="0"/>
    <n v="0.28000000000000003"/>
    <n v="0.31819999999999998"/>
    <n v="0.28000000000000003"/>
    <n v="0"/>
    <n v="9"/>
    <n v="165"/>
    <n v="174"/>
    <n v="0.53362820863247673"/>
    <x v="0"/>
    <n v="2.3305022601702516"/>
    <x v="1"/>
  </r>
  <r>
    <n v="941"/>
    <d v="2011-02-11T00:00:00"/>
    <n v="2"/>
    <x v="1"/>
    <x v="19"/>
    <x v="4"/>
    <b v="0"/>
    <x v="0"/>
    <n v="5"/>
    <x v="6"/>
    <x v="1"/>
    <n v="1"/>
    <x v="0"/>
    <n v="0.26"/>
    <n v="0.30299999999999999"/>
    <n v="0.33"/>
    <n v="0"/>
    <n v="7"/>
    <n v="94"/>
    <n v="101"/>
    <n v="0.27198162435570455"/>
    <x v="0"/>
    <n v="0.84806087156378607"/>
    <x v="0"/>
  </r>
  <r>
    <n v="942"/>
    <d v="2011-02-11T00:00:00"/>
    <n v="2"/>
    <x v="1"/>
    <x v="20"/>
    <x v="4"/>
    <b v="0"/>
    <x v="0"/>
    <n v="5"/>
    <x v="6"/>
    <x v="1"/>
    <n v="1"/>
    <x v="0"/>
    <n v="0.22"/>
    <n v="0.2273"/>
    <n v="0.55000000000000004"/>
    <n v="0.1343"/>
    <n v="2"/>
    <n v="61"/>
    <n v="63"/>
    <n v="-0.38213483633622569"/>
    <x v="0"/>
    <n v="0.15903881770444289"/>
    <x v="0"/>
  </r>
  <r>
    <n v="943"/>
    <d v="2011-02-11T00:00:00"/>
    <n v="2"/>
    <x v="1"/>
    <x v="21"/>
    <x v="0"/>
    <b v="0"/>
    <x v="0"/>
    <n v="5"/>
    <x v="6"/>
    <x v="1"/>
    <n v="1"/>
    <x v="0"/>
    <n v="0.2"/>
    <n v="0.21210000000000001"/>
    <n v="0.59"/>
    <n v="0.1343"/>
    <n v="1"/>
    <n v="46"/>
    <n v="47"/>
    <n v="-0.51295812847461175"/>
    <x v="0"/>
    <n v="-0.15415302495889494"/>
    <x v="0"/>
  </r>
  <r>
    <n v="944"/>
    <d v="2011-02-11T00:00:00"/>
    <n v="2"/>
    <x v="1"/>
    <x v="22"/>
    <x v="0"/>
    <b v="0"/>
    <x v="0"/>
    <n v="5"/>
    <x v="6"/>
    <x v="1"/>
    <n v="1"/>
    <x v="0"/>
    <n v="0.2"/>
    <n v="0.2273"/>
    <n v="0.64"/>
    <n v="8.9599999999999999E-2"/>
    <n v="2"/>
    <n v="41"/>
    <n v="43"/>
    <n v="-0.38213483633622569"/>
    <x v="0"/>
    <n v="-0.25855030584667421"/>
    <x v="0"/>
  </r>
  <r>
    <n v="945"/>
    <d v="2011-02-11T00:00:00"/>
    <n v="2"/>
    <x v="1"/>
    <x v="23"/>
    <x v="0"/>
    <b v="0"/>
    <x v="0"/>
    <n v="5"/>
    <x v="6"/>
    <x v="1"/>
    <n v="1"/>
    <x v="0"/>
    <n v="0.18"/>
    <n v="0.2424"/>
    <n v="0.69"/>
    <n v="0"/>
    <n v="5"/>
    <n v="48"/>
    <n v="53"/>
    <n v="1.0335040078932463E-2"/>
    <x v="0"/>
    <n v="-0.11239411260378322"/>
    <x v="0"/>
  </r>
  <r>
    <n v="946"/>
    <d v="2011-02-12T00:00:00"/>
    <n v="2"/>
    <x v="1"/>
    <x v="0"/>
    <x v="0"/>
    <b v="0"/>
    <x v="0"/>
    <n v="6"/>
    <x v="0"/>
    <x v="0"/>
    <n v="1"/>
    <x v="0"/>
    <n v="0.16"/>
    <n v="0.19700000000000001"/>
    <n v="0.69"/>
    <n v="8.9599999999999999E-2"/>
    <n v="3"/>
    <n v="27"/>
    <n v="30"/>
    <n v="-0.25131154419783963"/>
    <x v="0"/>
    <n v="-0.55086269233245611"/>
    <x v="0"/>
  </r>
  <r>
    <n v="947"/>
    <d v="2011-02-12T00:00:00"/>
    <n v="2"/>
    <x v="1"/>
    <x v="1"/>
    <x v="0"/>
    <b v="0"/>
    <x v="0"/>
    <n v="6"/>
    <x v="0"/>
    <x v="0"/>
    <n v="1"/>
    <x v="0"/>
    <n v="0.14000000000000001"/>
    <n v="0.21210000000000001"/>
    <n v="0.86"/>
    <n v="0"/>
    <n v="2"/>
    <n v="22"/>
    <n v="24"/>
    <n v="-0.38213483633622569"/>
    <x v="0"/>
    <n v="-0.65525997322023544"/>
    <x v="0"/>
  </r>
  <r>
    <n v="948"/>
    <d v="2011-02-12T00:00:00"/>
    <n v="2"/>
    <x v="1"/>
    <x v="2"/>
    <x v="0"/>
    <b v="0"/>
    <x v="0"/>
    <n v="6"/>
    <x v="0"/>
    <x v="0"/>
    <n v="1"/>
    <x v="0"/>
    <n v="0.14000000000000001"/>
    <n v="0.21210000000000001"/>
    <n v="0.8"/>
    <n v="0"/>
    <n v="2"/>
    <n v="13"/>
    <n v="15"/>
    <n v="-0.38213483633622569"/>
    <x v="0"/>
    <n v="-0.84317507881823806"/>
    <x v="0"/>
  </r>
  <r>
    <n v="949"/>
    <d v="2011-02-12T00:00:00"/>
    <n v="2"/>
    <x v="1"/>
    <x v="3"/>
    <x v="0"/>
    <b v="0"/>
    <x v="0"/>
    <n v="6"/>
    <x v="0"/>
    <x v="0"/>
    <n v="1"/>
    <x v="0"/>
    <n v="0.12"/>
    <n v="0.19700000000000001"/>
    <n v="0.8"/>
    <n v="0"/>
    <n v="3"/>
    <n v="7"/>
    <n v="10"/>
    <n v="-0.25131154419783963"/>
    <x v="0"/>
    <n v="-0.96845181588357321"/>
    <x v="0"/>
  </r>
  <r>
    <n v="950"/>
    <d v="2011-02-12T00:00:00"/>
    <n v="2"/>
    <x v="1"/>
    <x v="4"/>
    <x v="0"/>
    <b v="0"/>
    <x v="0"/>
    <n v="6"/>
    <x v="0"/>
    <x v="0"/>
    <n v="1"/>
    <x v="0"/>
    <n v="0.12"/>
    <n v="0.16669999999999999"/>
    <n v="0.74"/>
    <n v="8.9599999999999999E-2"/>
    <n v="0"/>
    <n v="4"/>
    <n v="4"/>
    <n v="-0.64378142061299781"/>
    <x v="0"/>
    <n v="-1.0310901844162408"/>
    <x v="0"/>
  </r>
  <r>
    <n v="951"/>
    <d v="2011-02-12T00:00:00"/>
    <n v="2"/>
    <x v="1"/>
    <x v="5"/>
    <x v="1"/>
    <b v="0"/>
    <x v="0"/>
    <n v="6"/>
    <x v="0"/>
    <x v="0"/>
    <n v="1"/>
    <x v="0"/>
    <n v="0.12"/>
    <n v="0.16669999999999999"/>
    <n v="0.74"/>
    <n v="8.9599999999999999E-2"/>
    <n v="0"/>
    <n v="1"/>
    <n v="1"/>
    <n v="-0.64378142061299781"/>
    <x v="0"/>
    <n v="-1.0937285529489083"/>
    <x v="0"/>
  </r>
  <r>
    <n v="952"/>
    <d v="2011-02-12T00:00:00"/>
    <n v="2"/>
    <x v="1"/>
    <x v="6"/>
    <x v="1"/>
    <b v="0"/>
    <x v="0"/>
    <n v="6"/>
    <x v="0"/>
    <x v="0"/>
    <n v="1"/>
    <x v="0"/>
    <n v="0.12"/>
    <n v="0.13639999999999999"/>
    <n v="0.93"/>
    <n v="0.19400000000000001"/>
    <n v="1"/>
    <n v="1"/>
    <n v="2"/>
    <n v="-0.51295812847461175"/>
    <x v="0"/>
    <n v="-1.0937285529489083"/>
    <x v="0"/>
  </r>
  <r>
    <n v="953"/>
    <d v="2011-02-12T00:00:00"/>
    <n v="2"/>
    <x v="1"/>
    <x v="7"/>
    <x v="1"/>
    <b v="0"/>
    <x v="0"/>
    <n v="6"/>
    <x v="0"/>
    <x v="0"/>
    <n v="1"/>
    <x v="0"/>
    <n v="0.12"/>
    <n v="0.1515"/>
    <n v="0.8"/>
    <n v="0.1045"/>
    <n v="2"/>
    <n v="9"/>
    <n v="11"/>
    <n v="-0.38213483633622569"/>
    <x v="0"/>
    <n v="-0.92669290352846156"/>
    <x v="0"/>
  </r>
  <r>
    <n v="954"/>
    <d v="2011-02-12T00:00:00"/>
    <n v="2"/>
    <x v="1"/>
    <x v="8"/>
    <x v="2"/>
    <b v="0"/>
    <x v="0"/>
    <n v="6"/>
    <x v="0"/>
    <x v="0"/>
    <n v="1"/>
    <x v="0"/>
    <n v="0.14000000000000001"/>
    <n v="0.1515"/>
    <n v="0.86"/>
    <n v="0.1343"/>
    <n v="2"/>
    <n v="28"/>
    <n v="30"/>
    <n v="-0.38213483633622569"/>
    <x v="0"/>
    <n v="-0.52998323615490028"/>
    <x v="0"/>
  </r>
  <r>
    <n v="955"/>
    <d v="2011-02-12T00:00:00"/>
    <n v="2"/>
    <x v="1"/>
    <x v="9"/>
    <x v="2"/>
    <b v="0"/>
    <x v="0"/>
    <n v="6"/>
    <x v="0"/>
    <x v="0"/>
    <n v="1"/>
    <x v="0"/>
    <n v="0.16"/>
    <n v="0.18179999999999999"/>
    <n v="0.64"/>
    <n v="0.1343"/>
    <n v="5"/>
    <n v="38"/>
    <n v="43"/>
    <n v="1.0335040078932463E-2"/>
    <x v="0"/>
    <n v="-0.32118867437934173"/>
    <x v="0"/>
  </r>
  <r>
    <n v="956"/>
    <d v="2011-02-12T00:00:00"/>
    <n v="2"/>
    <x v="1"/>
    <x v="10"/>
    <x v="2"/>
    <b v="0"/>
    <x v="0"/>
    <n v="6"/>
    <x v="0"/>
    <x v="0"/>
    <n v="1"/>
    <x v="0"/>
    <n v="0.22"/>
    <n v="0.21210000000000001"/>
    <n v="0.41"/>
    <n v="0.25369999999999998"/>
    <n v="13"/>
    <n v="71"/>
    <n v="84"/>
    <n v="1.0569213771860211"/>
    <x v="0"/>
    <n v="0.36783337948000144"/>
    <x v="0"/>
  </r>
  <r>
    <n v="957"/>
    <d v="2011-02-12T00:00:00"/>
    <n v="2"/>
    <x v="1"/>
    <x v="11"/>
    <x v="2"/>
    <b v="0"/>
    <x v="0"/>
    <n v="6"/>
    <x v="0"/>
    <x v="0"/>
    <n v="1"/>
    <x v="0"/>
    <n v="0.3"/>
    <n v="0.2727"/>
    <n v="0.28000000000000003"/>
    <n v="0.32840000000000003"/>
    <n v="30"/>
    <n v="84"/>
    <n v="114"/>
    <n v="3.2809173435385839"/>
    <x v="1"/>
    <n v="0.63926630978822752"/>
    <x v="0"/>
  </r>
  <r>
    <n v="958"/>
    <d v="2011-02-12T00:00:00"/>
    <n v="2"/>
    <x v="1"/>
    <x v="12"/>
    <x v="3"/>
    <b v="0"/>
    <x v="0"/>
    <n v="6"/>
    <x v="0"/>
    <x v="0"/>
    <n v="1"/>
    <x v="0"/>
    <n v="0.3"/>
    <n v="0.2727"/>
    <n v="0.39"/>
    <n v="0.4627"/>
    <n v="27"/>
    <n v="93"/>
    <n v="120"/>
    <n v="2.8884474671234259"/>
    <x v="1"/>
    <n v="0.82718141538623025"/>
    <x v="0"/>
  </r>
  <r>
    <n v="959"/>
    <d v="2011-02-12T00:00:00"/>
    <n v="2"/>
    <x v="1"/>
    <x v="13"/>
    <x v="3"/>
    <b v="0"/>
    <x v="0"/>
    <n v="6"/>
    <x v="0"/>
    <x v="0"/>
    <n v="1"/>
    <x v="0"/>
    <n v="0.3"/>
    <n v="0.2727"/>
    <n v="0.39"/>
    <n v="0.41789999999999999"/>
    <n v="32"/>
    <n v="103"/>
    <n v="135"/>
    <n v="3.542563927815356"/>
    <x v="1"/>
    <n v="1.0359759771617887"/>
    <x v="0"/>
  </r>
  <r>
    <n v="960"/>
    <d v="2011-02-12T00:00:00"/>
    <n v="2"/>
    <x v="1"/>
    <x v="14"/>
    <x v="3"/>
    <b v="0"/>
    <x v="0"/>
    <n v="6"/>
    <x v="0"/>
    <x v="0"/>
    <n v="1"/>
    <x v="0"/>
    <n v="0.34"/>
    <n v="0.31819999999999998"/>
    <n v="0.31"/>
    <n v="0.28360000000000002"/>
    <n v="30"/>
    <n v="90"/>
    <n v="120"/>
    <n v="3.2809173435385839"/>
    <x v="1"/>
    <n v="0.76454304685356267"/>
    <x v="0"/>
  </r>
  <r>
    <n v="961"/>
    <d v="2011-02-12T00:00:00"/>
    <n v="2"/>
    <x v="1"/>
    <x v="15"/>
    <x v="3"/>
    <b v="0"/>
    <x v="0"/>
    <n v="6"/>
    <x v="0"/>
    <x v="0"/>
    <n v="1"/>
    <x v="0"/>
    <n v="0.34"/>
    <n v="0.30299999999999999"/>
    <n v="0.28999999999999998"/>
    <n v="0.41789999999999999"/>
    <n v="47"/>
    <n v="127"/>
    <n v="174"/>
    <n v="5.5049133098911467"/>
    <x v="1"/>
    <n v="1.5370829254231291"/>
    <x v="0"/>
  </r>
  <r>
    <n v="962"/>
    <d v="2011-02-12T00:00:00"/>
    <n v="2"/>
    <x v="1"/>
    <x v="16"/>
    <x v="3"/>
    <b v="0"/>
    <x v="0"/>
    <n v="6"/>
    <x v="0"/>
    <x v="0"/>
    <n v="1"/>
    <x v="0"/>
    <n v="0.34"/>
    <n v="0.30299999999999999"/>
    <n v="0.28999999999999998"/>
    <n v="0.41789999999999999"/>
    <n v="42"/>
    <n v="103"/>
    <n v="145"/>
    <n v="4.8507968491992166"/>
    <x v="1"/>
    <n v="1.0359759771617887"/>
    <x v="0"/>
  </r>
  <r>
    <n v="963"/>
    <d v="2011-02-12T00:00:00"/>
    <n v="2"/>
    <x v="1"/>
    <x v="17"/>
    <x v="4"/>
    <b v="0"/>
    <x v="0"/>
    <n v="6"/>
    <x v="0"/>
    <x v="0"/>
    <n v="1"/>
    <x v="0"/>
    <n v="0.32"/>
    <n v="0.28789999999999999"/>
    <n v="0.31"/>
    <n v="0.52239999999999998"/>
    <n v="24"/>
    <n v="113"/>
    <n v="137"/>
    <n v="2.4959775907082675"/>
    <x v="1"/>
    <n v="1.2447705389373473"/>
    <x v="0"/>
  </r>
  <r>
    <n v="964"/>
    <d v="2011-02-12T00:00:00"/>
    <n v="2"/>
    <x v="1"/>
    <x v="18"/>
    <x v="4"/>
    <b v="0"/>
    <x v="0"/>
    <n v="6"/>
    <x v="0"/>
    <x v="0"/>
    <n v="1"/>
    <x v="0"/>
    <n v="0.28000000000000003"/>
    <n v="0.2576"/>
    <n v="0.38"/>
    <n v="0.32840000000000003"/>
    <n v="4"/>
    <n v="60"/>
    <n v="64"/>
    <n v="-0.1204882520594536"/>
    <x v="0"/>
    <n v="0.13815936152688704"/>
    <x v="0"/>
  </r>
  <r>
    <n v="965"/>
    <d v="2011-02-12T00:00:00"/>
    <n v="2"/>
    <x v="1"/>
    <x v="19"/>
    <x v="4"/>
    <b v="0"/>
    <x v="0"/>
    <n v="6"/>
    <x v="0"/>
    <x v="0"/>
    <n v="1"/>
    <x v="0"/>
    <n v="0.28000000000000003"/>
    <n v="0.2727"/>
    <n v="0.38"/>
    <n v="0.16420000000000001"/>
    <n v="2"/>
    <n v="39"/>
    <n v="41"/>
    <n v="-0.38213483633622569"/>
    <x v="0"/>
    <n v="-0.30030921820178591"/>
    <x v="0"/>
  </r>
  <r>
    <n v="966"/>
    <d v="2011-02-12T00:00:00"/>
    <n v="2"/>
    <x v="1"/>
    <x v="20"/>
    <x v="4"/>
    <b v="0"/>
    <x v="0"/>
    <n v="6"/>
    <x v="0"/>
    <x v="0"/>
    <n v="1"/>
    <x v="0"/>
    <n v="0.26"/>
    <n v="0.2576"/>
    <n v="0.41"/>
    <n v="0.22389999999999999"/>
    <n v="1"/>
    <n v="39"/>
    <n v="40"/>
    <n v="-0.51295812847461175"/>
    <x v="0"/>
    <n v="-0.30030921820178591"/>
    <x v="0"/>
  </r>
  <r>
    <n v="967"/>
    <d v="2011-02-12T00:00:00"/>
    <n v="2"/>
    <x v="1"/>
    <x v="21"/>
    <x v="0"/>
    <b v="0"/>
    <x v="0"/>
    <n v="6"/>
    <x v="0"/>
    <x v="0"/>
    <n v="1"/>
    <x v="0"/>
    <n v="0.26"/>
    <n v="0.30299999999999999"/>
    <n v="0.41"/>
    <n v="0"/>
    <n v="9"/>
    <n v="42"/>
    <n v="51"/>
    <n v="0.53362820863247673"/>
    <x v="0"/>
    <n v="-0.23767084966911833"/>
    <x v="0"/>
  </r>
  <r>
    <n v="968"/>
    <d v="2011-02-12T00:00:00"/>
    <n v="2"/>
    <x v="1"/>
    <x v="22"/>
    <x v="0"/>
    <b v="0"/>
    <x v="0"/>
    <n v="6"/>
    <x v="0"/>
    <x v="0"/>
    <n v="1"/>
    <x v="0"/>
    <n v="0.24"/>
    <n v="0.2576"/>
    <n v="0.44"/>
    <n v="8.9599999999999999E-2"/>
    <n v="6"/>
    <n v="39"/>
    <n v="45"/>
    <n v="0.14115833221731852"/>
    <x v="0"/>
    <n v="-0.30030921820178591"/>
    <x v="0"/>
  </r>
  <r>
    <n v="969"/>
    <d v="2011-02-12T00:00:00"/>
    <n v="2"/>
    <x v="1"/>
    <x v="23"/>
    <x v="0"/>
    <b v="0"/>
    <x v="0"/>
    <n v="6"/>
    <x v="0"/>
    <x v="0"/>
    <n v="1"/>
    <x v="0"/>
    <n v="0.22"/>
    <n v="0.2273"/>
    <n v="0.51"/>
    <n v="0.1343"/>
    <n v="1"/>
    <n v="31"/>
    <n v="32"/>
    <n v="-0.51295812847461175"/>
    <x v="0"/>
    <n v="-0.46734486762223271"/>
    <x v="0"/>
  </r>
  <r>
    <n v="970"/>
    <d v="2011-02-13T00:00:00"/>
    <n v="2"/>
    <x v="1"/>
    <x v="0"/>
    <x v="0"/>
    <b v="0"/>
    <x v="0"/>
    <n v="0"/>
    <x v="1"/>
    <x v="0"/>
    <n v="1"/>
    <x v="0"/>
    <n v="0.2"/>
    <n v="0.2273"/>
    <n v="0.64"/>
    <n v="0.1045"/>
    <n v="5"/>
    <n v="34"/>
    <n v="39"/>
    <n v="1.0335040078932463E-2"/>
    <x v="0"/>
    <n v="-0.40470649908956519"/>
    <x v="0"/>
  </r>
  <r>
    <n v="971"/>
    <d v="2011-02-13T00:00:00"/>
    <n v="2"/>
    <x v="1"/>
    <x v="1"/>
    <x v="0"/>
    <b v="0"/>
    <x v="0"/>
    <n v="0"/>
    <x v="1"/>
    <x v="0"/>
    <n v="1"/>
    <x v="0"/>
    <n v="0.2"/>
    <n v="0.2273"/>
    <n v="0.59"/>
    <n v="8.9599999999999999E-2"/>
    <n v="1"/>
    <n v="23"/>
    <n v="24"/>
    <n v="-0.51295812847461175"/>
    <x v="0"/>
    <n v="-0.63438051704267961"/>
    <x v="0"/>
  </r>
  <r>
    <n v="972"/>
    <d v="2011-02-13T00:00:00"/>
    <n v="2"/>
    <x v="1"/>
    <x v="2"/>
    <x v="0"/>
    <b v="0"/>
    <x v="0"/>
    <n v="0"/>
    <x v="1"/>
    <x v="0"/>
    <n v="2"/>
    <x v="1"/>
    <n v="0.2"/>
    <n v="0.2273"/>
    <n v="0.75"/>
    <n v="8.9599999999999999E-2"/>
    <n v="1"/>
    <n v="19"/>
    <n v="20"/>
    <n v="-0.51295812847461175"/>
    <x v="0"/>
    <n v="-0.71789834175290301"/>
    <x v="0"/>
  </r>
  <r>
    <n v="973"/>
    <d v="2011-02-13T00:00:00"/>
    <n v="2"/>
    <x v="1"/>
    <x v="3"/>
    <x v="0"/>
    <b v="0"/>
    <x v="0"/>
    <n v="0"/>
    <x v="1"/>
    <x v="0"/>
    <n v="2"/>
    <x v="1"/>
    <n v="0.2"/>
    <n v="0.2273"/>
    <n v="0.69"/>
    <n v="0.1045"/>
    <n v="4"/>
    <n v="8"/>
    <n v="12"/>
    <n v="-0.1204882520594536"/>
    <x v="0"/>
    <n v="-0.94757235970601739"/>
    <x v="0"/>
  </r>
  <r>
    <n v="974"/>
    <d v="2011-02-13T00:00:00"/>
    <n v="2"/>
    <x v="1"/>
    <x v="4"/>
    <x v="0"/>
    <b v="0"/>
    <x v="0"/>
    <n v="0"/>
    <x v="1"/>
    <x v="0"/>
    <n v="2"/>
    <x v="1"/>
    <n v="0.2"/>
    <n v="0.21210000000000001"/>
    <n v="0.69"/>
    <n v="0.16420000000000001"/>
    <n v="0"/>
    <n v="2"/>
    <n v="2"/>
    <n v="-0.64378142061299781"/>
    <x v="0"/>
    <n v="-1.0728490967713524"/>
    <x v="0"/>
  </r>
  <r>
    <n v="975"/>
    <d v="2011-02-13T00:00:00"/>
    <n v="2"/>
    <x v="1"/>
    <x v="6"/>
    <x v="1"/>
    <b v="0"/>
    <x v="0"/>
    <n v="0"/>
    <x v="1"/>
    <x v="0"/>
    <n v="2"/>
    <x v="1"/>
    <n v="0.2"/>
    <n v="0.21210000000000001"/>
    <n v="0.69"/>
    <n v="0.1343"/>
    <n v="2"/>
    <n v="3"/>
    <n v="5"/>
    <n v="-0.38213483633622569"/>
    <x v="0"/>
    <n v="-1.0519696405937966"/>
    <x v="0"/>
  </r>
  <r>
    <n v="976"/>
    <d v="2011-02-13T00:00:00"/>
    <n v="2"/>
    <x v="1"/>
    <x v="7"/>
    <x v="1"/>
    <b v="0"/>
    <x v="0"/>
    <n v="0"/>
    <x v="1"/>
    <x v="0"/>
    <n v="2"/>
    <x v="1"/>
    <n v="0.22"/>
    <n v="0.2727"/>
    <n v="0.55000000000000004"/>
    <n v="0"/>
    <n v="0"/>
    <n v="3"/>
    <n v="3"/>
    <n v="-0.64378142061299781"/>
    <x v="0"/>
    <n v="-1.0519696405937966"/>
    <x v="0"/>
  </r>
  <r>
    <n v="977"/>
    <d v="2011-02-13T00:00:00"/>
    <n v="2"/>
    <x v="1"/>
    <x v="8"/>
    <x v="2"/>
    <b v="0"/>
    <x v="0"/>
    <n v="0"/>
    <x v="1"/>
    <x v="0"/>
    <n v="2"/>
    <x v="1"/>
    <n v="0.22"/>
    <n v="0.2273"/>
    <n v="0.64"/>
    <n v="0.19400000000000001"/>
    <n v="1"/>
    <n v="11"/>
    <n v="12"/>
    <n v="-0.51295812847461175"/>
    <x v="0"/>
    <n v="-0.88493399117334981"/>
    <x v="0"/>
  </r>
  <r>
    <n v="978"/>
    <d v="2011-02-13T00:00:00"/>
    <n v="2"/>
    <x v="1"/>
    <x v="9"/>
    <x v="2"/>
    <b v="0"/>
    <x v="0"/>
    <n v="0"/>
    <x v="1"/>
    <x v="0"/>
    <n v="2"/>
    <x v="1"/>
    <n v="0.24"/>
    <n v="0.2273"/>
    <n v="0.6"/>
    <n v="0.22389999999999999"/>
    <n v="12"/>
    <n v="35"/>
    <n v="47"/>
    <n v="0.92609808504763491"/>
    <x v="0"/>
    <n v="-0.38382704291200931"/>
    <x v="0"/>
  </r>
  <r>
    <n v="979"/>
    <d v="2011-02-13T00:00:00"/>
    <n v="2"/>
    <x v="1"/>
    <x v="10"/>
    <x v="2"/>
    <b v="0"/>
    <x v="0"/>
    <n v="0"/>
    <x v="1"/>
    <x v="0"/>
    <n v="1"/>
    <x v="0"/>
    <n v="0.3"/>
    <n v="0.2727"/>
    <n v="0.45"/>
    <n v="0.32840000000000003"/>
    <n v="19"/>
    <n v="86"/>
    <n v="105"/>
    <n v="1.8418611300163374"/>
    <x v="0"/>
    <n v="0.68102522214333927"/>
    <x v="0"/>
  </r>
  <r>
    <n v="980"/>
    <d v="2011-02-13T00:00:00"/>
    <n v="2"/>
    <x v="1"/>
    <x v="11"/>
    <x v="2"/>
    <b v="0"/>
    <x v="0"/>
    <n v="0"/>
    <x v="1"/>
    <x v="0"/>
    <n v="1"/>
    <x v="0"/>
    <n v="0.32"/>
    <n v="0.28789999999999999"/>
    <n v="0.39"/>
    <n v="0.44779999999999998"/>
    <n v="26"/>
    <n v="86"/>
    <n v="112"/>
    <n v="2.7576241749850396"/>
    <x v="1"/>
    <n v="0.68102522214333927"/>
    <x v="0"/>
  </r>
  <r>
    <n v="981"/>
    <d v="2011-02-13T00:00:00"/>
    <n v="2"/>
    <x v="1"/>
    <x v="12"/>
    <x v="3"/>
    <b v="0"/>
    <x v="0"/>
    <n v="0"/>
    <x v="1"/>
    <x v="0"/>
    <n v="1"/>
    <x v="0"/>
    <n v="0.36"/>
    <n v="0.31819999999999998"/>
    <n v="0.32"/>
    <n v="0.4627"/>
    <n v="58"/>
    <n v="94"/>
    <n v="152"/>
    <n v="6.9439695234133936"/>
    <x v="1"/>
    <n v="0.84806087156378607"/>
    <x v="0"/>
  </r>
  <r>
    <n v="982"/>
    <d v="2011-02-13T00:00:00"/>
    <n v="2"/>
    <x v="1"/>
    <x v="13"/>
    <x v="3"/>
    <b v="0"/>
    <x v="0"/>
    <n v="0"/>
    <x v="1"/>
    <x v="0"/>
    <n v="1"/>
    <x v="0"/>
    <n v="0.38"/>
    <n v="0.39389999999999997"/>
    <n v="0.28999999999999998"/>
    <n v="0.35820000000000002"/>
    <n v="62"/>
    <n v="92"/>
    <n v="154"/>
    <n v="7.4672626919669378"/>
    <x v="1"/>
    <n v="0.80630195920867431"/>
    <x v="0"/>
  </r>
  <r>
    <n v="983"/>
    <d v="2011-02-13T00:00:00"/>
    <n v="2"/>
    <x v="1"/>
    <x v="14"/>
    <x v="3"/>
    <b v="0"/>
    <x v="0"/>
    <n v="0"/>
    <x v="1"/>
    <x v="0"/>
    <n v="2"/>
    <x v="1"/>
    <n v="0.4"/>
    <n v="0.40910000000000002"/>
    <n v="0.3"/>
    <n v="0.41789999999999999"/>
    <n v="51"/>
    <n v="110"/>
    <n v="161"/>
    <n v="6.0282064784446909"/>
    <x v="1"/>
    <n v="1.1821321704046797"/>
    <x v="0"/>
  </r>
  <r>
    <n v="984"/>
    <d v="2011-02-13T00:00:00"/>
    <n v="2"/>
    <x v="1"/>
    <x v="15"/>
    <x v="3"/>
    <b v="0"/>
    <x v="0"/>
    <n v="0"/>
    <x v="1"/>
    <x v="0"/>
    <n v="2"/>
    <x v="1"/>
    <n v="0.4"/>
    <n v="0.40910000000000002"/>
    <n v="0.3"/>
    <n v="0.29849999999999999"/>
    <n v="40"/>
    <n v="122"/>
    <n v="162"/>
    <n v="4.5891502649224449"/>
    <x v="1"/>
    <n v="1.4326856445353497"/>
    <x v="0"/>
  </r>
  <r>
    <n v="985"/>
    <d v="2011-02-13T00:00:00"/>
    <n v="2"/>
    <x v="1"/>
    <x v="16"/>
    <x v="3"/>
    <b v="0"/>
    <x v="0"/>
    <n v="0"/>
    <x v="1"/>
    <x v="0"/>
    <n v="2"/>
    <x v="1"/>
    <n v="0.42"/>
    <n v="0.42420000000000002"/>
    <n v="0.28000000000000003"/>
    <n v="0.32840000000000003"/>
    <n v="28"/>
    <n v="106"/>
    <n v="134"/>
    <n v="3.0192707592618118"/>
    <x v="1"/>
    <n v="1.0986143456944564"/>
    <x v="0"/>
  </r>
  <r>
    <n v="986"/>
    <d v="2011-02-13T00:00:00"/>
    <n v="2"/>
    <x v="1"/>
    <x v="17"/>
    <x v="4"/>
    <b v="0"/>
    <x v="0"/>
    <n v="0"/>
    <x v="1"/>
    <x v="0"/>
    <n v="1"/>
    <x v="0"/>
    <n v="0.42"/>
    <n v="0.42420000000000002"/>
    <n v="0.28000000000000003"/>
    <n v="0.32840000000000003"/>
    <n v="30"/>
    <n v="95"/>
    <n v="125"/>
    <n v="3.2809173435385839"/>
    <x v="1"/>
    <n v="0.86894032774134189"/>
    <x v="0"/>
  </r>
  <r>
    <n v="987"/>
    <d v="2011-02-13T00:00:00"/>
    <n v="2"/>
    <x v="1"/>
    <x v="18"/>
    <x v="4"/>
    <b v="0"/>
    <x v="0"/>
    <n v="0"/>
    <x v="1"/>
    <x v="0"/>
    <n v="1"/>
    <x v="0"/>
    <n v="0.4"/>
    <n v="0.40910000000000002"/>
    <n v="0.32"/>
    <n v="0.29849999999999999"/>
    <n v="17"/>
    <n v="78"/>
    <n v="95"/>
    <n v="1.5802145457395653"/>
    <x v="0"/>
    <n v="0.51398957272289236"/>
    <x v="0"/>
  </r>
  <r>
    <n v="988"/>
    <d v="2011-02-13T00:00:00"/>
    <n v="2"/>
    <x v="1"/>
    <x v="19"/>
    <x v="4"/>
    <b v="0"/>
    <x v="0"/>
    <n v="0"/>
    <x v="1"/>
    <x v="0"/>
    <n v="1"/>
    <x v="0"/>
    <n v="0.4"/>
    <n v="0.40910000000000002"/>
    <n v="0.35"/>
    <n v="0.28360000000000002"/>
    <n v="11"/>
    <n v="50"/>
    <n v="61"/>
    <n v="0.79527479290924885"/>
    <x v="0"/>
    <n v="-7.0635200248671509E-2"/>
    <x v="0"/>
  </r>
  <r>
    <n v="989"/>
    <d v="2011-02-13T00:00:00"/>
    <n v="2"/>
    <x v="1"/>
    <x v="20"/>
    <x v="4"/>
    <b v="0"/>
    <x v="0"/>
    <n v="0"/>
    <x v="1"/>
    <x v="0"/>
    <n v="1"/>
    <x v="0"/>
    <n v="0.4"/>
    <n v="0.40910000000000002"/>
    <n v="0.35"/>
    <n v="0.32840000000000003"/>
    <n v="15"/>
    <n v="32"/>
    <n v="47"/>
    <n v="1.3185679614627932"/>
    <x v="0"/>
    <n v="-0.44646541144467689"/>
    <x v="0"/>
  </r>
  <r>
    <n v="990"/>
    <d v="2011-02-13T00:00:00"/>
    <n v="2"/>
    <x v="1"/>
    <x v="21"/>
    <x v="0"/>
    <b v="0"/>
    <x v="0"/>
    <n v="0"/>
    <x v="1"/>
    <x v="0"/>
    <n v="1"/>
    <x v="0"/>
    <n v="0.4"/>
    <n v="0.40910000000000002"/>
    <n v="0.35"/>
    <n v="0.35820000000000002"/>
    <n v="6"/>
    <n v="45"/>
    <n v="51"/>
    <n v="0.14115833221731852"/>
    <x v="0"/>
    <n v="-0.17503248113645078"/>
    <x v="0"/>
  </r>
  <r>
    <n v="991"/>
    <d v="2011-02-13T00:00:00"/>
    <n v="2"/>
    <x v="1"/>
    <x v="22"/>
    <x v="0"/>
    <b v="0"/>
    <x v="0"/>
    <n v="0"/>
    <x v="1"/>
    <x v="0"/>
    <n v="1"/>
    <x v="0"/>
    <n v="0.4"/>
    <n v="0.40910000000000002"/>
    <n v="0.35"/>
    <n v="0.29849999999999999"/>
    <n v="5"/>
    <n v="31"/>
    <n v="36"/>
    <n v="1.0335040078932463E-2"/>
    <x v="0"/>
    <n v="-0.46734486762223271"/>
    <x v="0"/>
  </r>
  <r>
    <n v="992"/>
    <d v="2011-02-13T00:00:00"/>
    <n v="2"/>
    <x v="1"/>
    <x v="23"/>
    <x v="0"/>
    <b v="0"/>
    <x v="0"/>
    <n v="0"/>
    <x v="1"/>
    <x v="0"/>
    <n v="1"/>
    <x v="0"/>
    <n v="0.4"/>
    <n v="0.40910000000000002"/>
    <n v="0.35"/>
    <n v="0.35820000000000002"/>
    <n v="3"/>
    <n v="27"/>
    <n v="30"/>
    <n v="-0.25131154419783963"/>
    <x v="0"/>
    <n v="-0.55086269233245611"/>
    <x v="0"/>
  </r>
  <r>
    <n v="993"/>
    <d v="2011-02-14T00:00:00"/>
    <n v="2"/>
    <x v="1"/>
    <x v="0"/>
    <x v="0"/>
    <b v="0"/>
    <x v="0"/>
    <n v="1"/>
    <x v="2"/>
    <x v="1"/>
    <n v="1"/>
    <x v="0"/>
    <n v="0.38"/>
    <n v="0.39389999999999997"/>
    <n v="0.37"/>
    <n v="0.35820000000000002"/>
    <n v="3"/>
    <n v="8"/>
    <n v="11"/>
    <n v="-0.25131154419783963"/>
    <x v="0"/>
    <n v="-0.94757235970601739"/>
    <x v="0"/>
  </r>
  <r>
    <n v="994"/>
    <d v="2011-02-14T00:00:00"/>
    <n v="2"/>
    <x v="1"/>
    <x v="1"/>
    <x v="0"/>
    <b v="0"/>
    <x v="0"/>
    <n v="1"/>
    <x v="2"/>
    <x v="1"/>
    <n v="1"/>
    <x v="0"/>
    <n v="0.38"/>
    <n v="0.39389999999999997"/>
    <n v="0.37"/>
    <n v="0.35820000000000002"/>
    <n v="1"/>
    <n v="6"/>
    <n v="7"/>
    <n v="-0.51295812847461175"/>
    <x v="0"/>
    <n v="-0.98933127206112903"/>
    <x v="0"/>
  </r>
  <r>
    <n v="995"/>
    <d v="2011-02-14T00:00:00"/>
    <n v="2"/>
    <x v="1"/>
    <x v="2"/>
    <x v="0"/>
    <b v="0"/>
    <x v="0"/>
    <n v="1"/>
    <x v="2"/>
    <x v="1"/>
    <n v="1"/>
    <x v="0"/>
    <n v="0.36"/>
    <n v="0.33329999999999999"/>
    <n v="0.4"/>
    <n v="0.29849999999999999"/>
    <n v="0"/>
    <n v="2"/>
    <n v="2"/>
    <n v="-0.64378142061299781"/>
    <x v="0"/>
    <n v="-1.0728490967713524"/>
    <x v="0"/>
  </r>
  <r>
    <n v="996"/>
    <d v="2011-02-14T00:00:00"/>
    <n v="2"/>
    <x v="1"/>
    <x v="3"/>
    <x v="0"/>
    <b v="0"/>
    <x v="0"/>
    <n v="1"/>
    <x v="2"/>
    <x v="1"/>
    <n v="1"/>
    <x v="0"/>
    <n v="0.34"/>
    <n v="0.31819999999999998"/>
    <n v="0.46"/>
    <n v="0.22389999999999999"/>
    <n v="1"/>
    <n v="1"/>
    <n v="2"/>
    <n v="-0.51295812847461175"/>
    <x v="0"/>
    <n v="-1.0937285529489083"/>
    <x v="0"/>
  </r>
  <r>
    <n v="997"/>
    <d v="2011-02-14T00:00:00"/>
    <n v="2"/>
    <x v="1"/>
    <x v="4"/>
    <x v="0"/>
    <b v="0"/>
    <x v="0"/>
    <n v="1"/>
    <x v="2"/>
    <x v="1"/>
    <n v="1"/>
    <x v="0"/>
    <n v="0.32"/>
    <n v="0.30299999999999999"/>
    <n v="0.53"/>
    <n v="0.28360000000000002"/>
    <n v="0"/>
    <n v="2"/>
    <n v="2"/>
    <n v="-0.64378142061299781"/>
    <x v="0"/>
    <n v="-1.0728490967713524"/>
    <x v="0"/>
  </r>
  <r>
    <n v="998"/>
    <d v="2011-02-14T00:00:00"/>
    <n v="2"/>
    <x v="1"/>
    <x v="5"/>
    <x v="1"/>
    <b v="0"/>
    <x v="0"/>
    <n v="1"/>
    <x v="2"/>
    <x v="1"/>
    <n v="1"/>
    <x v="0"/>
    <n v="0.32"/>
    <n v="0.30299999999999999"/>
    <n v="0.53"/>
    <n v="0.28360000000000002"/>
    <n v="0"/>
    <n v="3"/>
    <n v="3"/>
    <n v="-0.64378142061299781"/>
    <x v="0"/>
    <n v="-1.0519696405937966"/>
    <x v="0"/>
  </r>
  <r>
    <n v="999"/>
    <d v="2011-02-14T00:00:00"/>
    <n v="2"/>
    <x v="1"/>
    <x v="6"/>
    <x v="1"/>
    <b v="0"/>
    <x v="0"/>
    <n v="1"/>
    <x v="2"/>
    <x v="1"/>
    <n v="1"/>
    <x v="0"/>
    <n v="0.34"/>
    <n v="0.30299999999999999"/>
    <n v="0.46"/>
    <n v="0.29849999999999999"/>
    <n v="1"/>
    <n v="25"/>
    <n v="26"/>
    <n v="-0.51295812847461175"/>
    <x v="0"/>
    <n v="-0.59262160468756786"/>
    <x v="0"/>
  </r>
  <r>
    <n v="1000"/>
    <d v="2011-02-14T00:00:00"/>
    <n v="2"/>
    <x v="1"/>
    <x v="7"/>
    <x v="1"/>
    <b v="0"/>
    <x v="0"/>
    <n v="1"/>
    <x v="2"/>
    <x v="1"/>
    <n v="1"/>
    <x v="0"/>
    <n v="0.34"/>
    <n v="0.30299999999999999"/>
    <n v="0.46"/>
    <n v="0.29849999999999999"/>
    <n v="2"/>
    <n v="96"/>
    <n v="98"/>
    <n v="-0.38213483633622569"/>
    <x v="0"/>
    <n v="0.8898197839188978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1D4BAF-50A7-4750-A426-FB7BB4BE3773}" name="PivotTable1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2">
  <location ref="I4:AG13" firstHeaderRow="1" firstDataRow="2" firstDataCol="1"/>
  <pivotFields count="29">
    <pivotField showAll="0"/>
    <pivotField numFmtId="14" showAll="0"/>
    <pivotField showAll="0"/>
    <pivotField showAll="0">
      <items count="3">
        <item x="0"/>
        <item x="1"/>
        <item t="default"/>
      </items>
    </pivotField>
    <pivotField axis="axisCol"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3"/>
        <item x="1"/>
        <item x="4"/>
        <item x="2"/>
        <item x="0"/>
        <item t="default"/>
      </items>
    </pivotField>
    <pivotField showAll="0"/>
    <pivotField showAll="0">
      <items count="3">
        <item x="0"/>
        <item x="1"/>
        <item t="default"/>
      </items>
    </pivotField>
    <pivotField showAll="0"/>
    <pivotField axis="axisRow" showAll="0">
      <items count="8">
        <item x="1"/>
        <item x="2"/>
        <item x="3"/>
        <item x="4"/>
        <item x="5"/>
        <item x="6"/>
        <item x="0"/>
        <item t="default"/>
      </items>
    </pivotField>
    <pivotField showAll="0"/>
    <pivotField showAll="0"/>
    <pivotField showAll="0">
      <items count="5">
        <item x="1"/>
        <item x="3"/>
        <item x="2"/>
        <item x="0"/>
        <item t="default"/>
      </items>
    </pivotField>
    <pivotField numFmtId="2" showAll="0"/>
    <pivotField numFmtId="2" showAll="0"/>
    <pivotField numFmtId="2" showAll="0"/>
    <pivotField numFmtId="2" showAll="0"/>
    <pivotField showAll="0"/>
    <pivotField showAll="0"/>
    <pivotField dataField="1" showAll="0"/>
    <pivotField numFmtId="2" showAll="0"/>
    <pivotField showAll="0"/>
    <pivotField numFmtId="2" showAll="0"/>
    <pivotField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8">
    <i>
      <x/>
    </i>
    <i>
      <x v="1"/>
    </i>
    <i>
      <x v="2"/>
    </i>
    <i>
      <x v="3"/>
    </i>
    <i>
      <x v="4"/>
    </i>
    <i>
      <x v="5"/>
    </i>
    <i>
      <x v="6"/>
    </i>
    <i t="grand">
      <x/>
    </i>
  </rowItems>
  <colFields count="1">
    <field x="4"/>
  </colFields>
  <colItems count="24">
    <i>
      <x/>
    </i>
    <i>
      <x v="1"/>
    </i>
    <i>
      <x v="2"/>
    </i>
    <i>
      <x v="3"/>
    </i>
    <i>
      <x v="4"/>
    </i>
    <i>
      <x v="5"/>
    </i>
    <i>
      <x v="6"/>
    </i>
    <i>
      <x v="7"/>
    </i>
    <i>
      <x v="8"/>
    </i>
    <i>
      <x v="9"/>
    </i>
    <i>
      <x v="10"/>
    </i>
    <i>
      <x v="11"/>
    </i>
    <i>
      <x v="12"/>
    </i>
    <i>
      <x v="13"/>
    </i>
    <i>
      <x v="14"/>
    </i>
    <i>
      <x v="15"/>
    </i>
    <i>
      <x v="16"/>
    </i>
    <i>
      <x v="17"/>
    </i>
    <i>
      <x v="18"/>
    </i>
    <i>
      <x v="19"/>
    </i>
    <i>
      <x v="20"/>
    </i>
    <i>
      <x v="21"/>
    </i>
    <i>
      <x v="22"/>
    </i>
    <i>
      <x v="23"/>
    </i>
  </colItems>
  <dataFields count="1">
    <dataField name="Average of cnt" fld="19" subtotal="average" baseField="4" baseItem="2" numFmtId="2"/>
  </dataFields>
  <formats count="2">
    <format dxfId="7">
      <pivotArea outline="0" collapsedLevelsAreSubtotals="1" fieldPosition="0"/>
    </format>
    <format dxfId="8">
      <pivotArea collapsedLevelsAreSubtotals="1" fieldPosition="0">
        <references count="1">
          <reference field="9" count="0"/>
        </references>
      </pivotArea>
    </format>
  </formats>
  <conditionalFormats count="2">
    <conditionalFormat priority="1">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collapsedLevelsAreSubtotals="1" fieldPosition="0">
          <references count="2">
            <reference field="4294967294" count="1" selected="0">
              <x v="0"/>
            </reference>
            <reference field="9" count="7">
              <x v="0"/>
              <x v="1"/>
              <x v="2"/>
              <x v="3"/>
              <x v="4"/>
              <x v="5"/>
              <x v="6"/>
            </reference>
          </references>
        </pivotArea>
      </pivotAreas>
    </conditionalFormat>
  </conditionalFormats>
  <chartFormats count="49">
    <chartFormat chart="9" format="144" series="1">
      <pivotArea type="data" outline="0" fieldPosition="0">
        <references count="2">
          <reference field="4294967294" count="1" selected="0">
            <x v="0"/>
          </reference>
          <reference field="4" count="1" selected="0">
            <x v="0"/>
          </reference>
        </references>
      </pivotArea>
    </chartFormat>
    <chartFormat chart="9" format="145" series="1">
      <pivotArea type="data" outline="0" fieldPosition="0">
        <references count="2">
          <reference field="4294967294" count="1" selected="0">
            <x v="0"/>
          </reference>
          <reference field="4" count="1" selected="0">
            <x v="1"/>
          </reference>
        </references>
      </pivotArea>
    </chartFormat>
    <chartFormat chart="9" format="146" series="1">
      <pivotArea type="data" outline="0" fieldPosition="0">
        <references count="2">
          <reference field="4294967294" count="1" selected="0">
            <x v="0"/>
          </reference>
          <reference field="4" count="1" selected="0">
            <x v="2"/>
          </reference>
        </references>
      </pivotArea>
    </chartFormat>
    <chartFormat chart="9" format="147" series="1">
      <pivotArea type="data" outline="0" fieldPosition="0">
        <references count="2">
          <reference field="4294967294" count="1" selected="0">
            <x v="0"/>
          </reference>
          <reference field="4" count="1" selected="0">
            <x v="3"/>
          </reference>
        </references>
      </pivotArea>
    </chartFormat>
    <chartFormat chart="9" format="148" series="1">
      <pivotArea type="data" outline="0" fieldPosition="0">
        <references count="2">
          <reference field="4294967294" count="1" selected="0">
            <x v="0"/>
          </reference>
          <reference field="4" count="1" selected="0">
            <x v="4"/>
          </reference>
        </references>
      </pivotArea>
    </chartFormat>
    <chartFormat chart="9" format="149" series="1">
      <pivotArea type="data" outline="0" fieldPosition="0">
        <references count="2">
          <reference field="4294967294" count="1" selected="0">
            <x v="0"/>
          </reference>
          <reference field="4" count="1" selected="0">
            <x v="5"/>
          </reference>
        </references>
      </pivotArea>
    </chartFormat>
    <chartFormat chart="9" format="150" series="1">
      <pivotArea type="data" outline="0" fieldPosition="0">
        <references count="2">
          <reference field="4294967294" count="1" selected="0">
            <x v="0"/>
          </reference>
          <reference field="4" count="1" selected="0">
            <x v="6"/>
          </reference>
        </references>
      </pivotArea>
    </chartFormat>
    <chartFormat chart="9" format="151" series="1">
      <pivotArea type="data" outline="0" fieldPosition="0">
        <references count="2">
          <reference field="4294967294" count="1" selected="0">
            <x v="0"/>
          </reference>
          <reference field="4" count="1" selected="0">
            <x v="7"/>
          </reference>
        </references>
      </pivotArea>
    </chartFormat>
    <chartFormat chart="9" format="152" series="1">
      <pivotArea type="data" outline="0" fieldPosition="0">
        <references count="2">
          <reference field="4294967294" count="1" selected="0">
            <x v="0"/>
          </reference>
          <reference field="4" count="1" selected="0">
            <x v="8"/>
          </reference>
        </references>
      </pivotArea>
    </chartFormat>
    <chartFormat chart="9" format="153" series="1">
      <pivotArea type="data" outline="0" fieldPosition="0">
        <references count="2">
          <reference field="4294967294" count="1" selected="0">
            <x v="0"/>
          </reference>
          <reference field="4" count="1" selected="0">
            <x v="9"/>
          </reference>
        </references>
      </pivotArea>
    </chartFormat>
    <chartFormat chart="9" format="154" series="1">
      <pivotArea type="data" outline="0" fieldPosition="0">
        <references count="2">
          <reference field="4294967294" count="1" selected="0">
            <x v="0"/>
          </reference>
          <reference field="4" count="1" selected="0">
            <x v="10"/>
          </reference>
        </references>
      </pivotArea>
    </chartFormat>
    <chartFormat chart="9" format="155" series="1">
      <pivotArea type="data" outline="0" fieldPosition="0">
        <references count="2">
          <reference field="4294967294" count="1" selected="0">
            <x v="0"/>
          </reference>
          <reference field="4" count="1" selected="0">
            <x v="11"/>
          </reference>
        </references>
      </pivotArea>
    </chartFormat>
    <chartFormat chart="9" format="156" series="1">
      <pivotArea type="data" outline="0" fieldPosition="0">
        <references count="2">
          <reference field="4294967294" count="1" selected="0">
            <x v="0"/>
          </reference>
          <reference field="4" count="1" selected="0">
            <x v="12"/>
          </reference>
        </references>
      </pivotArea>
    </chartFormat>
    <chartFormat chart="9" format="157" series="1">
      <pivotArea type="data" outline="0" fieldPosition="0">
        <references count="2">
          <reference field="4294967294" count="1" selected="0">
            <x v="0"/>
          </reference>
          <reference field="4" count="1" selected="0">
            <x v="13"/>
          </reference>
        </references>
      </pivotArea>
    </chartFormat>
    <chartFormat chart="9" format="158" series="1">
      <pivotArea type="data" outline="0" fieldPosition="0">
        <references count="2">
          <reference field="4294967294" count="1" selected="0">
            <x v="0"/>
          </reference>
          <reference field="4" count="1" selected="0">
            <x v="14"/>
          </reference>
        </references>
      </pivotArea>
    </chartFormat>
    <chartFormat chart="9" format="159" series="1">
      <pivotArea type="data" outline="0" fieldPosition="0">
        <references count="2">
          <reference field="4294967294" count="1" selected="0">
            <x v="0"/>
          </reference>
          <reference field="4" count="1" selected="0">
            <x v="15"/>
          </reference>
        </references>
      </pivotArea>
    </chartFormat>
    <chartFormat chart="9" format="160" series="1">
      <pivotArea type="data" outline="0" fieldPosition="0">
        <references count="2">
          <reference field="4294967294" count="1" selected="0">
            <x v="0"/>
          </reference>
          <reference field="4" count="1" selected="0">
            <x v="16"/>
          </reference>
        </references>
      </pivotArea>
    </chartFormat>
    <chartFormat chart="9" format="161" series="1">
      <pivotArea type="data" outline="0" fieldPosition="0">
        <references count="2">
          <reference field="4294967294" count="1" selected="0">
            <x v="0"/>
          </reference>
          <reference field="4" count="1" selected="0">
            <x v="17"/>
          </reference>
        </references>
      </pivotArea>
    </chartFormat>
    <chartFormat chart="9" format="162" series="1">
      <pivotArea type="data" outline="0" fieldPosition="0">
        <references count="2">
          <reference field="4294967294" count="1" selected="0">
            <x v="0"/>
          </reference>
          <reference field="4" count="1" selected="0">
            <x v="18"/>
          </reference>
        </references>
      </pivotArea>
    </chartFormat>
    <chartFormat chart="9" format="163" series="1">
      <pivotArea type="data" outline="0" fieldPosition="0">
        <references count="2">
          <reference field="4294967294" count="1" selected="0">
            <x v="0"/>
          </reference>
          <reference field="4" count="1" selected="0">
            <x v="19"/>
          </reference>
        </references>
      </pivotArea>
    </chartFormat>
    <chartFormat chart="9" format="164" series="1">
      <pivotArea type="data" outline="0" fieldPosition="0">
        <references count="2">
          <reference field="4294967294" count="1" selected="0">
            <x v="0"/>
          </reference>
          <reference field="4" count="1" selected="0">
            <x v="20"/>
          </reference>
        </references>
      </pivotArea>
    </chartFormat>
    <chartFormat chart="9" format="165" series="1">
      <pivotArea type="data" outline="0" fieldPosition="0">
        <references count="2">
          <reference field="4294967294" count="1" selected="0">
            <x v="0"/>
          </reference>
          <reference field="4" count="1" selected="0">
            <x v="21"/>
          </reference>
        </references>
      </pivotArea>
    </chartFormat>
    <chartFormat chart="9" format="166" series="1">
      <pivotArea type="data" outline="0" fieldPosition="0">
        <references count="2">
          <reference field="4294967294" count="1" selected="0">
            <x v="0"/>
          </reference>
          <reference field="4" count="1" selected="0">
            <x v="22"/>
          </reference>
        </references>
      </pivotArea>
    </chartFormat>
    <chartFormat chart="9" format="167" series="1">
      <pivotArea type="data" outline="0" fieldPosition="0">
        <references count="2">
          <reference field="4294967294" count="1" selected="0">
            <x v="0"/>
          </reference>
          <reference field="4" count="1" selected="0">
            <x v="23"/>
          </reference>
        </references>
      </pivotArea>
    </chartFormat>
    <chartFormat chart="9" format="168" series="1">
      <pivotArea type="data" outline="0" fieldPosition="0">
        <references count="1">
          <reference field="4294967294" count="1" selected="0">
            <x v="0"/>
          </reference>
        </references>
      </pivotArea>
    </chartFormat>
    <chartFormat chart="10" format="169" series="1">
      <pivotArea type="data" outline="0" fieldPosition="0">
        <references count="2">
          <reference field="4294967294" count="1" selected="0">
            <x v="0"/>
          </reference>
          <reference field="4" count="1" selected="0">
            <x v="0"/>
          </reference>
        </references>
      </pivotArea>
    </chartFormat>
    <chartFormat chart="10" format="170" series="1">
      <pivotArea type="data" outline="0" fieldPosition="0">
        <references count="2">
          <reference field="4294967294" count="1" selected="0">
            <x v="0"/>
          </reference>
          <reference field="4" count="1" selected="0">
            <x v="1"/>
          </reference>
        </references>
      </pivotArea>
    </chartFormat>
    <chartFormat chart="10" format="171" series="1">
      <pivotArea type="data" outline="0" fieldPosition="0">
        <references count="2">
          <reference field="4294967294" count="1" selected="0">
            <x v="0"/>
          </reference>
          <reference field="4" count="1" selected="0">
            <x v="2"/>
          </reference>
        </references>
      </pivotArea>
    </chartFormat>
    <chartFormat chart="10" format="172" series="1">
      <pivotArea type="data" outline="0" fieldPosition="0">
        <references count="2">
          <reference field="4294967294" count="1" selected="0">
            <x v="0"/>
          </reference>
          <reference field="4" count="1" selected="0">
            <x v="3"/>
          </reference>
        </references>
      </pivotArea>
    </chartFormat>
    <chartFormat chart="10" format="173" series="1">
      <pivotArea type="data" outline="0" fieldPosition="0">
        <references count="2">
          <reference field="4294967294" count="1" selected="0">
            <x v="0"/>
          </reference>
          <reference field="4" count="1" selected="0">
            <x v="4"/>
          </reference>
        </references>
      </pivotArea>
    </chartFormat>
    <chartFormat chart="10" format="174" series="1">
      <pivotArea type="data" outline="0" fieldPosition="0">
        <references count="2">
          <reference field="4294967294" count="1" selected="0">
            <x v="0"/>
          </reference>
          <reference field="4" count="1" selected="0">
            <x v="5"/>
          </reference>
        </references>
      </pivotArea>
    </chartFormat>
    <chartFormat chart="10" format="175" series="1">
      <pivotArea type="data" outline="0" fieldPosition="0">
        <references count="2">
          <reference field="4294967294" count="1" selected="0">
            <x v="0"/>
          </reference>
          <reference field="4" count="1" selected="0">
            <x v="6"/>
          </reference>
        </references>
      </pivotArea>
    </chartFormat>
    <chartFormat chart="10" format="176" series="1">
      <pivotArea type="data" outline="0" fieldPosition="0">
        <references count="2">
          <reference field="4294967294" count="1" selected="0">
            <x v="0"/>
          </reference>
          <reference field="4" count="1" selected="0">
            <x v="7"/>
          </reference>
        </references>
      </pivotArea>
    </chartFormat>
    <chartFormat chart="10" format="177" series="1">
      <pivotArea type="data" outline="0" fieldPosition="0">
        <references count="2">
          <reference field="4294967294" count="1" selected="0">
            <x v="0"/>
          </reference>
          <reference field="4" count="1" selected="0">
            <x v="8"/>
          </reference>
        </references>
      </pivotArea>
    </chartFormat>
    <chartFormat chart="10" format="178" series="1">
      <pivotArea type="data" outline="0" fieldPosition="0">
        <references count="2">
          <reference field="4294967294" count="1" selected="0">
            <x v="0"/>
          </reference>
          <reference field="4" count="1" selected="0">
            <x v="9"/>
          </reference>
        </references>
      </pivotArea>
    </chartFormat>
    <chartFormat chart="10" format="179" series="1">
      <pivotArea type="data" outline="0" fieldPosition="0">
        <references count="2">
          <reference field="4294967294" count="1" selected="0">
            <x v="0"/>
          </reference>
          <reference field="4" count="1" selected="0">
            <x v="10"/>
          </reference>
        </references>
      </pivotArea>
    </chartFormat>
    <chartFormat chart="10" format="180" series="1">
      <pivotArea type="data" outline="0" fieldPosition="0">
        <references count="2">
          <reference field="4294967294" count="1" selected="0">
            <x v="0"/>
          </reference>
          <reference field="4" count="1" selected="0">
            <x v="11"/>
          </reference>
        </references>
      </pivotArea>
    </chartFormat>
    <chartFormat chart="10" format="181" series="1">
      <pivotArea type="data" outline="0" fieldPosition="0">
        <references count="2">
          <reference field="4294967294" count="1" selected="0">
            <x v="0"/>
          </reference>
          <reference field="4" count="1" selected="0">
            <x v="12"/>
          </reference>
        </references>
      </pivotArea>
    </chartFormat>
    <chartFormat chart="10" format="182" series="1">
      <pivotArea type="data" outline="0" fieldPosition="0">
        <references count="2">
          <reference field="4294967294" count="1" selected="0">
            <x v="0"/>
          </reference>
          <reference field="4" count="1" selected="0">
            <x v="13"/>
          </reference>
        </references>
      </pivotArea>
    </chartFormat>
    <chartFormat chart="10" format="183" series="1">
      <pivotArea type="data" outline="0" fieldPosition="0">
        <references count="2">
          <reference field="4294967294" count="1" selected="0">
            <x v="0"/>
          </reference>
          <reference field="4" count="1" selected="0">
            <x v="14"/>
          </reference>
        </references>
      </pivotArea>
    </chartFormat>
    <chartFormat chart="10" format="184" series="1">
      <pivotArea type="data" outline="0" fieldPosition="0">
        <references count="2">
          <reference field="4294967294" count="1" selected="0">
            <x v="0"/>
          </reference>
          <reference field="4" count="1" selected="0">
            <x v="15"/>
          </reference>
        </references>
      </pivotArea>
    </chartFormat>
    <chartFormat chart="10" format="185" series="1">
      <pivotArea type="data" outline="0" fieldPosition="0">
        <references count="2">
          <reference field="4294967294" count="1" selected="0">
            <x v="0"/>
          </reference>
          <reference field="4" count="1" selected="0">
            <x v="16"/>
          </reference>
        </references>
      </pivotArea>
    </chartFormat>
    <chartFormat chart="10" format="186" series="1">
      <pivotArea type="data" outline="0" fieldPosition="0">
        <references count="2">
          <reference field="4294967294" count="1" selected="0">
            <x v="0"/>
          </reference>
          <reference field="4" count="1" selected="0">
            <x v="17"/>
          </reference>
        </references>
      </pivotArea>
    </chartFormat>
    <chartFormat chart="10" format="187" series="1">
      <pivotArea type="data" outline="0" fieldPosition="0">
        <references count="2">
          <reference field="4294967294" count="1" selected="0">
            <x v="0"/>
          </reference>
          <reference field="4" count="1" selected="0">
            <x v="18"/>
          </reference>
        </references>
      </pivotArea>
    </chartFormat>
    <chartFormat chart="10" format="188" series="1">
      <pivotArea type="data" outline="0" fieldPosition="0">
        <references count="2">
          <reference field="4294967294" count="1" selected="0">
            <x v="0"/>
          </reference>
          <reference field="4" count="1" selected="0">
            <x v="19"/>
          </reference>
        </references>
      </pivotArea>
    </chartFormat>
    <chartFormat chart="10" format="189" series="1">
      <pivotArea type="data" outline="0" fieldPosition="0">
        <references count="2">
          <reference field="4294967294" count="1" selected="0">
            <x v="0"/>
          </reference>
          <reference field="4" count="1" selected="0">
            <x v="20"/>
          </reference>
        </references>
      </pivotArea>
    </chartFormat>
    <chartFormat chart="10" format="190" series="1">
      <pivotArea type="data" outline="0" fieldPosition="0">
        <references count="2">
          <reference field="4294967294" count="1" selected="0">
            <x v="0"/>
          </reference>
          <reference field="4" count="1" selected="0">
            <x v="21"/>
          </reference>
        </references>
      </pivotArea>
    </chartFormat>
    <chartFormat chart="10" format="191" series="1">
      <pivotArea type="data" outline="0" fieldPosition="0">
        <references count="2">
          <reference field="4294967294" count="1" selected="0">
            <x v="0"/>
          </reference>
          <reference field="4" count="1" selected="0">
            <x v="22"/>
          </reference>
        </references>
      </pivotArea>
    </chartFormat>
    <chartFormat chart="10" format="192" series="1">
      <pivotArea type="data" outline="0" fieldPosition="0">
        <references count="2">
          <reference field="4294967294" count="1" selected="0">
            <x v="0"/>
          </reference>
          <reference field="4" count="1" selected="0">
            <x v="2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7A8053-5E00-4791-BE9C-DECB455975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0:C38" firstHeaderRow="0" firstDataRow="1" firstDataCol="1"/>
  <pivotFields count="29">
    <pivotField showAll="0"/>
    <pivotField numFmtId="14" showAll="0"/>
    <pivotField showAll="0"/>
    <pivotField showAll="0"/>
    <pivotField showAll="0"/>
    <pivotField showAll="0">
      <items count="6">
        <item x="3"/>
        <item x="1"/>
        <item x="4"/>
        <item x="2"/>
        <item x="0"/>
        <item t="default"/>
      </items>
    </pivotField>
    <pivotField showAll="0"/>
    <pivotField showAll="0">
      <items count="3">
        <item x="0"/>
        <item x="1"/>
        <item t="default"/>
      </items>
    </pivotField>
    <pivotField showAll="0"/>
    <pivotField axis="axisRow" showAll="0">
      <items count="8">
        <item x="1"/>
        <item x="2"/>
        <item x="3"/>
        <item x="4"/>
        <item x="5"/>
        <item x="6"/>
        <item x="0"/>
        <item t="default"/>
      </items>
    </pivotField>
    <pivotField showAll="0"/>
    <pivotField showAll="0"/>
    <pivotField showAll="0">
      <items count="5">
        <item x="1"/>
        <item x="3"/>
        <item x="2"/>
        <item x="0"/>
        <item t="default"/>
      </items>
    </pivotField>
    <pivotField numFmtId="2" showAll="0"/>
    <pivotField numFmtId="2" showAll="0"/>
    <pivotField numFmtId="2" showAll="0"/>
    <pivotField numFmtId="2" showAll="0"/>
    <pivotField dataField="1" showAll="0"/>
    <pivotField dataField="1" showAll="0"/>
    <pivotField showAll="0"/>
    <pivotField numFmtId="2" showAll="0"/>
    <pivotField showAll="0"/>
    <pivotField numFmtId="2" showAll="0"/>
    <pivotField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9"/>
  </rowFields>
  <rowItems count="8">
    <i>
      <x/>
    </i>
    <i>
      <x v="1"/>
    </i>
    <i>
      <x v="2"/>
    </i>
    <i>
      <x v="3"/>
    </i>
    <i>
      <x v="4"/>
    </i>
    <i>
      <x v="5"/>
    </i>
    <i>
      <x v="6"/>
    </i>
    <i t="grand">
      <x/>
    </i>
  </rowItems>
  <colFields count="1">
    <field x="-2"/>
  </colFields>
  <colItems count="2">
    <i>
      <x/>
    </i>
    <i i="1">
      <x v="1"/>
    </i>
  </colItems>
  <dataFields count="2">
    <dataField name="Sum of casual" fld="17" baseField="0" baseItem="0"/>
    <dataField name="Sum of registered" fld="18" baseField="0" baseItem="0"/>
  </dataFields>
  <chartFormats count="6">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632CB8-7BDD-46E4-BEF2-5425DF847CC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9:C25" firstHeaderRow="0" firstDataRow="1" firstDataCol="1"/>
  <pivotFields count="29">
    <pivotField showAll="0"/>
    <pivotField numFmtId="14" showAll="0"/>
    <pivotField showAll="0"/>
    <pivotField showAll="0"/>
    <pivotField showAll="0"/>
    <pivotField axis="axisRow" showAll="0">
      <items count="6">
        <item x="3"/>
        <item x="1"/>
        <item x="4"/>
        <item x="2"/>
        <item x="0"/>
        <item t="default"/>
      </items>
    </pivotField>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pivotField showAll="0">
      <items count="5">
        <item x="1"/>
        <item x="3"/>
        <item x="2"/>
        <item x="0"/>
        <item t="default"/>
      </items>
    </pivotField>
    <pivotField numFmtId="2" showAll="0"/>
    <pivotField numFmtId="2" showAll="0"/>
    <pivotField numFmtId="2" showAll="0"/>
    <pivotField numFmtId="2" showAll="0"/>
    <pivotField dataField="1" showAll="0"/>
    <pivotField dataField="1" showAll="0"/>
    <pivotField showAll="0"/>
    <pivotField numFmtId="2" showAll="0"/>
    <pivotField showAll="0"/>
    <pivotField numFmtId="2" showAll="0"/>
    <pivotField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5"/>
  </rowFields>
  <rowItems count="6">
    <i>
      <x/>
    </i>
    <i>
      <x v="1"/>
    </i>
    <i>
      <x v="2"/>
    </i>
    <i>
      <x v="3"/>
    </i>
    <i>
      <x v="4"/>
    </i>
    <i t="grand">
      <x/>
    </i>
  </rowItems>
  <colFields count="1">
    <field x="-2"/>
  </colFields>
  <colItems count="2">
    <i>
      <x/>
    </i>
    <i i="1">
      <x v="1"/>
    </i>
  </colItems>
  <dataFields count="2">
    <dataField name="Sum of casual" fld="17" baseField="0" baseItem="0"/>
    <dataField name="Sum of registered" fld="18" baseField="0" baseItem="0"/>
  </dataFields>
  <chartFormats count="6">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0FAEAA-3E38-44E2-8F42-5858439BDC8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F69:G74" firstHeaderRow="1" firstDataRow="1" firstDataCol="1"/>
  <pivotFields count="29">
    <pivotField showAll="0"/>
    <pivotField numFmtId="14" showAll="0"/>
    <pivotField showAll="0"/>
    <pivotField showAll="0"/>
    <pivotField showAll="0"/>
    <pivotField showAll="0">
      <items count="6">
        <item x="3"/>
        <item x="1"/>
        <item x="4"/>
        <item x="2"/>
        <item x="0"/>
        <item t="default"/>
      </items>
    </pivotField>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pivotField axis="axisRow" showAll="0">
      <items count="5">
        <item x="1"/>
        <item x="3"/>
        <item x="2"/>
        <item x="0"/>
        <item t="default"/>
      </items>
    </pivotField>
    <pivotField numFmtId="2" showAll="0"/>
    <pivotField numFmtId="2" showAll="0"/>
    <pivotField numFmtId="2" showAll="0"/>
    <pivotField numFmtId="2" showAll="0"/>
    <pivotField showAll="0"/>
    <pivotField showAll="0"/>
    <pivotField dataField="1" showAll="0"/>
    <pivotField numFmtId="2" showAll="0"/>
    <pivotField showAll="0"/>
    <pivotField numFmtId="2" showAll="0"/>
    <pivotField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5">
    <i>
      <x/>
    </i>
    <i>
      <x v="1"/>
    </i>
    <i>
      <x v="2"/>
    </i>
    <i>
      <x v="3"/>
    </i>
    <i t="grand">
      <x/>
    </i>
  </rowItems>
  <colItems count="1">
    <i/>
  </colItems>
  <dataFields count="1">
    <dataField name="Average of cnt" fld="19" subtotal="average" baseField="12" baseItem="0" numFmtId="2"/>
  </dataFields>
  <formats count="14">
    <format dxfId="24">
      <pivotArea outline="0" collapsedLevelsAreSubtotals="1" fieldPosition="0"/>
    </format>
    <format dxfId="23">
      <pivotArea collapsedLevelsAreSubtotals="1" fieldPosition="0">
        <references count="1">
          <reference field="12" count="0"/>
        </references>
      </pivotArea>
    </format>
    <format dxfId="20">
      <pivotArea type="all" dataOnly="0" outline="0" fieldPosition="0"/>
    </format>
    <format dxfId="19">
      <pivotArea outline="0" collapsedLevelsAreSubtotals="1" fieldPosition="0"/>
    </format>
    <format dxfId="18">
      <pivotArea field="12" type="button" dataOnly="0" labelOnly="1" outline="0" axis="axisRow" fieldPosition="0"/>
    </format>
    <format dxfId="17">
      <pivotArea dataOnly="0" labelOnly="1" fieldPosition="0">
        <references count="1">
          <reference field="12" count="0"/>
        </references>
      </pivotArea>
    </format>
    <format dxfId="16">
      <pivotArea dataOnly="0" labelOnly="1" grandRow="1" outline="0" fieldPosition="0"/>
    </format>
    <format dxfId="15">
      <pivotArea dataOnly="0" labelOnly="1" outline="0" axis="axisValues" fieldPosition="0"/>
    </format>
    <format dxfId="14">
      <pivotArea type="all" dataOnly="0" outline="0" fieldPosition="0"/>
    </format>
    <format dxfId="13">
      <pivotArea outline="0" collapsedLevelsAreSubtotals="1" fieldPosition="0"/>
    </format>
    <format dxfId="12">
      <pivotArea field="12" type="button" dataOnly="0" labelOnly="1" outline="0" axis="axisRow" fieldPosition="0"/>
    </format>
    <format dxfId="11">
      <pivotArea dataOnly="0" labelOnly="1" fieldPosition="0">
        <references count="1">
          <reference field="12" count="0"/>
        </references>
      </pivotArea>
    </format>
    <format dxfId="10">
      <pivotArea dataOnly="0" labelOnly="1" grandRow="1" outline="0" fieldPosition="0"/>
    </format>
    <format dxfId="9">
      <pivotArea dataOnly="0" labelOnly="1" outline="0" axis="axisValues" fieldPosition="0"/>
    </format>
  </formats>
  <chartFormats count="10">
    <chartFormat chart="14" format="26" series="1">
      <pivotArea type="data" outline="0" fieldPosition="0">
        <references count="1">
          <reference field="4294967294" count="1" selected="0">
            <x v="0"/>
          </reference>
        </references>
      </pivotArea>
    </chartFormat>
    <chartFormat chart="14" format="27">
      <pivotArea type="data" outline="0" fieldPosition="0">
        <references count="2">
          <reference field="4294967294" count="1" selected="0">
            <x v="0"/>
          </reference>
          <reference field="12" count="1" selected="0">
            <x v="0"/>
          </reference>
        </references>
      </pivotArea>
    </chartFormat>
    <chartFormat chart="14" format="28">
      <pivotArea type="data" outline="0" fieldPosition="0">
        <references count="2">
          <reference field="4294967294" count="1" selected="0">
            <x v="0"/>
          </reference>
          <reference field="12" count="1" selected="0">
            <x v="1"/>
          </reference>
        </references>
      </pivotArea>
    </chartFormat>
    <chartFormat chart="14" format="29">
      <pivotArea type="data" outline="0" fieldPosition="0">
        <references count="2">
          <reference field="4294967294" count="1" selected="0">
            <x v="0"/>
          </reference>
          <reference field="12" count="1" selected="0">
            <x v="2"/>
          </reference>
        </references>
      </pivotArea>
    </chartFormat>
    <chartFormat chart="14" format="30">
      <pivotArea type="data" outline="0" fieldPosition="0">
        <references count="2">
          <reference field="4294967294" count="1" selected="0">
            <x v="0"/>
          </reference>
          <reference field="12" count="1" selected="0">
            <x v="3"/>
          </reference>
        </references>
      </pivotArea>
    </chartFormat>
    <chartFormat chart="16" format="31" series="1">
      <pivotArea type="data" outline="0" fieldPosition="0">
        <references count="1">
          <reference field="4294967294" count="1" selected="0">
            <x v="0"/>
          </reference>
        </references>
      </pivotArea>
    </chartFormat>
    <chartFormat chart="16" format="32">
      <pivotArea type="data" outline="0" fieldPosition="0">
        <references count="2">
          <reference field="4294967294" count="1" selected="0">
            <x v="0"/>
          </reference>
          <reference field="12" count="1" selected="0">
            <x v="0"/>
          </reference>
        </references>
      </pivotArea>
    </chartFormat>
    <chartFormat chart="16" format="33">
      <pivotArea type="data" outline="0" fieldPosition="0">
        <references count="2">
          <reference field="4294967294" count="1" selected="0">
            <x v="0"/>
          </reference>
          <reference field="12" count="1" selected="0">
            <x v="1"/>
          </reference>
        </references>
      </pivotArea>
    </chartFormat>
    <chartFormat chart="16" format="34">
      <pivotArea type="data" outline="0" fieldPosition="0">
        <references count="2">
          <reference field="4294967294" count="1" selected="0">
            <x v="0"/>
          </reference>
          <reference field="12" count="1" selected="0">
            <x v="2"/>
          </reference>
        </references>
      </pivotArea>
    </chartFormat>
    <chartFormat chart="16" format="35">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96B5D6-2001-4229-B60F-71CAFC44887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3:D56" firstHeaderRow="0" firstDataRow="1" firstDataCol="1"/>
  <pivotFields count="29">
    <pivotField showAll="0"/>
    <pivotField numFmtId="14" showAll="0"/>
    <pivotField showAll="0"/>
    <pivotField showAll="0"/>
    <pivotField showAll="0"/>
    <pivotField showAll="0">
      <items count="6">
        <item x="3"/>
        <item x="1"/>
        <item x="4"/>
        <item x="2"/>
        <item x="0"/>
        <item t="default"/>
      </items>
    </pivotField>
    <pivotField showAll="0"/>
    <pivotField showAll="0">
      <items count="3">
        <item x="0"/>
        <item x="1"/>
        <item t="default"/>
      </items>
    </pivotField>
    <pivotField showAll="0"/>
    <pivotField showAll="0">
      <items count="8">
        <item x="1"/>
        <item x="2"/>
        <item x="3"/>
        <item x="4"/>
        <item x="5"/>
        <item x="6"/>
        <item x="0"/>
        <item t="default"/>
      </items>
    </pivotField>
    <pivotField axis="axisRow" showAll="0">
      <items count="3">
        <item x="1"/>
        <item x="0"/>
        <item t="default"/>
      </items>
    </pivotField>
    <pivotField showAll="0"/>
    <pivotField showAll="0">
      <items count="5">
        <item x="1"/>
        <item x="3"/>
        <item x="2"/>
        <item x="0"/>
        <item t="default"/>
      </items>
    </pivotField>
    <pivotField numFmtId="2" showAll="0"/>
    <pivotField numFmtId="2" showAll="0"/>
    <pivotField numFmtId="2" showAll="0"/>
    <pivotField numFmtId="2" showAll="0"/>
    <pivotField dataField="1" showAll="0"/>
    <pivotField dataField="1" showAll="0"/>
    <pivotField showAll="0"/>
    <pivotField numFmtId="2" showAll="0"/>
    <pivotField showAll="0"/>
    <pivotField numFmtId="2" showAll="0"/>
    <pivotField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ataField="1" dragToRow="0" dragToCol="0" dragToPage="0" showAll="0" defaultSubtotal="0"/>
  </pivotFields>
  <rowFields count="1">
    <field x="10"/>
  </rowFields>
  <rowItems count="3">
    <i>
      <x/>
    </i>
    <i>
      <x v="1"/>
    </i>
    <i t="grand">
      <x/>
    </i>
  </rowItems>
  <colFields count="1">
    <field x="-2"/>
  </colFields>
  <colItems count="3">
    <i>
      <x/>
    </i>
    <i i="1">
      <x v="1"/>
    </i>
    <i i="2">
      <x v="2"/>
    </i>
  </colItems>
  <dataFields count="3">
    <dataField name="Sum of casual" fld="17" baseField="0" baseItem="0"/>
    <dataField name="Sum of registered" fld="18" baseField="0" baseItem="0"/>
    <dataField name=" Conversion rate" fld="28" baseField="10" baseItem="0" numFmtId="2"/>
  </dataFields>
  <formats count="1">
    <format dxfId="25">
      <pivotArea outline="0" collapsedLevelsAreSubtotals="1" fieldPosition="0">
        <references count="1">
          <reference field="4294967294" count="1" selected="0">
            <x v="2"/>
          </reference>
        </references>
      </pivotArea>
    </format>
  </format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72BB319-5C2A-45FC-867D-FA2E23A9255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60:C85" firstHeaderRow="0" firstDataRow="1" firstDataCol="1"/>
  <pivotFields count="29">
    <pivotField showAll="0"/>
    <pivotField numFmtId="14"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3"/>
        <item x="1"/>
        <item x="4"/>
        <item x="2"/>
        <item x="0"/>
        <item t="default"/>
      </items>
    </pivotField>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pivotField showAll="0">
      <items count="5">
        <item x="1"/>
        <item x="3"/>
        <item x="2"/>
        <item x="0"/>
        <item t="default"/>
      </items>
    </pivotField>
    <pivotField numFmtId="2" showAll="0"/>
    <pivotField numFmtId="2" showAll="0"/>
    <pivotField numFmtId="2" showAll="0"/>
    <pivotField numFmtId="2" showAll="0"/>
    <pivotField dataField="1" showAll="0"/>
    <pivotField dataField="1" showAll="0"/>
    <pivotField showAll="0"/>
    <pivotField numFmtId="2" showAll="0"/>
    <pivotField showAll="0"/>
    <pivotField numFmtId="2" showAll="0"/>
    <pivotField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dataFields count="2">
    <dataField name="Sum of casual" fld="17" baseField="0" baseItem="0"/>
    <dataField name="Sum of registered" fld="18" baseField="0" baseItem="0"/>
  </dataFields>
  <conditionalFormats count="2">
    <conditionalFormat priority="10">
      <pivotAreas count="1">
        <pivotArea type="data" collapsedLevelsAreSubtotals="1" fieldPosition="0">
          <references count="2">
            <reference field="4294967294" count="1" selected="0">
              <x v="1"/>
            </reference>
            <reference field="4" count="24">
              <x v="0"/>
              <x v="1"/>
              <x v="2"/>
              <x v="3"/>
              <x v="4"/>
              <x v="5"/>
              <x v="6"/>
              <x v="7"/>
              <x v="8"/>
              <x v="9"/>
              <x v="10"/>
              <x v="11"/>
              <x v="12"/>
              <x v="13"/>
              <x v="14"/>
              <x v="15"/>
              <x v="16"/>
              <x v="17"/>
              <x v="18"/>
              <x v="19"/>
              <x v="20"/>
              <x v="21"/>
              <x v="22"/>
              <x v="23"/>
            </reference>
          </references>
        </pivotArea>
      </pivotAreas>
    </conditionalFormat>
    <conditionalFormat priority="11">
      <pivotAreas count="1">
        <pivotArea type="data" collapsedLevelsAreSubtotals="1" fieldPosition="0">
          <references count="2">
            <reference field="4294967294" count="1" selected="0">
              <x v="0"/>
            </reference>
            <reference field="4" count="24">
              <x v="0"/>
              <x v="1"/>
              <x v="2"/>
              <x v="3"/>
              <x v="4"/>
              <x v="5"/>
              <x v="6"/>
              <x v="7"/>
              <x v="8"/>
              <x v="9"/>
              <x v="10"/>
              <x v="11"/>
              <x v="12"/>
              <x v="13"/>
              <x v="14"/>
              <x v="15"/>
              <x v="16"/>
              <x v="17"/>
              <x v="18"/>
              <x v="19"/>
              <x v="20"/>
              <x v="21"/>
              <x v="22"/>
              <x v="2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D19CC57-A476-4D80-A56C-874652FFFD72}"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79:G104" firstHeaderRow="1" firstDataRow="1" firstDataCol="1"/>
  <pivotFields count="29">
    <pivotField showAll="0"/>
    <pivotField numFmtId="14"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3"/>
        <item x="1"/>
        <item x="4"/>
        <item x="2"/>
        <item x="0"/>
        <item t="default"/>
      </items>
    </pivotField>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pivotField showAll="0">
      <items count="5">
        <item x="1"/>
        <item x="3"/>
        <item x="2"/>
        <item x="0"/>
        <item t="default"/>
      </items>
    </pivotField>
    <pivotField numFmtId="2" showAll="0"/>
    <pivotField numFmtId="2" showAll="0"/>
    <pivotField numFmtId="2" showAll="0"/>
    <pivotField numFmtId="2" showAll="0"/>
    <pivotField showAll="0"/>
    <pivotField showAll="0"/>
    <pivotField dataField="1" showAll="0"/>
    <pivotField numFmtId="2" showAll="0"/>
    <pivotField showAll="0"/>
    <pivotField numFmtId="2" showAll="0"/>
    <pivotField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cnt" fld="19" subtotal="average" baseField="4" baseItem="0" numFmtId="2"/>
  </dataFields>
  <formats count="1">
    <format dxfId="26">
      <pivotArea outline="0" collapsedLevelsAreSubtotals="1" fieldPosition="0"/>
    </format>
  </formats>
  <chartFormats count="2">
    <chartFormat chart="10"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8722D35-8D31-430E-BE5D-517094B4A4C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2:B15" firstHeaderRow="1" firstDataRow="1" firstDataCol="1"/>
  <pivotFields count="29">
    <pivotField showAll="0"/>
    <pivotField numFmtId="14" showAll="0"/>
    <pivotField showAll="0"/>
    <pivotField axis="axisRow" showAll="0">
      <items count="3">
        <item x="0"/>
        <item x="1"/>
        <item t="default"/>
      </items>
    </pivotField>
    <pivotField showAll="0"/>
    <pivotField showAll="0"/>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pivotField showAll="0">
      <items count="5">
        <item x="1"/>
        <item x="3"/>
        <item x="2"/>
        <item x="0"/>
        <item t="default"/>
      </items>
    </pivotField>
    <pivotField numFmtId="2" showAll="0"/>
    <pivotField numFmtId="2" showAll="0"/>
    <pivotField numFmtId="2" showAll="0"/>
    <pivotField numFmtId="2" showAll="0"/>
    <pivotField showAll="0"/>
    <pivotField showAll="0"/>
    <pivotField dataField="1" showAll="0"/>
    <pivotField numFmtId="2" showAll="0"/>
    <pivotField showAll="0"/>
    <pivotField numFmtId="2" showAll="0"/>
    <pivotField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3"/>
  </rowFields>
  <rowItems count="3">
    <i>
      <x/>
    </i>
    <i>
      <x v="1"/>
    </i>
    <i t="grand">
      <x/>
    </i>
  </rowItems>
  <colItems count="1">
    <i/>
  </colItems>
  <dataFields count="1">
    <dataField name="Sum of cnt" fld="19" baseField="0" baseItem="0"/>
  </dataFields>
  <chartFormats count="6">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3" count="1" selected="0">
            <x v="0"/>
          </reference>
        </references>
      </pivotArea>
    </chartFormat>
    <chartFormat chart="14" format="6">
      <pivotArea type="data" outline="0" fieldPosition="0">
        <references count="2">
          <reference field="4294967294" count="1" selected="0">
            <x v="0"/>
          </reference>
          <reference field="3" count="1" selected="0">
            <x v="1"/>
          </reference>
        </references>
      </pivotArea>
    </chartFormat>
    <chartFormat chart="15" format="7" series="1">
      <pivotArea type="data" outline="0" fieldPosition="0">
        <references count="1">
          <reference field="4294967294" count="1" selected="0">
            <x v="0"/>
          </reference>
        </references>
      </pivotArea>
    </chartFormat>
    <chartFormat chart="15" format="8">
      <pivotArea type="data" outline="0" fieldPosition="0">
        <references count="2">
          <reference field="4294967294" count="1" selected="0">
            <x v="0"/>
          </reference>
          <reference field="3" count="1" selected="0">
            <x v="0"/>
          </reference>
        </references>
      </pivotArea>
    </chartFormat>
    <chartFormat chart="15" format="9">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9E58BD-7D67-43E6-B071-E7257E59FE4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2:C117" firstHeaderRow="0" firstDataRow="1" firstDataCol="1" rowPageCount="2" colPageCount="1"/>
  <pivotFields count="29">
    <pivotField showAll="0"/>
    <pivotField numFmtId="14"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 showAll="0">
      <items count="6">
        <item x="3"/>
        <item x="1"/>
        <item x="4"/>
        <item x="2"/>
        <item x="0"/>
        <item t="default"/>
      </items>
    </pivotField>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pivotField showAll="0">
      <items count="5">
        <item x="1"/>
        <item x="3"/>
        <item x="2"/>
        <item x="0"/>
        <item t="default"/>
      </items>
    </pivotField>
    <pivotField numFmtId="2" showAll="0"/>
    <pivotField numFmtId="2" showAll="0"/>
    <pivotField numFmtId="2" showAll="0"/>
    <pivotField numFmtId="2" showAll="0"/>
    <pivotField showAll="0"/>
    <pivotField showAll="0"/>
    <pivotField showAll="0"/>
    <pivotField numFmtId="2" showAll="0"/>
    <pivotField axis="axisPage" dataField="1" multipleItemSelectionAllowed="1" showAll="0">
      <items count="3">
        <item x="0"/>
        <item x="1"/>
        <item t="default"/>
      </items>
    </pivotField>
    <pivotField numFmtId="2" showAll="0"/>
    <pivotField axis="axisPage" dataField="1" multipleItemSelectionAllowed="1"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4"/>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2">
    <i>
      <x/>
    </i>
    <i i="1">
      <x v="1"/>
    </i>
  </colItems>
  <pageFields count="2">
    <pageField fld="23" hier="-1"/>
    <pageField fld="21" hier="-1"/>
  </pageFields>
  <dataFields count="2">
    <dataField name="Count of Anomaly flag for reg." fld="23" subtotal="count" baseField="0" baseItem="0"/>
    <dataField name="Count of Anomaly flag for casual" fld="21" subtotal="count" baseField="0" baseItem="0"/>
  </dataFields>
  <formats count="3">
    <format dxfId="27">
      <pivotArea outline="0" collapsedLevelsAreSubtotals="1" fieldPosition="0"/>
    </format>
    <format dxfId="22">
      <pivotArea field="4" type="button" dataOnly="0" labelOnly="1" outline="0" axis="axisRow" fieldPosition="0"/>
    </format>
    <format dxfId="21">
      <pivotArea dataOnly="0" labelOnly="1" outline="0" fieldPosition="0">
        <references count="1">
          <reference field="4294967294" count="2">
            <x v="0"/>
            <x v="1"/>
          </reference>
        </references>
      </pivotArea>
    </format>
  </formats>
  <conditionalFormats count="2">
    <conditionalFormat priority="3">
      <pivotAreas count="1">
        <pivotArea type="data" collapsedLevelsAreSubtotals="1" fieldPosition="0">
          <references count="2">
            <reference field="4294967294" count="1" selected="0">
              <x v="1"/>
            </reference>
            <reference field="4" count="7">
              <x v="11"/>
              <x v="12"/>
              <x v="13"/>
              <x v="14"/>
              <x v="15"/>
              <x v="16"/>
              <x v="17"/>
            </reference>
          </references>
        </pivotArea>
      </pivotAreas>
    </conditionalFormat>
    <conditionalFormat priority="5">
      <pivotAreas count="1">
        <pivotArea type="data" collapsedLevelsAreSubtotals="1" fieldPosition="0">
          <references count="2">
            <reference field="4294967294" count="1" selected="0">
              <x v="0"/>
            </reference>
            <reference field="4" count="4">
              <x v="8"/>
              <x v="9"/>
              <x v="17"/>
              <x v="18"/>
            </reference>
          </references>
        </pivotArea>
      </pivotAreas>
    </conditionalFormat>
  </conditionalFormats>
  <chartFormats count="8">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9A5142-BDC7-48C9-B33D-C9283A72C6A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C8" firstHeaderRow="0" firstDataRow="1" firstDataCol="1"/>
  <pivotFields count="29">
    <pivotField showAll="0"/>
    <pivotField numFmtId="14" showAll="0"/>
    <pivotField showAll="0"/>
    <pivotField showAll="0"/>
    <pivotField showAll="0"/>
    <pivotField showAll="0">
      <items count="6">
        <item x="3"/>
        <item x="1"/>
        <item x="4"/>
        <item x="2"/>
        <item x="0"/>
        <item t="default"/>
      </items>
    </pivotField>
    <pivotField showAll="0"/>
    <pivotField showAll="0">
      <items count="3">
        <item x="0"/>
        <item x="1"/>
        <item t="default"/>
      </items>
    </pivotField>
    <pivotField showAll="0"/>
    <pivotField showAll="0">
      <items count="8">
        <item x="1"/>
        <item x="2"/>
        <item x="3"/>
        <item x="4"/>
        <item x="5"/>
        <item x="6"/>
        <item x="0"/>
        <item t="default"/>
      </items>
    </pivotField>
    <pivotField showAll="0"/>
    <pivotField showAll="0"/>
    <pivotField axis="axisRow" showAll="0">
      <items count="5">
        <item x="1"/>
        <item x="3"/>
        <item x="2"/>
        <item x="0"/>
        <item t="default"/>
      </items>
    </pivotField>
    <pivotField numFmtId="2" showAll="0"/>
    <pivotField numFmtId="2" showAll="0"/>
    <pivotField numFmtId="2" showAll="0"/>
    <pivotField numFmtId="2" showAll="0"/>
    <pivotField dataField="1" showAll="0"/>
    <pivotField dataField="1" showAll="0"/>
    <pivotField showAll="0"/>
    <pivotField numFmtId="2" showAll="0"/>
    <pivotField showAll="0"/>
    <pivotField numFmtId="2" showAll="0"/>
    <pivotField showAll="0">
      <items count="3">
        <item x="0"/>
        <item x="1"/>
        <item t="default"/>
      </items>
    </pivotField>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12"/>
  </rowFields>
  <rowItems count="5">
    <i>
      <x/>
    </i>
    <i>
      <x v="1"/>
    </i>
    <i>
      <x v="2"/>
    </i>
    <i>
      <x v="3"/>
    </i>
    <i t="grand">
      <x/>
    </i>
  </rowItems>
  <colFields count="1">
    <field x="-2"/>
  </colFields>
  <colItems count="2">
    <i>
      <x/>
    </i>
    <i i="1">
      <x v="1"/>
    </i>
  </colItems>
  <dataFields count="2">
    <dataField name="Sum of casual" fld="17" baseField="0" baseItem="0"/>
    <dataField name="Sum of registered" fld="18" baseField="0" baseItem="0"/>
  </dataFields>
  <chartFormats count="10">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11" format="12" series="1">
      <pivotArea type="data" outline="0" fieldPosition="0">
        <references count="1">
          <reference field="4294967294" count="1" selected="0">
            <x v="0"/>
          </reference>
        </references>
      </pivotArea>
    </chartFormat>
    <chartFormat chart="11" format="13" series="1">
      <pivotArea type="data" outline="0" fieldPosition="0">
        <references count="1">
          <reference field="4294967294" count="1" selected="0">
            <x v="1"/>
          </reference>
        </references>
      </pivotArea>
    </chartFormat>
    <chartFormat chart="18" format="14" series="1">
      <pivotArea type="data" outline="0" fieldPosition="0">
        <references count="1">
          <reference field="4294967294" count="1" selected="0">
            <x v="0"/>
          </reference>
        </references>
      </pivotArea>
    </chartFormat>
    <chartFormat chart="18" format="15" series="1">
      <pivotArea type="data" outline="0" fieldPosition="0">
        <references count="1">
          <reference field="4294967294" count="1" selected="0">
            <x v="1"/>
          </reference>
        </references>
      </pivotArea>
    </chartFormat>
    <chartFormat chart="20" format="18" series="1">
      <pivotArea type="data" outline="0" fieldPosition="0">
        <references count="1">
          <reference field="4294967294" count="1" selected="0">
            <x v="0"/>
          </reference>
        </references>
      </pivotArea>
    </chartFormat>
    <chartFormat chart="20" format="1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132B959-4B0C-4DA1-8DE6-841DFF721D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44:C47" firstHeaderRow="0" firstDataRow="1" firstDataCol="1"/>
  <pivotFields count="29">
    <pivotField showAll="0"/>
    <pivotField numFmtId="14" showAll="0"/>
    <pivotField showAll="0"/>
    <pivotField showAll="0"/>
    <pivotField showAll="0"/>
    <pivotField showAll="0">
      <items count="6">
        <item x="3"/>
        <item x="1"/>
        <item x="4"/>
        <item x="2"/>
        <item x="0"/>
        <item t="default"/>
      </items>
    </pivotField>
    <pivotField showAll="0"/>
    <pivotField axis="axisRow" showAll="0">
      <items count="3">
        <item x="0"/>
        <item x="1"/>
        <item t="default"/>
      </items>
    </pivotField>
    <pivotField showAll="0"/>
    <pivotField showAll="0">
      <items count="8">
        <item x="1"/>
        <item x="2"/>
        <item x="3"/>
        <item x="4"/>
        <item x="5"/>
        <item x="6"/>
        <item x="0"/>
        <item t="default"/>
      </items>
    </pivotField>
    <pivotField showAll="0"/>
    <pivotField showAll="0"/>
    <pivotField showAll="0">
      <items count="5">
        <item x="1"/>
        <item x="3"/>
        <item x="2"/>
        <item x="0"/>
        <item t="default"/>
      </items>
    </pivotField>
    <pivotField numFmtId="2" showAll="0"/>
    <pivotField numFmtId="2" showAll="0"/>
    <pivotField numFmtId="2" showAll="0"/>
    <pivotField numFmtId="2" showAll="0"/>
    <pivotField dataField="1" showAll="0"/>
    <pivotField dataField="1" showAll="0"/>
    <pivotField showAll="0"/>
    <pivotField numFmtId="2" showAll="0"/>
    <pivotField showAll="0"/>
    <pivotField numFmtId="2" showAll="0"/>
    <pivotField showAl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 dragToRow="0" dragToCol="0" dragToPage="0" showAll="0" defaultSubtotal="0"/>
  </pivotFields>
  <rowFields count="1">
    <field x="7"/>
  </rowFields>
  <rowItems count="3">
    <i>
      <x/>
    </i>
    <i>
      <x v="1"/>
    </i>
    <i t="grand">
      <x/>
    </i>
  </rowItems>
  <colFields count="1">
    <field x="-2"/>
  </colFields>
  <colItems count="2">
    <i>
      <x/>
    </i>
    <i i="1">
      <x v="1"/>
    </i>
  </colItems>
  <dataFields count="2">
    <dataField name="Sum of casual" fld="17" baseField="0" baseItem="0"/>
    <dataField name="Sum of registered" fld="18" baseField="0" baseItem="0"/>
  </dataFields>
  <chartFormats count="10">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 chart="10" format="14" series="1">
      <pivotArea type="data" outline="0" fieldPosition="0">
        <references count="1">
          <reference field="4294967294" count="1" selected="0">
            <x v="0"/>
          </reference>
        </references>
      </pivotArea>
    </chartFormat>
    <chartFormat chart="10" format="15" series="1">
      <pivotArea type="data" outline="0" fieldPosition="0">
        <references count="1">
          <reference field="4294967294" count="1" selected="0">
            <x v="1"/>
          </reference>
        </references>
      </pivotArea>
    </chartFormat>
    <chartFormat chart="13" format="10" series="1">
      <pivotArea type="data" outline="0" fieldPosition="0">
        <references count="1">
          <reference field="4294967294" count="1" selected="0">
            <x v="0"/>
          </reference>
        </references>
      </pivotArea>
    </chartFormat>
    <chartFormat chart="13"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D6E3A33C-D2B7-4433-8566-DD73367DD761}" autoFormatId="16" applyNumberFormats="0" applyBorderFormats="0" applyFontFormats="0" applyPatternFormats="0" applyAlignmentFormats="0" applyWidthHeightFormats="0">
  <queryTableRefresh nextId="17">
    <queryTableFields count="16">
      <queryTableField id="1" name="instant" tableColumnId="1"/>
      <queryTableField id="2" name="dteday" tableColumnId="2"/>
      <queryTableField id="3" name="season" tableColumnId="3"/>
      <queryTableField id="4" name="yr" tableColumnId="4"/>
      <queryTableField id="5" name="mnth" tableColumnId="5"/>
      <queryTableField id="6" name="hr" tableColumnId="6"/>
      <queryTableField id="7" name="holiday" tableColumnId="7"/>
      <queryTableField id="8" name="weekday" tableColumnId="8"/>
      <queryTableField id="9" name="weathersit" tableColumnId="9"/>
      <queryTableField id="10" name="temp" tableColumnId="10"/>
      <queryTableField id="11" name="atemp" tableColumnId="11"/>
      <queryTableField id="12" name="hum" tableColumnId="12"/>
      <queryTableField id="13" name="windspeed" tableColumnId="13"/>
      <queryTableField id="14" name="casual" tableColumnId="14"/>
      <queryTableField id="15" name="registered" tableColumnId="15"/>
      <queryTableField id="16" name="cnt" tableColumnId="1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59A6DE6A-8457-45B9-9006-0DB79A060C9D}" autoFormatId="16" applyNumberFormats="0" applyBorderFormats="0" applyFontFormats="0" applyPatternFormats="0" applyAlignmentFormats="0" applyWidthHeightFormats="0">
  <queryTableRefresh nextId="29" unboundColumnsRight="4">
    <queryTableFields count="24">
      <queryTableField id="1" name="instant" tableColumnId="1"/>
      <queryTableField id="2" name="dteday" tableColumnId="2"/>
      <queryTableField id="4" name="mnth" tableColumnId="4"/>
      <queryTableField id="16" dataBound="0" tableColumnId="16"/>
      <queryTableField id="5" name="hr" tableColumnId="5"/>
      <queryTableField id="19" dataBound="0" tableColumnId="19"/>
      <queryTableField id="6" name="holiday" tableColumnId="6"/>
      <queryTableField id="17" dataBound="0" tableColumnId="17"/>
      <queryTableField id="7" name="weekday" tableColumnId="7"/>
      <queryTableField id="18" dataBound="0" tableColumnId="18"/>
      <queryTableField id="28" dataBound="0" tableColumnId="25"/>
      <queryTableField id="8" name="weathersit" tableColumnId="8"/>
      <queryTableField id="20" dataBound="0" tableColumnId="20"/>
      <queryTableField id="9" name="temp" tableColumnId="9"/>
      <queryTableField id="10" name="atemp" tableColumnId="10"/>
      <queryTableField id="11" name="hum" tableColumnId="11"/>
      <queryTableField id="12" name="windspeed" tableColumnId="12"/>
      <queryTableField id="13" name="casual" tableColumnId="13"/>
      <queryTableField id="14" name="registered" tableColumnId="14"/>
      <queryTableField id="15" name="cnt" tableColumnId="15"/>
      <queryTableField id="21" dataBound="0" tableColumnId="3"/>
      <queryTableField id="23" dataBound="0" tableColumnId="22"/>
      <queryTableField id="22" dataBound="0" tableColumnId="21"/>
      <queryTableField id="24" dataBound="0" tableColumnId="23"/>
    </queryTableFields>
    <queryTableDeletedFields count="1">
      <deletedField name="seas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days" xr10:uid="{400F1479-9132-4BC2-A9AD-D54FFA1D36E2}" sourceName="Weekdays">
  <pivotTables>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2"/>
  </pivotTables>
  <data>
    <tabular pivotCacheId="294315649">
      <items count="7">
        <i x="1" s="1"/>
        <i x="2" s="1"/>
        <i x="3" s="1"/>
        <i x="4" s="1"/>
        <i x="5" s="1"/>
        <i x="6"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E4BD64F-7A11-431F-8D97-5FD558A01083}" sourceName="Month name">
  <pivotTables>
    <pivotTable tabId="7" name="PivotTable12"/>
  </pivotTables>
  <data>
    <tabular pivotCacheId="29431564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r" xr10:uid="{A9E92443-59EF-4BD9-8013-4584B313FEE7}" sourceName="hr">
  <pivotTables>
    <pivotTable tabId="7" name="PivotTable12"/>
  </pivotTables>
  <data>
    <tabular pivotCacheId="294315649">
      <items count="24">
        <i x="0" s="1"/>
        <i x="1" s="1"/>
        <i x="2" s="1"/>
        <i x="3" s="1"/>
        <i x="4" s="1"/>
        <i x="5" s="1"/>
        <i x="6" s="1"/>
        <i x="7" s="1"/>
        <i x="8" s="1"/>
        <i x="9" s="1"/>
        <i x="10" s="1"/>
        <i x="11" s="1"/>
        <i x="12" s="1"/>
        <i x="13" s="1"/>
        <i x="14" s="1"/>
        <i x="15" s="1"/>
        <i x="16" s="1"/>
        <i x="17" s="1"/>
        <i x="18" s="1"/>
        <i x="19" s="1"/>
        <i x="20" s="1"/>
        <i x="21" s="1"/>
        <i x="22" s="1"/>
        <i x="2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part" xr10:uid="{FF463A01-B701-4CFA-AD39-416259B895D3}" sourceName="day part">
  <pivotTables>
    <pivotTable tabId="7" name="PivotTable1"/>
    <pivotTable tabId="7" name="PivotTable10"/>
    <pivotTable tabId="7" name="PivotTable2"/>
    <pivotTable tabId="7" name="PivotTable4"/>
    <pivotTable tabId="7" name="PivotTable5"/>
    <pivotTable tabId="7" name="PivotTable6"/>
    <pivotTable tabId="7" name="PivotTable7"/>
    <pivotTable tabId="7" name="PivotTable8"/>
    <pivotTable tabId="7" name="PivotTable9"/>
    <pivotTable tabId="7" name="PivotTable12"/>
  </pivotTables>
  <data>
    <tabular pivotCacheId="294315649">
      <items count="5">
        <i x="3" s="1"/>
        <i x="1" s="1"/>
        <i x="4"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liday_band" xr10:uid="{BA79BABC-1BA4-47C3-AB51-4BEFFBDBAEA5}" sourceName="Holiday band">
  <pivotTables>
    <pivotTable tabId="7" name="PivotTable12"/>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s>
  <data>
    <tabular pivotCacheId="294315649">
      <items count="2">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_sit_band" xr10:uid="{F674BF7F-EF88-4EB2-9917-1DD137A6CF3B}" sourceName="Weather sit band">
  <pivotTables>
    <pivotTable tabId="7" name="PivotTable1"/>
    <pivotTable tabId="7" name="PivotTable10"/>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7" name="PivotTable12"/>
  </pivotTables>
  <data>
    <tabular pivotCacheId="294315649">
      <items count="4">
        <i x="1" s="1"/>
        <i x="3"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maly_flag_for_casual" xr10:uid="{D9A297AF-899C-4618-B176-1B0262DD9D94}" sourceName="Anomaly flag for casual">
  <pivotTables>
    <pivotTable tabId="7" name="PivotTable9"/>
  </pivotTables>
  <data>
    <tabular pivotCacheId="294315649">
      <items count="2">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omaly_flag_for_reg." xr10:uid="{F0296A2B-C6F9-43B0-9351-A64E94DB8EE9}" sourceName="Anomaly flag for reg.">
  <pivotTables>
    <pivotTable tabId="7" name="PivotTable9"/>
    <pivotTable tabId="7" name="PivotTable1"/>
    <pivotTable tabId="7" name="PivotTable10"/>
    <pivotTable tabId="7" name="PivotTable2"/>
    <pivotTable tabId="7" name="PivotTable3"/>
    <pivotTable tabId="7" name="PivotTable4"/>
    <pivotTable tabId="7" name="PivotTable6"/>
    <pivotTable tabId="7" name="PivotTable7"/>
    <pivotTable tabId="7" name="PivotTable8"/>
    <pivotTable tabId="7" name="PivotTable12"/>
  </pivotTables>
  <data>
    <tabular pivotCacheId="29431564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days" xr10:uid="{B4158562-8749-4F62-A26C-AF18A8793B3D}" cache="Slicer_Weekdays" caption="Weekdays" columnCount="2" style="SlicerStyleLight6" rowHeight="182880"/>
  <slicer name="Month name" xr10:uid="{EE58B71E-D045-4A30-9E4A-2C4C9B32480B}" cache="Slicer_Month_name" caption="Month name" columnCount="2" style="SlicerStyleLight6" rowHeight="182880"/>
  <slicer name="hr" xr10:uid="{0FC096AA-8D63-4030-A488-FB24CB5490D6}" cache="Slicer_hr" caption="hr" columnCount="4" style="SlicerStyleLight6" rowHeight="182880"/>
  <slicer name="day part" xr10:uid="{D73FA6D6-FFDC-4963-9A9E-316C43473E18}" cache="Slicer_day_part" caption="day part" columnCount="2" style="SlicerStyleLight6" rowHeight="220133"/>
  <slicer name="Holiday band" xr10:uid="{4322FB45-6CFB-4BFA-B51D-5CF2C14B5E38}" cache="Slicer_Holiday_band" caption="Holiday band" columnCount="2" style="SlicerStyleLight6" rowHeight="220133"/>
  <slicer name="Weather sit band" xr10:uid="{12A6E1CF-C9E6-4C44-B869-AFF700BEF812}" cache="Slicer_Weather_sit_band" caption="Weather sit band" columnCount="2" style="SlicerStyleLight6" rowHeight="182880"/>
  <slicer name="Anomaly flag for casual" xr10:uid="{08601D85-FB5F-4653-B138-006A4E6C4F43}" cache="Slicer_Anomaly_flag_for_casual" caption="Anomaly flag for casual" columnCount="2" style="SlicerStyleLight6" rowHeight="220133"/>
  <slicer name="Anomaly flag for reg." xr10:uid="{E55B38D8-224A-44D5-8430-E576B7914107}" cache="Slicer_Anomaly_flag_for_reg." caption="Anomaly flag for reg." columnCount="2" style="SlicerStyleLight6" rowHeight="220133"/>
</slicers>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C1AEAFE-66D3-4F02-A5A7-851E80934784}" name="Table1" displayName="Table1" ref="A1:J611" totalsRowShown="0" headerRowDxfId="135" dataDxfId="134">
  <autoFilter ref="A1:J611" xr:uid="{CC1AEAFE-66D3-4F02-A5A7-851E80934784}"/>
  <tableColumns count="10">
    <tableColumn id="1" xr3:uid="{B5C2714C-3BCC-4D99-96BA-4F9CA938AEFF}" name="instant" dataDxfId="133"/>
    <tableColumn id="2" xr3:uid="{337BB0B1-E560-40AE-8E6E-E822C6802A04}" name="dteday" dataDxfId="132"/>
    <tableColumn id="3" xr3:uid="{3CE08A6E-78F2-4CB0-95FB-1CE980B5491A}" name="season" dataDxfId="131"/>
    <tableColumn id="4" xr3:uid="{B01623BE-812E-4603-8835-757658C32EF1}" name="yr" dataDxfId="130"/>
    <tableColumn id="5" xr3:uid="{F68BE008-187A-45E9-92E2-005198583619}" name="mnth" dataDxfId="129"/>
    <tableColumn id="6" xr3:uid="{71665BE1-5AC0-42B6-AB3D-5640AA097CBF}" name="hr" dataDxfId="128"/>
    <tableColumn id="7" xr3:uid="{DFBB0CE4-8A13-4E9B-A321-29AA0BCC1BAB}" name="holiday" dataDxfId="127"/>
    <tableColumn id="8" xr3:uid="{6CF4334B-2E91-4506-90AD-C8601DBF6F4E}" name="weekday" dataDxfId="126"/>
    <tableColumn id="9" xr3:uid="{13F811BE-E493-4B64-A475-95914D1CBD6C}" name="weathersit" dataDxfId="125"/>
    <tableColumn id="10" xr3:uid="{816F0DD3-6525-4C62-82EF-FBDF8DFF8103}" name="temp" dataDxfId="12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DE5E2FB-9EA0-4EF7-A3B8-C0950C03939B}" name="Table2" displayName="Table2" ref="A1:H611" totalsRowShown="0" headerRowDxfId="123" dataDxfId="122">
  <autoFilter ref="A1:H611" xr:uid="{CDE5E2FB-9EA0-4EF7-A3B8-C0950C03939B}"/>
  <tableColumns count="8">
    <tableColumn id="1" xr3:uid="{BD9E76B6-BE19-41C9-A0A7-3162782AE182}" name="Unnamed: 0" dataDxfId="121"/>
    <tableColumn id="2" xr3:uid="{CD7F8A9F-104F-41E0-A0B1-63EBAA19C6F7}" name="instant" dataDxfId="120"/>
    <tableColumn id="3" xr3:uid="{34B05B0F-1004-45D1-BEAF-CF0620218D43}" name="atemp" dataDxfId="119"/>
    <tableColumn id="4" xr3:uid="{F362AA44-2CDC-4360-A5BF-2F848D52E314}" name="hum" dataDxfId="118"/>
    <tableColumn id="5" xr3:uid="{34C2C251-492F-41E7-A573-C4DD88C297B4}" name="windspeed" dataDxfId="117"/>
    <tableColumn id="6" xr3:uid="{E8C87789-8A7B-4AAB-9133-CB9DE95E5A61}" name="casual" dataDxfId="116"/>
    <tableColumn id="7" xr3:uid="{1C9FD2D9-CE4E-40A9-9F3C-4F68030A5990}" name="registered" dataDxfId="115"/>
    <tableColumn id="8" xr3:uid="{40273D2C-CD40-42E7-8753-33E717F0E269}" name="cnt" dataDxfId="1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14E9A19-51CD-42B8-B612-05160FC4C137}" name="Merge1" displayName="Merge1" ref="A1:P611" tableType="queryTable" totalsRowShown="0">
  <autoFilter ref="A1:P611" xr:uid="{614E9A19-51CD-42B8-B612-05160FC4C137}"/>
  <tableColumns count="16">
    <tableColumn id="1" xr3:uid="{43265F2B-86AE-460F-9501-224DDA4C5A0A}" uniqueName="1" name="instant" queryTableFieldId="1"/>
    <tableColumn id="2" xr3:uid="{01743B71-C442-4FAD-9540-2BB52AFA570A}" uniqueName="2" name="dteday" queryTableFieldId="2" dataDxfId="113"/>
    <tableColumn id="3" xr3:uid="{57DD1CD0-1AAF-4A5D-8B8E-657DC0A15193}" uniqueName="3" name="season" queryTableFieldId="3"/>
    <tableColumn id="4" xr3:uid="{DDDFC299-6EF9-418D-BE62-3E001AC8E7CD}" uniqueName="4" name="yr" queryTableFieldId="4"/>
    <tableColumn id="5" xr3:uid="{A0937766-6730-4596-BF0D-888E85847E3F}" uniqueName="5" name="mnth" queryTableFieldId="5"/>
    <tableColumn id="6" xr3:uid="{30879B8A-EBFC-49F3-A3AC-504E756B01B9}" uniqueName="6" name="hr" queryTableFieldId="6"/>
    <tableColumn id="7" xr3:uid="{188B5263-F06B-4419-AE7F-24992E62D792}" uniqueName="7" name="holiday" queryTableFieldId="7"/>
    <tableColumn id="8" xr3:uid="{91A5C63C-A0CC-40BD-A276-6E81922D7A7B}" uniqueName="8" name="weekday" queryTableFieldId="8"/>
    <tableColumn id="9" xr3:uid="{90A77D66-8E66-44D9-9D72-01B847A808A4}" uniqueName="9" name="weathersit" queryTableFieldId="9"/>
    <tableColumn id="10" xr3:uid="{AA669AC7-BC5B-41EE-97A7-65CD72BC9D7B}" uniqueName="10" name="temp" queryTableFieldId="10"/>
    <tableColumn id="11" xr3:uid="{2AE8F047-0B76-42AD-B2BD-8C3A65AA6B5A}" uniqueName="11" name="atemp" queryTableFieldId="11"/>
    <tableColumn id="12" xr3:uid="{6BD11D7B-BA0B-4B13-8596-06F5FA70A892}" uniqueName="12" name="hum" queryTableFieldId="12"/>
    <tableColumn id="13" xr3:uid="{7FDBB1DA-4F22-43F2-AA94-43F919BD0D3E}" uniqueName="13" name="windspeed" queryTableFieldId="13"/>
    <tableColumn id="14" xr3:uid="{1D24C82F-382D-4660-96FB-E20447A1E364}" uniqueName="14" name="casual" queryTableFieldId="14"/>
    <tableColumn id="15" xr3:uid="{B55DF7D3-E932-4F34-ABB5-3FE6E9184AAB}" uniqueName="15" name="registered" queryTableFieldId="15"/>
    <tableColumn id="16" xr3:uid="{6D817EC1-F690-450D-9D8A-F16193FB3F99}" uniqueName="16" name="cnt" queryTableFieldId="1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B4E98D-98A3-4854-B58E-750A6823A42A}" name="Table3" displayName="Table3" ref="A1:P391" totalsRowShown="0" headerRowDxfId="112" dataDxfId="111">
  <autoFilter ref="A1:P391" xr:uid="{9FB4E98D-98A3-4854-B58E-750A6823A42A}"/>
  <tableColumns count="16">
    <tableColumn id="1" xr3:uid="{D357C838-10CA-439A-9C38-F732A86547E4}" name="instant" dataDxfId="110"/>
    <tableColumn id="2" xr3:uid="{CF21E06F-B39B-4D4C-9C95-D46F9F87991C}" name="dteday" dataDxfId="109"/>
    <tableColumn id="3" xr3:uid="{EC2EF9EC-A033-4CDB-AE29-EF92AE3DE537}" name="season" dataDxfId="108"/>
    <tableColumn id="4" xr3:uid="{9BB0CC19-122A-4EF7-BA60-1FE56C5E8371}" name="yr" dataDxfId="107"/>
    <tableColumn id="5" xr3:uid="{E3C82AB4-F194-42B4-B927-76F08F73A7E1}" name="mnth" dataDxfId="106"/>
    <tableColumn id="6" xr3:uid="{3106B80A-822E-4260-9552-D44148D90370}" name="hr" dataDxfId="105"/>
    <tableColumn id="7" xr3:uid="{CB306E69-A6A9-4C07-A19D-6FFE0907F0B0}" name="holiday" dataDxfId="104"/>
    <tableColumn id="8" xr3:uid="{E4B46E29-E134-4843-9FFD-D59B1FB265ED}" name="weekday" dataDxfId="103"/>
    <tableColumn id="9" xr3:uid="{D900B518-C098-4543-BA75-BA9FD2DBA2B1}" name="weathersit" dataDxfId="102"/>
    <tableColumn id="10" xr3:uid="{820888D8-8CE0-4023-8FFE-883D97520401}" name="temp" dataDxfId="101"/>
    <tableColumn id="11" xr3:uid="{BE85EBAE-E804-410F-A882-6115B193337F}" name="atemp" dataDxfId="100"/>
    <tableColumn id="12" xr3:uid="{4E56A2F7-CF48-4164-A532-D45DE8F2D55D}" name="hum" dataDxfId="99"/>
    <tableColumn id="13" xr3:uid="{5D3AF554-3A94-4518-AD93-3588F564ECAC}" name="windspeed" dataDxfId="98"/>
    <tableColumn id="14" xr3:uid="{4C55FB06-1CB9-4FAA-BC87-EC6A6C8A5C31}" name="casual" dataDxfId="97"/>
    <tableColumn id="15" xr3:uid="{2131CBA9-56A3-45E6-A64C-B6216EF08461}" name="registered" dataDxfId="96"/>
    <tableColumn id="16" xr3:uid="{C61A01B7-FCFD-4187-9D37-6CF5D0A36998}" name="cnt" dataDxfId="9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229E1DF-2180-4947-8CCD-EB94F744911D}" name="Table19" displayName="Table19" ref="A1:E60" totalsRowShown="0">
  <autoFilter ref="A1:E60" xr:uid="{9229E1DF-2180-4947-8CCD-EB94F744911D}"/>
  <tableColumns count="5">
    <tableColumn id="1" xr3:uid="{3ADDF7FA-7B4A-4432-92FA-A1BF15701DC0}" name="dteday" dataDxfId="94"/>
    <tableColumn id="2" xr3:uid="{C2AEF668-2CA6-4EFA-A997-F820C1F15F79}" name="casual"/>
    <tableColumn id="3" xr3:uid="{6CC09816-332E-482B-B316-134316426BEC}" name="Forecast(casual)">
      <calculatedColumnFormula>_xlfn.FORECAST.ETS(A2,$B$2:$B$46,$A$2:$A$46,1,1)</calculatedColumnFormula>
    </tableColumn>
    <tableColumn id="4" xr3:uid="{B8453BE8-BBCB-409C-8AAC-019788A36D0A}" name="Lower Confidence Bound(casual)" dataDxfId="93">
      <calculatedColumnFormula>C2-_xlfn.FORECAST.ETS.CONFINT(A2,$B$2:$B$46,$A$2:$A$46,0.95,1,1)</calculatedColumnFormula>
    </tableColumn>
    <tableColumn id="5" xr3:uid="{F9D47366-52BF-43DC-8FA0-B453B443EF74}" name="Upper Confidence Bound(casual)" dataDxfId="92">
      <calculatedColumnFormula>C2+_xlfn.FORECAST.ETS.CONFINT(A2,$B$2:$B$46,$A$2:$A$46,0.95,1,1)</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D355BFA6-841D-4786-9871-8BBF74BAA01A}" name="Table20" displayName="Table20" ref="A1:E60" totalsRowShown="0">
  <autoFilter ref="A1:E60" xr:uid="{D355BFA6-841D-4786-9871-8BBF74BAA01A}"/>
  <tableColumns count="5">
    <tableColumn id="1" xr3:uid="{14BA44AB-CC57-4283-9725-DFF7704EA33A}" name="dteday" dataDxfId="91"/>
    <tableColumn id="2" xr3:uid="{078E5C0E-4EAF-489B-B455-7800D30A69D9}" name="registered"/>
    <tableColumn id="3" xr3:uid="{B38B28A5-D2EF-4253-859B-C12AC045468B}" name="Forecast(registered)">
      <calculatedColumnFormula>_xlfn.FORECAST.ETS(A2,$B$2:$B$46,$A$2:$A$46,1,1)</calculatedColumnFormula>
    </tableColumn>
    <tableColumn id="4" xr3:uid="{74A49EC9-7427-4420-9292-F3B685DE9AFE}" name="Lower Confidence Bound(registered)" dataDxfId="90">
      <calculatedColumnFormula>C2-_xlfn.FORECAST.ETS.CONFINT(A2,$B$2:$B$46,$A$2:$A$46,0.95,1,1)</calculatedColumnFormula>
    </tableColumn>
    <tableColumn id="5" xr3:uid="{67B71D24-BBE3-4520-9465-155F0EFC2CE5}" name="Upper Confidence Bound(registered)" dataDxfId="89">
      <calculatedColumnFormula>C2+_xlfn.FORECAST.ETS.CONFINT(A2,$B$2:$B$46,$A$2:$A$46,0.95,1,1)</calculatedColumnFormula>
    </tableColumn>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EEB74A0-D6C3-44E7-B0C9-BABA4991BE50}" name="Table22" displayName="Table22" ref="A1:E60" totalsRowShown="0">
  <autoFilter ref="A1:E60" xr:uid="{4EEB74A0-D6C3-44E7-B0C9-BABA4991BE50}"/>
  <tableColumns count="5">
    <tableColumn id="1" xr3:uid="{093F32AB-F219-4D6F-AC44-0AAA6F6D44D6}" name="dteday" dataDxfId="88"/>
    <tableColumn id="2" xr3:uid="{602D6BA7-AF66-429D-B677-C104C611C8F6}" name="cnt"/>
    <tableColumn id="3" xr3:uid="{BB5E194F-ECB2-4484-A3A3-4D8499BA0A80}" name="Forecast(cnt)">
      <calculatedColumnFormula>_xlfn.FORECAST.ETS(A2,$B$2:$B$46,$A$2:$A$46,1,1)</calculatedColumnFormula>
    </tableColumn>
    <tableColumn id="4" xr3:uid="{372AD6BA-6317-4200-83CB-548E72AFB567}" name="Lower Confidence Bound(cnt)" dataDxfId="87">
      <calculatedColumnFormula>C2-_xlfn.FORECAST.ETS.CONFINT(A2,$B$2:$B$46,$A$2:$A$46,0.95,1,1)</calculatedColumnFormula>
    </tableColumn>
    <tableColumn id="5" xr3:uid="{722694D6-8350-4015-95EC-B9FF81F2AD75}" name="Upper Confidence Bound(cnt)" dataDxfId="86">
      <calculatedColumnFormula>C2+_xlfn.FORECAST.ETS.CONFINT(A2,$B$2:$B$46,$A$2:$A$46,0.95,1,1)</calculatedColumnFormula>
    </tableColumn>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E3677C8-5845-412F-8721-F909ADA6C845}" name="Append1" displayName="Append1" ref="A1:X1001" tableType="queryTable" totalsRowShown="0" dataDxfId="85">
  <autoFilter ref="A1:X1001" xr:uid="{BE3677C8-5845-412F-8721-F909ADA6C845}"/>
  <sortState xmlns:xlrd2="http://schemas.microsoft.com/office/spreadsheetml/2017/richdata2" ref="A2:X1001">
    <sortCondition ref="A1:A1001"/>
  </sortState>
  <tableColumns count="24">
    <tableColumn id="1" xr3:uid="{71C0FBB8-7A74-4493-B494-C4B0A1890F75}" uniqueName="1" name="instant" queryTableFieldId="1" dataDxfId="84"/>
    <tableColumn id="2" xr3:uid="{F3E099C4-23F0-42A9-9118-2E4B2C0CED86}" uniqueName="2" name="dteday" queryTableFieldId="2" dataDxfId="83"/>
    <tableColumn id="4" xr3:uid="{EF687806-A6EE-4441-BC66-F84156FA4DED}" uniqueName="4" name="mnth" queryTableFieldId="4" dataDxfId="82"/>
    <tableColumn id="16" xr3:uid="{C39B9014-F12C-4A05-B08B-190222B46044}" uniqueName="16" name="Month name" queryTableFieldId="16" dataDxfId="81">
      <calculatedColumnFormula>IF(C2=1,"january",IF(C2=2,"february"))</calculatedColumnFormula>
    </tableColumn>
    <tableColumn id="5" xr3:uid="{ACB4BE48-0092-42F2-9F23-897F23CD3A9D}" uniqueName="5" name="hr" queryTableFieldId="5" dataDxfId="80"/>
    <tableColumn id="19" xr3:uid="{1C6CD5C9-FBFA-41BE-A175-F00BEEA001A3}" uniqueName="19" name="day part" queryTableFieldId="19" dataDxfId="79">
      <calculatedColumnFormula>IF(AND(E2&gt;=5,E2&lt;8),"Early Morning", IF(AND(E2&gt;=8,E2&lt;12),"Morning", IF(AND(E2&gt;=12,E2&lt;17),"Afternoon", IF(AND(E2&gt;=17,E2&lt;21),"Evening","Night"))))</calculatedColumnFormula>
    </tableColumn>
    <tableColumn id="6" xr3:uid="{2043E69F-479A-453A-8BEC-CC8D7D278196}" uniqueName="6" name="holiday" queryTableFieldId="6" dataDxfId="78"/>
    <tableColumn id="17" xr3:uid="{9C018577-1C3B-4441-B812-BBD20FF1DA8C}" uniqueName="17" name="Holiday band" queryTableFieldId="17" dataDxfId="77">
      <calculatedColumnFormula>IF(G2=FALSE,0,IF(G2=TRUE,1))</calculatedColumnFormula>
    </tableColumn>
    <tableColumn id="7" xr3:uid="{C6DAFDA1-C806-4AC9-BFE1-8D22F23561EE}" uniqueName="7" name="weekday" queryTableFieldId="7" dataDxfId="76"/>
    <tableColumn id="18" xr3:uid="{67772DDC-841D-4E7E-BB72-28D4F7ED17EE}" uniqueName="18" name="Weekdays" queryTableFieldId="18" dataDxfId="75">
      <calculatedColumnFormula>TEXT(B2,"dddd")</calculatedColumnFormula>
    </tableColumn>
    <tableColumn id="25" xr3:uid="{AFC40FB6-B288-40B0-A6D1-AB4B045B5B02}" uniqueName="25" name="Weekend/weekday" queryTableFieldId="28" dataDxfId="74">
      <calculatedColumnFormula>IF(OR(J2="Saturday",J2="Sunday"),1,0)</calculatedColumnFormula>
    </tableColumn>
    <tableColumn id="8" xr3:uid="{8517EE83-CD38-4593-A006-8FC6E2D8190C}" uniqueName="8" name="weathersit" queryTableFieldId="8" dataDxfId="73"/>
    <tableColumn id="20" xr3:uid="{5E848073-17C9-4931-A08C-DFBD25318069}" uniqueName="20" name="Weather sit band" queryTableFieldId="20" dataDxfId="72">
      <calculatedColumnFormula>IF(L2=0,"clear sky",IF(L2=1,"Partly cloudy",IF(L2=2,"Cloudy",IF(L2=3,"Light rain",IF(L2=4,"Heavy rain")))))</calculatedColumnFormula>
    </tableColumn>
    <tableColumn id="9" xr3:uid="{75E2F2C2-68EA-4749-87C7-26EC30330562}" uniqueName="9" name="temp" queryTableFieldId="9" dataDxfId="71"/>
    <tableColumn id="10" xr3:uid="{DE6FCE49-FCFE-44C8-919F-38ABFCA60F8B}" uniqueName="10" name="atemp" queryTableFieldId="10" dataDxfId="70"/>
    <tableColumn id="11" xr3:uid="{0301E173-4CBB-46B4-A760-6BB221E0A722}" uniqueName="11" name="hum" queryTableFieldId="11" dataDxfId="69"/>
    <tableColumn id="12" xr3:uid="{EF33677E-0AD3-4AAF-B3ED-5DFCA328046F}" uniqueName="12" name="windspeed" queryTableFieldId="12" dataDxfId="68"/>
    <tableColumn id="13" xr3:uid="{349E8FE2-76EA-4343-A3CD-6C503499582A}" uniqueName="13" name="casual" queryTableFieldId="13" dataDxfId="67"/>
    <tableColumn id="14" xr3:uid="{CE9F7664-70E1-4477-A1DA-7315B00912A0}" uniqueName="14" name="registered" queryTableFieldId="14" dataDxfId="66"/>
    <tableColumn id="15" xr3:uid="{89E88E86-9A14-4B46-9B51-1EE2EC3F7402}" uniqueName="15" name="cnt" queryTableFieldId="15" dataDxfId="65"/>
    <tableColumn id="3" xr3:uid="{FA919972-18A4-4A91-B105-54CE64C0B954}" uniqueName="3" name="Z-score for casual" queryTableFieldId="21" dataDxfId="64">
      <calculatedColumnFormula>(R2-$AA$7)/$AA$9</calculatedColumnFormula>
    </tableColumn>
    <tableColumn id="22" xr3:uid="{2A89E540-ECB7-4771-8159-4E4B69CBB2D1}" uniqueName="22" name="Anomaly flag for casual" queryTableFieldId="23" dataDxfId="63">
      <calculatedColumnFormula>IF(ABS(U2)&gt;2,"Peak","Normal")</calculatedColumnFormula>
    </tableColumn>
    <tableColumn id="21" xr3:uid="{8C98D0CC-B963-4F03-B8FD-BF8EEB53CCBC}" uniqueName="21" name="Zscore for reg." queryTableFieldId="22" dataDxfId="62">
      <calculatedColumnFormula>(S2-$AA$11)/$AA$13</calculatedColumnFormula>
    </tableColumn>
    <tableColumn id="23" xr3:uid="{42C3E93C-694A-4EA9-B907-3275A5492B7B}" uniqueName="23" name="Anomaly flag for reg." queryTableFieldId="24" dataDxfId="61">
      <calculatedColumnFormula>IF(ABS(W2)&gt;2,"Peak","Normal")</calculatedColumnFormula>
    </tableColumn>
  </tableColumns>
  <tableStyleInfo name="TableStyleMedium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361B3EBC-2C6B-437C-BE43-CB8B4644BEB1}" name="Table24" displayName="Table24" ref="A3:F17" totalsRowShown="0">
  <autoFilter ref="A3:F17" xr:uid="{361B3EBC-2C6B-437C-BE43-CB8B4644BEB1}"/>
  <tableColumns count="6">
    <tableColumn id="1" xr3:uid="{24427BB3-01A4-4360-830E-EC242DC9A41B}" name="dteday" dataDxfId="60"/>
    <tableColumn id="2" xr3:uid="{876CC5A1-FCD4-4A14-AA0C-B03B9E1C7DD0}" name="Forecast(registered)" dataDxfId="59"/>
    <tableColumn id="3" xr3:uid="{16C59E09-8E5E-4104-8E07-1BF2E3146410}" name="Lower Confidence Bound(registered)" dataDxfId="58"/>
    <tableColumn id="4" xr3:uid="{8DFFE9A7-3C1B-4D29-BEC0-96671741442D}" name="Upper Confidence Bound(registered)" dataDxfId="57"/>
    <tableColumn id="5" xr3:uid="{58422211-37AC-45A7-89B3-155727C71A11}" name="Range" dataDxfId="56">
      <calculatedColumnFormula>D4-C4</calculatedColumnFormula>
    </tableColumn>
    <tableColumn id="6" xr3:uid="{F3634BBF-5A77-47FD-8E5A-BFB56DB0DA67}" name="Range band" dataDxfId="55">
      <calculatedColumnFormula>IF(Table24[[#This Row],[Range]]&gt;40,"High",IF(Table24[[#This Row],[Range]]&gt;20,"Moderate","Low"))</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2B627FBA-C249-4FD6-9224-FCB439DB82E8}" name="Table25" displayName="Table25" ref="A20:F34" totalsRowShown="0">
  <autoFilter ref="A20:F34" xr:uid="{2B627FBA-C249-4FD6-9224-FCB439DB82E8}"/>
  <tableColumns count="6">
    <tableColumn id="1" xr3:uid="{04C4F8B3-90CB-4234-A0F8-F9365256D0ED}" name="dteday" dataDxfId="54"/>
    <tableColumn id="2" xr3:uid="{91743D82-CF54-46B6-89FF-1CD77A313E04}" name="Forecast(cnt)" dataDxfId="53"/>
    <tableColumn id="3" xr3:uid="{4EEBE0AA-ACE8-4D0A-B8E0-A4F3F6F27B4A}" name="Lower Confidence Bound(cnt)" dataDxfId="52"/>
    <tableColumn id="4" xr3:uid="{BBA65C93-6043-41DC-A1AF-AC884B1777E3}" name="Upper Confidence Bound(cnt)" dataDxfId="51"/>
    <tableColumn id="5" xr3:uid="{95999EBF-CF21-4129-9A10-8D6D9E8D06C7}" name="Range" dataDxfId="50">
      <calculatedColumnFormula>D4-C4</calculatedColumnFormula>
    </tableColumn>
    <tableColumn id="6" xr3:uid="{CA5A6F0E-2AD8-4669-856C-C84749A52C13}" name="Range Band" dataDxfId="49">
      <calculatedColumnFormula>IF(Table25[[#This Row],[Range]]&gt;40,"High",IF(Table25[[#This Row],[Range]]&gt;20,"Moderate","Low"))</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EDA4D749-2118-4EE9-9A32-193F19B47CA9}" name="Table26" displayName="Table26" ref="H3:M17" totalsRowShown="0" headerRowDxfId="48" headerRowBorderDxfId="47" tableBorderDxfId="46">
  <autoFilter ref="H3:M17" xr:uid="{EDA4D749-2118-4EE9-9A32-193F19B47CA9}"/>
  <tableColumns count="6">
    <tableColumn id="1" xr3:uid="{B1053A48-011C-4187-9A88-4C9EE259EFEF}" name="dteday" dataDxfId="45"/>
    <tableColumn id="2" xr3:uid="{7089B083-1E2B-4D8B-98AA-0F4C0D02FE31}" name="Forecast(casual)" dataDxfId="44"/>
    <tableColumn id="3" xr3:uid="{940EF584-0DE4-49D6-AF9E-4F7B0861CCAA}" name="Lower Confidence Bound(casual)" dataDxfId="43"/>
    <tableColumn id="4" xr3:uid="{236D77E1-3474-4BC4-88AB-901A6F616D7E}" name="Upper Confidence Bound(casual)" dataDxfId="42"/>
    <tableColumn id="5" xr3:uid="{DC11D221-6154-4C05-94DB-79E3DE84A490}" name="Range" dataDxfId="41">
      <calculatedColumnFormula>K4-J4</calculatedColumnFormula>
    </tableColumn>
    <tableColumn id="6" xr3:uid="{27B6C060-3B3C-469C-B2B7-CAFC529AAA81}" name="Range Band" dataDxfId="40">
      <calculatedColumnFormula>IF(Table26[[#This Row],[Range]]&gt;40,"High",IF(Table26[[#This Row],[Range]]&gt;20,"Moderate","Low"))</calculatedColumnFormula>
    </tableColumn>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7BC4930-6DFA-4370-AC2A-D1380FD2BAF6}" name="Table27" displayName="Table27" ref="A38:D52" totalsRowShown="0" headerRowBorderDxfId="39" tableBorderDxfId="38" totalsRowBorderDxfId="37">
  <autoFilter ref="A38:D52" xr:uid="{97BC4930-6DFA-4370-AC2A-D1380FD2BAF6}"/>
  <tableColumns count="4">
    <tableColumn id="1" xr3:uid="{F9C4086B-C93A-421E-B180-9EF81D8DFABC}" name="dteday" dataDxfId="36"/>
    <tableColumn id="2" xr3:uid="{ACE38039-BC8F-4481-80F4-E8080F8E6133}" name="Forecast(registered)" dataDxfId="35"/>
    <tableColumn id="3" xr3:uid="{431DD610-7D47-4301-B3FF-E4D0CF87A07A}" name="Forecast(casual)" dataDxfId="34"/>
    <tableColumn id="4" xr3:uid="{7D3FA2D5-DA2A-462F-AD73-916CA94481AE}" name="Forecast(cnt)" dataDxfId="33"/>
  </tableColumns>
  <tableStyleInfo name="TableStyleLight1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8DA040-51ED-4928-824B-122AA38B44E7}" name="Table6" displayName="Table6" ref="D6:F9" totalsRowShown="0" headerRowDxfId="32" dataDxfId="31">
  <autoFilter ref="D6:F9" xr:uid="{E78DA040-51ED-4928-824B-122AA38B44E7}"/>
  <tableColumns count="3">
    <tableColumn id="1" xr3:uid="{31ADA795-D636-4F2D-8435-38A7CF6EDCF8}" name="Variable Pair" dataDxfId="30"/>
    <tableColumn id="2" xr3:uid="{7A44D8E8-D1F6-4FB0-B31E-652532BE4FBF}" name="Correlation Value" dataDxfId="29"/>
    <tableColumn id="3" xr3:uid="{7DAF1162-1842-42C3-B181-88F5741DFBD3}" name="Interpretation" dataDxfId="28"/>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table" Target="../tables/table9.xml"/><Relationship Id="rId4" Type="http://schemas.openxmlformats.org/officeDocument/2006/relationships/table" Target="../tables/table1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J611"/>
  <sheetViews>
    <sheetView topLeftCell="A604" workbookViewId="0">
      <selection activeCell="D6" sqref="D6"/>
    </sheetView>
  </sheetViews>
  <sheetFormatPr defaultColWidth="12.6328125" defaultRowHeight="15.75" customHeight="1" x14ac:dyDescent="0.25"/>
  <sheetData>
    <row r="1" spans="1:10" ht="15.75" customHeight="1" x14ac:dyDescent="0.25">
      <c r="A1" s="1" t="s">
        <v>0</v>
      </c>
      <c r="B1" s="1" t="s">
        <v>1</v>
      </c>
      <c r="C1" s="1" t="s">
        <v>2</v>
      </c>
      <c r="D1" s="1" t="s">
        <v>3</v>
      </c>
      <c r="E1" s="1" t="s">
        <v>4</v>
      </c>
      <c r="F1" s="1" t="s">
        <v>5</v>
      </c>
      <c r="G1" s="1" t="s">
        <v>6</v>
      </c>
      <c r="H1" s="1" t="s">
        <v>7</v>
      </c>
      <c r="I1" s="1" t="s">
        <v>8</v>
      </c>
      <c r="J1" s="1" t="s">
        <v>9</v>
      </c>
    </row>
    <row r="2" spans="1:10" ht="15.75" customHeight="1" x14ac:dyDescent="0.25">
      <c r="A2" s="1">
        <v>1</v>
      </c>
      <c r="B2" s="2">
        <v>40544</v>
      </c>
      <c r="C2" s="1">
        <v>1</v>
      </c>
      <c r="D2" s="1">
        <v>0</v>
      </c>
      <c r="E2" s="1">
        <v>1</v>
      </c>
      <c r="F2" s="1">
        <v>0</v>
      </c>
      <c r="G2" s="1" t="b">
        <v>0</v>
      </c>
      <c r="H2" s="1">
        <v>6</v>
      </c>
      <c r="I2" s="1">
        <v>1</v>
      </c>
      <c r="J2" s="1">
        <v>0.24</v>
      </c>
    </row>
    <row r="3" spans="1:10" ht="15.75" customHeight="1" x14ac:dyDescent="0.25">
      <c r="A3" s="1">
        <v>2</v>
      </c>
      <c r="B3" s="2">
        <v>40544</v>
      </c>
      <c r="C3" s="1">
        <v>1</v>
      </c>
      <c r="D3" s="1">
        <v>0</v>
      </c>
      <c r="E3" s="1">
        <v>1</v>
      </c>
      <c r="F3" s="1">
        <v>1</v>
      </c>
      <c r="G3" s="1" t="b">
        <v>0</v>
      </c>
      <c r="H3" s="1">
        <v>6</v>
      </c>
      <c r="I3" s="1">
        <v>1</v>
      </c>
      <c r="J3" s="1">
        <v>0.22</v>
      </c>
    </row>
    <row r="4" spans="1:10" ht="15.75" customHeight="1" x14ac:dyDescent="0.25">
      <c r="A4" s="1">
        <v>3</v>
      </c>
      <c r="B4" s="2">
        <v>40544</v>
      </c>
      <c r="C4" s="1">
        <v>1</v>
      </c>
      <c r="D4" s="1">
        <v>0</v>
      </c>
      <c r="E4" s="1">
        <v>1</v>
      </c>
      <c r="F4" s="1">
        <v>2</v>
      </c>
      <c r="G4" s="1" t="b">
        <v>0</v>
      </c>
      <c r="H4" s="1">
        <v>6</v>
      </c>
      <c r="I4" s="1">
        <v>1</v>
      </c>
      <c r="J4" s="1">
        <v>0.22</v>
      </c>
    </row>
    <row r="5" spans="1:10" ht="15.75" customHeight="1" x14ac:dyDescent="0.25">
      <c r="A5" s="1">
        <v>4</v>
      </c>
      <c r="B5" s="2">
        <v>40544</v>
      </c>
      <c r="C5" s="1">
        <v>1</v>
      </c>
      <c r="D5" s="1">
        <v>0</v>
      </c>
      <c r="E5" s="1">
        <v>1</v>
      </c>
      <c r="F5" s="1">
        <v>3</v>
      </c>
      <c r="G5" s="1" t="b">
        <v>0</v>
      </c>
      <c r="H5" s="1">
        <v>6</v>
      </c>
      <c r="I5" s="1">
        <v>1</v>
      </c>
      <c r="J5" s="1">
        <v>0.24</v>
      </c>
    </row>
    <row r="6" spans="1:10" ht="15.75" customHeight="1" x14ac:dyDescent="0.25">
      <c r="A6" s="1">
        <v>5</v>
      </c>
      <c r="B6" s="2">
        <v>40544</v>
      </c>
      <c r="C6" s="1">
        <v>1</v>
      </c>
      <c r="D6" s="1">
        <v>0</v>
      </c>
      <c r="E6" s="1">
        <v>1</v>
      </c>
      <c r="F6" s="1">
        <v>4</v>
      </c>
      <c r="G6" s="1" t="b">
        <v>0</v>
      </c>
      <c r="H6" s="1">
        <v>6</v>
      </c>
      <c r="I6" s="1">
        <v>1</v>
      </c>
      <c r="J6" s="1">
        <v>0.24</v>
      </c>
    </row>
    <row r="7" spans="1:10" ht="15.75" customHeight="1" x14ac:dyDescent="0.25">
      <c r="A7" s="1">
        <v>6</v>
      </c>
      <c r="B7" s="2">
        <v>40544</v>
      </c>
      <c r="C7" s="1">
        <v>1</v>
      </c>
      <c r="D7" s="1">
        <v>0</v>
      </c>
      <c r="E7" s="1">
        <v>1</v>
      </c>
      <c r="F7" s="1">
        <v>5</v>
      </c>
      <c r="G7" s="1" t="b">
        <v>0</v>
      </c>
      <c r="H7" s="1">
        <v>6</v>
      </c>
      <c r="I7" s="1">
        <v>2</v>
      </c>
      <c r="J7" s="1">
        <v>0.24</v>
      </c>
    </row>
    <row r="8" spans="1:10" ht="15.75" customHeight="1" x14ac:dyDescent="0.25">
      <c r="A8" s="1">
        <v>7</v>
      </c>
      <c r="B8" s="2">
        <v>40544</v>
      </c>
      <c r="C8" s="1">
        <v>1</v>
      </c>
      <c r="D8" s="1">
        <v>0</v>
      </c>
      <c r="E8" s="1">
        <v>1</v>
      </c>
      <c r="F8" s="1">
        <v>6</v>
      </c>
      <c r="G8" s="1" t="b">
        <v>0</v>
      </c>
      <c r="H8" s="1">
        <v>6</v>
      </c>
      <c r="I8" s="1">
        <v>1</v>
      </c>
      <c r="J8" s="1">
        <v>0.22</v>
      </c>
    </row>
    <row r="9" spans="1:10" ht="15.75" customHeight="1" x14ac:dyDescent="0.25">
      <c r="A9" s="1">
        <v>8</v>
      </c>
      <c r="B9" s="2">
        <v>40544</v>
      </c>
      <c r="C9" s="1">
        <v>1</v>
      </c>
      <c r="D9" s="1">
        <v>0</v>
      </c>
      <c r="E9" s="1">
        <v>1</v>
      </c>
      <c r="F9" s="1">
        <v>7</v>
      </c>
      <c r="G9" s="1" t="b">
        <v>0</v>
      </c>
      <c r="H9" s="1">
        <v>6</v>
      </c>
      <c r="I9" s="1">
        <v>1</v>
      </c>
      <c r="J9" s="1">
        <v>0.2</v>
      </c>
    </row>
    <row r="10" spans="1:10" ht="15.75" customHeight="1" x14ac:dyDescent="0.25">
      <c r="A10" s="1">
        <v>9</v>
      </c>
      <c r="B10" s="2">
        <v>40544</v>
      </c>
      <c r="C10" s="1">
        <v>1</v>
      </c>
      <c r="D10" s="1">
        <v>0</v>
      </c>
      <c r="E10" s="1">
        <v>1</v>
      </c>
      <c r="F10" s="1">
        <v>8</v>
      </c>
      <c r="G10" s="1" t="b">
        <v>0</v>
      </c>
      <c r="H10" s="1">
        <v>6</v>
      </c>
      <c r="I10" s="1">
        <v>1</v>
      </c>
      <c r="J10" s="1">
        <v>0.24</v>
      </c>
    </row>
    <row r="11" spans="1:10" ht="12.5" x14ac:dyDescent="0.25">
      <c r="A11" s="1">
        <v>10</v>
      </c>
      <c r="B11" s="2">
        <v>40544</v>
      </c>
      <c r="C11" s="1">
        <v>1</v>
      </c>
      <c r="D11" s="1">
        <v>0</v>
      </c>
      <c r="E11" s="1">
        <v>1</v>
      </c>
      <c r="F11" s="1">
        <v>9</v>
      </c>
      <c r="G11" s="1" t="b">
        <v>0</v>
      </c>
      <c r="H11" s="1">
        <v>6</v>
      </c>
      <c r="I11" s="1">
        <v>1</v>
      </c>
      <c r="J11" s="1">
        <v>0.32</v>
      </c>
    </row>
    <row r="12" spans="1:10" ht="12.5" x14ac:dyDescent="0.25">
      <c r="A12" s="1">
        <v>11</v>
      </c>
      <c r="B12" s="2">
        <v>40544</v>
      </c>
      <c r="C12" s="1">
        <v>1</v>
      </c>
      <c r="D12" s="1">
        <v>0</v>
      </c>
      <c r="E12" s="1">
        <v>1</v>
      </c>
      <c r="F12" s="1">
        <v>10</v>
      </c>
      <c r="G12" s="1" t="b">
        <v>0</v>
      </c>
      <c r="H12" s="1">
        <v>6</v>
      </c>
      <c r="I12" s="1">
        <v>1</v>
      </c>
      <c r="J12" s="1">
        <v>0.38</v>
      </c>
    </row>
    <row r="13" spans="1:10" ht="12.5" x14ac:dyDescent="0.25">
      <c r="A13" s="1">
        <v>12</v>
      </c>
      <c r="B13" s="2">
        <v>40544</v>
      </c>
      <c r="C13" s="1">
        <v>1</v>
      </c>
      <c r="D13" s="1">
        <v>0</v>
      </c>
      <c r="E13" s="1">
        <v>1</v>
      </c>
      <c r="F13" s="1">
        <v>11</v>
      </c>
      <c r="G13" s="1" t="b">
        <v>0</v>
      </c>
      <c r="H13" s="1">
        <v>6</v>
      </c>
      <c r="I13" s="1">
        <v>1</v>
      </c>
      <c r="J13" s="1">
        <v>0.36</v>
      </c>
    </row>
    <row r="14" spans="1:10" ht="12.5" x14ac:dyDescent="0.25">
      <c r="A14" s="1">
        <v>13</v>
      </c>
      <c r="B14" s="2">
        <v>40544</v>
      </c>
      <c r="C14" s="1">
        <v>1</v>
      </c>
      <c r="D14" s="1">
        <v>0</v>
      </c>
      <c r="E14" s="1">
        <v>1</v>
      </c>
      <c r="F14" s="1">
        <v>12</v>
      </c>
      <c r="G14" s="1" t="b">
        <v>0</v>
      </c>
      <c r="H14" s="1">
        <v>6</v>
      </c>
      <c r="I14" s="1">
        <v>1</v>
      </c>
      <c r="J14" s="1">
        <v>0.42</v>
      </c>
    </row>
    <row r="15" spans="1:10" ht="12.5" x14ac:dyDescent="0.25">
      <c r="A15" s="1">
        <v>14</v>
      </c>
      <c r="B15" s="2">
        <v>40544</v>
      </c>
      <c r="C15" s="1">
        <v>1</v>
      </c>
      <c r="D15" s="1">
        <v>0</v>
      </c>
      <c r="E15" s="1">
        <v>1</v>
      </c>
      <c r="F15" s="1">
        <v>13</v>
      </c>
      <c r="G15" s="1" t="b">
        <v>0</v>
      </c>
      <c r="H15" s="1">
        <v>6</v>
      </c>
      <c r="I15" s="1">
        <v>2</v>
      </c>
      <c r="J15" s="1">
        <v>0.46</v>
      </c>
    </row>
    <row r="16" spans="1:10" ht="12.5" x14ac:dyDescent="0.25">
      <c r="A16" s="1">
        <v>15</v>
      </c>
      <c r="B16" s="2">
        <v>40544</v>
      </c>
      <c r="C16" s="1">
        <v>1</v>
      </c>
      <c r="D16" s="1">
        <v>0</v>
      </c>
      <c r="E16" s="1">
        <v>1</v>
      </c>
      <c r="F16" s="1">
        <v>14</v>
      </c>
      <c r="G16" s="1" t="b">
        <v>0</v>
      </c>
      <c r="H16" s="1">
        <v>6</v>
      </c>
      <c r="I16" s="1">
        <v>2</v>
      </c>
      <c r="J16" s="1">
        <v>0.46</v>
      </c>
    </row>
    <row r="17" spans="1:10" ht="12.5" x14ac:dyDescent="0.25">
      <c r="A17" s="1">
        <v>16</v>
      </c>
      <c r="B17" s="2">
        <v>40544</v>
      </c>
      <c r="C17" s="1">
        <v>1</v>
      </c>
      <c r="D17" s="1">
        <v>0</v>
      </c>
      <c r="E17" s="1">
        <v>1</v>
      </c>
      <c r="F17" s="1">
        <v>15</v>
      </c>
      <c r="G17" s="1" t="b">
        <v>0</v>
      </c>
      <c r="H17" s="1">
        <v>6</v>
      </c>
      <c r="I17" s="1">
        <v>2</v>
      </c>
      <c r="J17" s="1">
        <v>0.44</v>
      </c>
    </row>
    <row r="18" spans="1:10" ht="12.5" x14ac:dyDescent="0.25">
      <c r="A18" s="1">
        <v>17</v>
      </c>
      <c r="B18" s="2">
        <v>40544</v>
      </c>
      <c r="C18" s="1">
        <v>1</v>
      </c>
      <c r="D18" s="1">
        <v>0</v>
      </c>
      <c r="E18" s="1">
        <v>1</v>
      </c>
      <c r="F18" s="1">
        <v>16</v>
      </c>
      <c r="G18" s="1" t="b">
        <v>0</v>
      </c>
      <c r="H18" s="1">
        <v>6</v>
      </c>
      <c r="I18" s="1">
        <v>2</v>
      </c>
      <c r="J18" s="1">
        <v>0.42</v>
      </c>
    </row>
    <row r="19" spans="1:10" ht="12.5" x14ac:dyDescent="0.25">
      <c r="A19" s="1">
        <v>18</v>
      </c>
      <c r="B19" s="2">
        <v>40544</v>
      </c>
      <c r="C19" s="1">
        <v>1</v>
      </c>
      <c r="D19" s="1">
        <v>0</v>
      </c>
      <c r="E19" s="1">
        <v>1</v>
      </c>
      <c r="F19" s="1">
        <v>17</v>
      </c>
      <c r="G19" s="1" t="b">
        <v>0</v>
      </c>
      <c r="H19" s="1">
        <v>6</v>
      </c>
      <c r="I19" s="1">
        <v>2</v>
      </c>
      <c r="J19" s="1">
        <v>0.44</v>
      </c>
    </row>
    <row r="20" spans="1:10" ht="12.5" x14ac:dyDescent="0.25">
      <c r="A20" s="1">
        <v>19</v>
      </c>
      <c r="B20" s="2">
        <v>40544</v>
      </c>
      <c r="C20" s="1">
        <v>1</v>
      </c>
      <c r="D20" s="1">
        <v>0</v>
      </c>
      <c r="E20" s="1">
        <v>1</v>
      </c>
      <c r="F20" s="1">
        <v>18</v>
      </c>
      <c r="G20" s="1" t="b">
        <v>0</v>
      </c>
      <c r="H20" s="1">
        <v>6</v>
      </c>
      <c r="I20" s="1">
        <v>3</v>
      </c>
      <c r="J20" s="1">
        <v>0.42</v>
      </c>
    </row>
    <row r="21" spans="1:10" ht="12.5" x14ac:dyDescent="0.25">
      <c r="A21" s="1">
        <v>20</v>
      </c>
      <c r="B21" s="2">
        <v>40544</v>
      </c>
      <c r="C21" s="1">
        <v>1</v>
      </c>
      <c r="D21" s="1">
        <v>0</v>
      </c>
      <c r="E21" s="1">
        <v>1</v>
      </c>
      <c r="F21" s="1">
        <v>19</v>
      </c>
      <c r="G21" s="1" t="b">
        <v>0</v>
      </c>
      <c r="H21" s="1">
        <v>6</v>
      </c>
      <c r="I21" s="1">
        <v>3</v>
      </c>
      <c r="J21" s="1">
        <v>0.42</v>
      </c>
    </row>
    <row r="22" spans="1:10" ht="12.5" x14ac:dyDescent="0.25">
      <c r="A22" s="1">
        <v>21</v>
      </c>
      <c r="B22" s="2">
        <v>40544</v>
      </c>
      <c r="C22" s="1">
        <v>1</v>
      </c>
      <c r="D22" s="1">
        <v>0</v>
      </c>
      <c r="E22" s="1">
        <v>1</v>
      </c>
      <c r="F22" s="1">
        <v>20</v>
      </c>
      <c r="G22" s="1" t="b">
        <v>0</v>
      </c>
      <c r="H22" s="1">
        <v>6</v>
      </c>
      <c r="I22" s="1">
        <v>2</v>
      </c>
      <c r="J22" s="1">
        <v>0.4</v>
      </c>
    </row>
    <row r="23" spans="1:10" ht="12.5" x14ac:dyDescent="0.25">
      <c r="A23" s="1">
        <v>22</v>
      </c>
      <c r="B23" s="2">
        <v>40544</v>
      </c>
      <c r="C23" s="1">
        <v>1</v>
      </c>
      <c r="D23" s="1">
        <v>0</v>
      </c>
      <c r="E23" s="1">
        <v>1</v>
      </c>
      <c r="F23" s="1">
        <v>21</v>
      </c>
      <c r="G23" s="1" t="b">
        <v>0</v>
      </c>
      <c r="H23" s="1">
        <v>6</v>
      </c>
      <c r="I23" s="1">
        <v>2</v>
      </c>
      <c r="J23" s="1">
        <v>0.4</v>
      </c>
    </row>
    <row r="24" spans="1:10" ht="12.5" x14ac:dyDescent="0.25">
      <c r="A24" s="1">
        <v>23</v>
      </c>
      <c r="B24" s="2">
        <v>40544</v>
      </c>
      <c r="C24" s="1">
        <v>1</v>
      </c>
      <c r="D24" s="1">
        <v>0</v>
      </c>
      <c r="E24" s="1">
        <v>1</v>
      </c>
      <c r="F24" s="1">
        <v>22</v>
      </c>
      <c r="G24" s="1" t="b">
        <v>0</v>
      </c>
      <c r="H24" s="1">
        <v>6</v>
      </c>
      <c r="I24" s="1">
        <v>2</v>
      </c>
      <c r="J24" s="1">
        <v>0.4</v>
      </c>
    </row>
    <row r="25" spans="1:10" ht="12.5" x14ac:dyDescent="0.25">
      <c r="A25" s="1">
        <v>24</v>
      </c>
      <c r="B25" s="2">
        <v>40544</v>
      </c>
      <c r="C25" s="1">
        <v>1</v>
      </c>
      <c r="D25" s="1">
        <v>0</v>
      </c>
      <c r="E25" s="1">
        <v>1</v>
      </c>
      <c r="F25" s="1">
        <v>23</v>
      </c>
      <c r="G25" s="1" t="b">
        <v>0</v>
      </c>
      <c r="H25" s="1">
        <v>6</v>
      </c>
      <c r="I25" s="1">
        <v>2</v>
      </c>
      <c r="J25" s="1">
        <v>0.46</v>
      </c>
    </row>
    <row r="26" spans="1:10" ht="12.5" x14ac:dyDescent="0.25">
      <c r="A26" s="1">
        <v>25</v>
      </c>
      <c r="B26" s="2">
        <v>40545</v>
      </c>
      <c r="C26" s="1">
        <v>1</v>
      </c>
      <c r="D26" s="1">
        <v>0</v>
      </c>
      <c r="E26" s="1">
        <v>1</v>
      </c>
      <c r="F26" s="1">
        <v>0</v>
      </c>
      <c r="G26" s="1" t="b">
        <v>0</v>
      </c>
      <c r="H26" s="1">
        <v>0</v>
      </c>
      <c r="I26" s="1">
        <v>2</v>
      </c>
      <c r="J26" s="1">
        <v>0.46</v>
      </c>
    </row>
    <row r="27" spans="1:10" ht="12.5" x14ac:dyDescent="0.25">
      <c r="A27" s="1">
        <v>26</v>
      </c>
      <c r="B27" s="2">
        <v>40545</v>
      </c>
      <c r="C27" s="1">
        <v>1</v>
      </c>
      <c r="D27" s="1">
        <v>0</v>
      </c>
      <c r="E27" s="1">
        <v>1</v>
      </c>
      <c r="F27" s="1">
        <v>1</v>
      </c>
      <c r="G27" s="1" t="b">
        <v>0</v>
      </c>
      <c r="H27" s="1">
        <v>0</v>
      </c>
      <c r="I27" s="1">
        <v>2</v>
      </c>
      <c r="J27" s="1">
        <v>0.44</v>
      </c>
    </row>
    <row r="28" spans="1:10" ht="12.5" x14ac:dyDescent="0.25">
      <c r="A28" s="1">
        <v>27</v>
      </c>
      <c r="B28" s="2">
        <v>40545</v>
      </c>
      <c r="C28" s="1">
        <v>1</v>
      </c>
      <c r="D28" s="1">
        <v>0</v>
      </c>
      <c r="E28" s="1">
        <v>1</v>
      </c>
      <c r="F28" s="1">
        <v>2</v>
      </c>
      <c r="G28" s="1" t="b">
        <v>0</v>
      </c>
      <c r="H28" s="1">
        <v>0</v>
      </c>
      <c r="I28" s="1">
        <v>2</v>
      </c>
      <c r="J28" s="1">
        <v>0.42</v>
      </c>
    </row>
    <row r="29" spans="1:10" ht="12.5" x14ac:dyDescent="0.25">
      <c r="A29" s="1">
        <v>28</v>
      </c>
      <c r="B29" s="2">
        <v>40545</v>
      </c>
      <c r="C29" s="1">
        <v>1</v>
      </c>
      <c r="D29" s="1">
        <v>0</v>
      </c>
      <c r="E29" s="1">
        <v>1</v>
      </c>
      <c r="F29" s="1">
        <v>3</v>
      </c>
      <c r="G29" s="1" t="b">
        <v>0</v>
      </c>
      <c r="H29" s="1">
        <v>0</v>
      </c>
      <c r="I29" s="1">
        <v>2</v>
      </c>
      <c r="J29" s="1">
        <v>0.46</v>
      </c>
    </row>
    <row r="30" spans="1:10" ht="12.5" x14ac:dyDescent="0.25">
      <c r="A30" s="1">
        <v>29</v>
      </c>
      <c r="B30" s="2">
        <v>40545</v>
      </c>
      <c r="C30" s="1">
        <v>1</v>
      </c>
      <c r="D30" s="1">
        <v>0</v>
      </c>
      <c r="E30" s="1">
        <v>1</v>
      </c>
      <c r="F30" s="1">
        <v>4</v>
      </c>
      <c r="G30" s="1" t="b">
        <v>0</v>
      </c>
      <c r="H30" s="1">
        <v>0</v>
      </c>
      <c r="I30" s="1">
        <v>2</v>
      </c>
      <c r="J30" s="1">
        <v>0.46</v>
      </c>
    </row>
    <row r="31" spans="1:10" ht="12.5" x14ac:dyDescent="0.25">
      <c r="A31" s="1">
        <v>30</v>
      </c>
      <c r="B31" s="2">
        <v>40545</v>
      </c>
      <c r="C31" s="1">
        <v>1</v>
      </c>
      <c r="D31" s="1">
        <v>0</v>
      </c>
      <c r="E31" s="1">
        <v>1</v>
      </c>
      <c r="F31" s="1">
        <v>6</v>
      </c>
      <c r="G31" s="1" t="b">
        <v>0</v>
      </c>
      <c r="H31" s="1">
        <v>0</v>
      </c>
      <c r="I31" s="1">
        <v>3</v>
      </c>
      <c r="J31" s="1">
        <v>0.42</v>
      </c>
    </row>
    <row r="32" spans="1:10" ht="12.5" x14ac:dyDescent="0.25">
      <c r="A32" s="1">
        <v>31</v>
      </c>
      <c r="B32" s="2">
        <v>40545</v>
      </c>
      <c r="C32" s="1">
        <v>1</v>
      </c>
      <c r="D32" s="1">
        <v>0</v>
      </c>
      <c r="E32" s="1">
        <v>1</v>
      </c>
      <c r="F32" s="1">
        <v>7</v>
      </c>
      <c r="G32" s="1" t="b">
        <v>0</v>
      </c>
      <c r="H32" s="1">
        <v>0</v>
      </c>
      <c r="I32" s="1">
        <v>2</v>
      </c>
      <c r="J32" s="1">
        <v>0.4</v>
      </c>
    </row>
    <row r="33" spans="1:10" ht="12.5" x14ac:dyDescent="0.25">
      <c r="A33" s="1">
        <v>32</v>
      </c>
      <c r="B33" s="2">
        <v>40545</v>
      </c>
      <c r="C33" s="1">
        <v>1</v>
      </c>
      <c r="D33" s="1">
        <v>0</v>
      </c>
      <c r="E33" s="1">
        <v>1</v>
      </c>
      <c r="F33" s="1">
        <v>8</v>
      </c>
      <c r="G33" s="1" t="b">
        <v>0</v>
      </c>
      <c r="H33" s="1">
        <v>0</v>
      </c>
      <c r="I33" s="1">
        <v>3</v>
      </c>
      <c r="J33" s="1">
        <v>0.4</v>
      </c>
    </row>
    <row r="34" spans="1:10" ht="12.5" x14ac:dyDescent="0.25">
      <c r="A34" s="1">
        <v>33</v>
      </c>
      <c r="B34" s="2">
        <v>40545</v>
      </c>
      <c r="C34" s="1">
        <v>1</v>
      </c>
      <c r="D34" s="1">
        <v>0</v>
      </c>
      <c r="E34" s="1">
        <v>1</v>
      </c>
      <c r="F34" s="1">
        <v>9</v>
      </c>
      <c r="G34" s="1" t="b">
        <v>0</v>
      </c>
      <c r="H34" s="1">
        <v>0</v>
      </c>
      <c r="I34" s="1">
        <v>2</v>
      </c>
      <c r="J34" s="1">
        <v>0.38</v>
      </c>
    </row>
    <row r="35" spans="1:10" ht="12.5" x14ac:dyDescent="0.25">
      <c r="A35" s="1">
        <v>34</v>
      </c>
      <c r="B35" s="2">
        <v>40545</v>
      </c>
      <c r="C35" s="1">
        <v>1</v>
      </c>
      <c r="D35" s="1">
        <v>0</v>
      </c>
      <c r="E35" s="1">
        <v>1</v>
      </c>
      <c r="F35" s="1">
        <v>10</v>
      </c>
      <c r="G35" s="1" t="b">
        <v>0</v>
      </c>
      <c r="H35" s="1">
        <v>0</v>
      </c>
      <c r="I35" s="1">
        <v>2</v>
      </c>
      <c r="J35" s="1">
        <v>0.36</v>
      </c>
    </row>
    <row r="36" spans="1:10" ht="12.5" x14ac:dyDescent="0.25">
      <c r="A36" s="1">
        <v>35</v>
      </c>
      <c r="B36" s="2">
        <v>40545</v>
      </c>
      <c r="C36" s="1">
        <v>1</v>
      </c>
      <c r="D36" s="1">
        <v>0</v>
      </c>
      <c r="E36" s="1">
        <v>1</v>
      </c>
      <c r="F36" s="1">
        <v>11</v>
      </c>
      <c r="G36" s="1" t="b">
        <v>0</v>
      </c>
      <c r="H36" s="1">
        <v>0</v>
      </c>
      <c r="I36" s="1">
        <v>2</v>
      </c>
      <c r="J36" s="1">
        <v>0.36</v>
      </c>
    </row>
    <row r="37" spans="1:10" ht="12.5" x14ac:dyDescent="0.25">
      <c r="A37" s="1">
        <v>36</v>
      </c>
      <c r="B37" s="2">
        <v>40545</v>
      </c>
      <c r="C37" s="1">
        <v>1</v>
      </c>
      <c r="D37" s="1">
        <v>0</v>
      </c>
      <c r="E37" s="1">
        <v>1</v>
      </c>
      <c r="F37" s="1">
        <v>12</v>
      </c>
      <c r="G37" s="1" t="b">
        <v>0</v>
      </c>
      <c r="H37" s="1">
        <v>0</v>
      </c>
      <c r="I37" s="1">
        <v>2</v>
      </c>
      <c r="J37" s="1">
        <v>0.36</v>
      </c>
    </row>
    <row r="38" spans="1:10" ht="12.5" x14ac:dyDescent="0.25">
      <c r="A38" s="1">
        <v>37</v>
      </c>
      <c r="B38" s="2">
        <v>40545</v>
      </c>
      <c r="C38" s="1">
        <v>1</v>
      </c>
      <c r="D38" s="1">
        <v>0</v>
      </c>
      <c r="E38" s="1">
        <v>1</v>
      </c>
      <c r="F38" s="1">
        <v>13</v>
      </c>
      <c r="G38" s="1" t="b">
        <v>0</v>
      </c>
      <c r="H38" s="1">
        <v>0</v>
      </c>
      <c r="I38" s="1">
        <v>2</v>
      </c>
      <c r="J38" s="1">
        <v>0.36</v>
      </c>
    </row>
    <row r="39" spans="1:10" ht="12.5" x14ac:dyDescent="0.25">
      <c r="A39" s="1">
        <v>38</v>
      </c>
      <c r="B39" s="2">
        <v>40545</v>
      </c>
      <c r="C39" s="1">
        <v>1</v>
      </c>
      <c r="D39" s="1">
        <v>0</v>
      </c>
      <c r="E39" s="1">
        <v>1</v>
      </c>
      <c r="F39" s="1">
        <v>14</v>
      </c>
      <c r="G39" s="1" t="b">
        <v>0</v>
      </c>
      <c r="H39" s="1">
        <v>0</v>
      </c>
      <c r="I39" s="1">
        <v>3</v>
      </c>
      <c r="J39" s="1">
        <v>0.36</v>
      </c>
    </row>
    <row r="40" spans="1:10" ht="12.5" x14ac:dyDescent="0.25">
      <c r="A40" s="1">
        <v>39</v>
      </c>
      <c r="B40" s="2">
        <v>40545</v>
      </c>
      <c r="C40" s="1">
        <v>1</v>
      </c>
      <c r="D40" s="1">
        <v>0</v>
      </c>
      <c r="E40" s="1">
        <v>1</v>
      </c>
      <c r="F40" s="1">
        <v>15</v>
      </c>
      <c r="G40" s="1" t="b">
        <v>0</v>
      </c>
      <c r="H40" s="1">
        <v>0</v>
      </c>
      <c r="I40" s="1">
        <v>3</v>
      </c>
      <c r="J40" s="1">
        <v>0.34</v>
      </c>
    </row>
    <row r="41" spans="1:10" ht="12.5" x14ac:dyDescent="0.25">
      <c r="A41" s="1">
        <v>40</v>
      </c>
      <c r="B41" s="2">
        <v>40545</v>
      </c>
      <c r="C41" s="1">
        <v>1</v>
      </c>
      <c r="D41" s="1">
        <v>0</v>
      </c>
      <c r="E41" s="1">
        <v>1</v>
      </c>
      <c r="F41" s="1">
        <v>16</v>
      </c>
      <c r="G41" s="1" t="b">
        <v>0</v>
      </c>
      <c r="H41" s="1">
        <v>0</v>
      </c>
      <c r="I41" s="1">
        <v>3</v>
      </c>
      <c r="J41" s="1">
        <v>0.34</v>
      </c>
    </row>
    <row r="42" spans="1:10" ht="12.5" x14ac:dyDescent="0.25">
      <c r="A42" s="1">
        <v>41</v>
      </c>
      <c r="B42" s="2">
        <v>40545</v>
      </c>
      <c r="C42" s="1">
        <v>1</v>
      </c>
      <c r="D42" s="1">
        <v>0</v>
      </c>
      <c r="E42" s="1">
        <v>1</v>
      </c>
      <c r="F42" s="1">
        <v>17</v>
      </c>
      <c r="G42" s="1" t="b">
        <v>0</v>
      </c>
      <c r="H42" s="1">
        <v>0</v>
      </c>
      <c r="I42" s="1">
        <v>1</v>
      </c>
      <c r="J42" s="1">
        <v>0.34</v>
      </c>
    </row>
    <row r="43" spans="1:10" ht="12.5" x14ac:dyDescent="0.25">
      <c r="A43" s="1">
        <v>42</v>
      </c>
      <c r="B43" s="2">
        <v>40545</v>
      </c>
      <c r="C43" s="1">
        <v>1</v>
      </c>
      <c r="D43" s="1">
        <v>0</v>
      </c>
      <c r="E43" s="1">
        <v>1</v>
      </c>
      <c r="F43" s="1">
        <v>18</v>
      </c>
      <c r="G43" s="1" t="b">
        <v>0</v>
      </c>
      <c r="H43" s="1">
        <v>0</v>
      </c>
      <c r="I43" s="1">
        <v>2</v>
      </c>
      <c r="J43" s="1">
        <v>0.36</v>
      </c>
    </row>
    <row r="44" spans="1:10" ht="12.5" x14ac:dyDescent="0.25">
      <c r="A44" s="1">
        <v>43</v>
      </c>
      <c r="B44" s="2">
        <v>40545</v>
      </c>
      <c r="C44" s="1">
        <v>1</v>
      </c>
      <c r="D44" s="1">
        <v>0</v>
      </c>
      <c r="E44" s="1">
        <v>1</v>
      </c>
      <c r="F44" s="1">
        <v>19</v>
      </c>
      <c r="G44" s="1" t="b">
        <v>0</v>
      </c>
      <c r="H44" s="1">
        <v>0</v>
      </c>
      <c r="I44" s="1">
        <v>1</v>
      </c>
      <c r="J44" s="1">
        <v>0.32</v>
      </c>
    </row>
    <row r="45" spans="1:10" ht="12.5" x14ac:dyDescent="0.25">
      <c r="A45" s="1">
        <v>44</v>
      </c>
      <c r="B45" s="2">
        <v>40545</v>
      </c>
      <c r="C45" s="1">
        <v>1</v>
      </c>
      <c r="D45" s="1">
        <v>0</v>
      </c>
      <c r="E45" s="1">
        <v>1</v>
      </c>
      <c r="F45" s="1">
        <v>20</v>
      </c>
      <c r="G45" s="1" t="b">
        <v>0</v>
      </c>
      <c r="H45" s="1">
        <v>0</v>
      </c>
      <c r="I45" s="1">
        <v>1</v>
      </c>
      <c r="J45" s="1">
        <v>0.3</v>
      </c>
    </row>
    <row r="46" spans="1:10" ht="12.5" x14ac:dyDescent="0.25">
      <c r="A46" s="1">
        <v>45</v>
      </c>
      <c r="B46" s="2">
        <v>40545</v>
      </c>
      <c r="C46" s="1">
        <v>1</v>
      </c>
      <c r="D46" s="1">
        <v>0</v>
      </c>
      <c r="E46" s="1">
        <v>1</v>
      </c>
      <c r="F46" s="1">
        <v>21</v>
      </c>
      <c r="G46" s="1" t="b">
        <v>0</v>
      </c>
      <c r="H46" s="1">
        <v>0</v>
      </c>
      <c r="I46" s="1">
        <v>1</v>
      </c>
      <c r="J46" s="1">
        <v>0.26</v>
      </c>
    </row>
    <row r="47" spans="1:10" ht="12.5" x14ac:dyDescent="0.25">
      <c r="A47" s="1">
        <v>46</v>
      </c>
      <c r="B47" s="2">
        <v>40545</v>
      </c>
      <c r="C47" s="1">
        <v>1</v>
      </c>
      <c r="D47" s="1">
        <v>0</v>
      </c>
      <c r="E47" s="1">
        <v>1</v>
      </c>
      <c r="F47" s="1">
        <v>22</v>
      </c>
      <c r="G47" s="1" t="b">
        <v>0</v>
      </c>
      <c r="H47" s="1">
        <v>0</v>
      </c>
      <c r="I47" s="1">
        <v>1</v>
      </c>
      <c r="J47" s="1">
        <v>0.24</v>
      </c>
    </row>
    <row r="48" spans="1:10" ht="12.5" x14ac:dyDescent="0.25">
      <c r="A48" s="1">
        <v>47</v>
      </c>
      <c r="B48" s="2">
        <v>40545</v>
      </c>
      <c r="C48" s="1">
        <v>1</v>
      </c>
      <c r="D48" s="1">
        <v>0</v>
      </c>
      <c r="E48" s="1">
        <v>1</v>
      </c>
      <c r="F48" s="1">
        <v>23</v>
      </c>
      <c r="G48" s="1" t="b">
        <v>0</v>
      </c>
      <c r="H48" s="1">
        <v>0</v>
      </c>
      <c r="I48" s="1">
        <v>1</v>
      </c>
      <c r="J48" s="1">
        <v>0.22</v>
      </c>
    </row>
    <row r="49" spans="1:10" ht="12.5" x14ac:dyDescent="0.25">
      <c r="A49" s="1">
        <v>48</v>
      </c>
      <c r="B49" s="2">
        <v>40546</v>
      </c>
      <c r="C49" s="1">
        <v>1</v>
      </c>
      <c r="D49" s="1">
        <v>0</v>
      </c>
      <c r="E49" s="1">
        <v>1</v>
      </c>
      <c r="F49" s="1">
        <v>0</v>
      </c>
      <c r="G49" s="1" t="b">
        <v>0</v>
      </c>
      <c r="H49" s="1">
        <v>1</v>
      </c>
      <c r="I49" s="1">
        <v>1</v>
      </c>
      <c r="J49" s="1">
        <v>0.22</v>
      </c>
    </row>
    <row r="50" spans="1:10" ht="12.5" x14ac:dyDescent="0.25">
      <c r="A50" s="1">
        <v>49</v>
      </c>
      <c r="B50" s="2">
        <v>40546</v>
      </c>
      <c r="C50" s="1">
        <v>1</v>
      </c>
      <c r="D50" s="1">
        <v>0</v>
      </c>
      <c r="E50" s="1">
        <v>1</v>
      </c>
      <c r="F50" s="1">
        <v>1</v>
      </c>
      <c r="G50" s="1" t="b">
        <v>0</v>
      </c>
      <c r="H50" s="1">
        <v>1</v>
      </c>
      <c r="I50" s="1">
        <v>1</v>
      </c>
      <c r="J50" s="1">
        <v>0.2</v>
      </c>
    </row>
    <row r="51" spans="1:10" ht="12.5" x14ac:dyDescent="0.25">
      <c r="A51" s="1">
        <v>50</v>
      </c>
      <c r="B51" s="2">
        <v>40546</v>
      </c>
      <c r="C51" s="1">
        <v>1</v>
      </c>
      <c r="D51" s="1">
        <v>0</v>
      </c>
      <c r="E51" s="1">
        <v>1</v>
      </c>
      <c r="F51" s="1">
        <v>4</v>
      </c>
      <c r="G51" s="1" t="b">
        <v>0</v>
      </c>
      <c r="H51" s="1">
        <v>1</v>
      </c>
      <c r="I51" s="1">
        <v>1</v>
      </c>
      <c r="J51" s="1">
        <v>0.16</v>
      </c>
    </row>
    <row r="52" spans="1:10" ht="12.5" x14ac:dyDescent="0.25">
      <c r="A52" s="1">
        <v>51</v>
      </c>
      <c r="B52" s="2">
        <v>40546</v>
      </c>
      <c r="C52" s="1">
        <v>1</v>
      </c>
      <c r="D52" s="1">
        <v>0</v>
      </c>
      <c r="E52" s="1">
        <v>1</v>
      </c>
      <c r="F52" s="1">
        <v>5</v>
      </c>
      <c r="G52" s="1" t="b">
        <v>0</v>
      </c>
      <c r="H52" s="1">
        <v>1</v>
      </c>
      <c r="I52" s="1">
        <v>1</v>
      </c>
      <c r="J52" s="1">
        <v>0.16</v>
      </c>
    </row>
    <row r="53" spans="1:10" ht="12.5" x14ac:dyDescent="0.25">
      <c r="A53" s="1">
        <v>52</v>
      </c>
      <c r="B53" s="2">
        <v>40546</v>
      </c>
      <c r="C53" s="1">
        <v>1</v>
      </c>
      <c r="D53" s="1">
        <v>0</v>
      </c>
      <c r="E53" s="1">
        <v>1</v>
      </c>
      <c r="F53" s="1">
        <v>6</v>
      </c>
      <c r="G53" s="1" t="b">
        <v>0</v>
      </c>
      <c r="H53" s="1">
        <v>1</v>
      </c>
      <c r="I53" s="1">
        <v>1</v>
      </c>
      <c r="J53" s="1">
        <v>0.14000000000000001</v>
      </c>
    </row>
    <row r="54" spans="1:10" ht="12.5" x14ac:dyDescent="0.25">
      <c r="A54" s="1">
        <v>53</v>
      </c>
      <c r="B54" s="2">
        <v>40546</v>
      </c>
      <c r="C54" s="1">
        <v>1</v>
      </c>
      <c r="D54" s="1">
        <v>0</v>
      </c>
      <c r="E54" s="1">
        <v>1</v>
      </c>
      <c r="F54" s="1">
        <v>7</v>
      </c>
      <c r="G54" s="1" t="b">
        <v>0</v>
      </c>
      <c r="H54" s="1">
        <v>1</v>
      </c>
      <c r="I54" s="1">
        <v>1</v>
      </c>
      <c r="J54" s="1">
        <v>0.14000000000000001</v>
      </c>
    </row>
    <row r="55" spans="1:10" ht="12.5" x14ac:dyDescent="0.25">
      <c r="A55" s="1">
        <v>54</v>
      </c>
      <c r="B55" s="2">
        <v>40546</v>
      </c>
      <c r="C55" s="1">
        <v>1</v>
      </c>
      <c r="D55" s="1">
        <v>0</v>
      </c>
      <c r="E55" s="1">
        <v>1</v>
      </c>
      <c r="F55" s="1">
        <v>8</v>
      </c>
      <c r="G55" s="1" t="b">
        <v>0</v>
      </c>
      <c r="H55" s="1">
        <v>1</v>
      </c>
      <c r="I55" s="1">
        <v>1</v>
      </c>
      <c r="J55" s="1">
        <v>0.14000000000000001</v>
      </c>
    </row>
    <row r="56" spans="1:10" ht="12.5" x14ac:dyDescent="0.25">
      <c r="A56" s="1">
        <v>55</v>
      </c>
      <c r="B56" s="2">
        <v>40546</v>
      </c>
      <c r="C56" s="1">
        <v>1</v>
      </c>
      <c r="D56" s="1">
        <v>0</v>
      </c>
      <c r="E56" s="1">
        <v>1</v>
      </c>
      <c r="F56" s="1">
        <v>9</v>
      </c>
      <c r="G56" s="1" t="b">
        <v>0</v>
      </c>
      <c r="H56" s="1">
        <v>1</v>
      </c>
      <c r="I56" s="1">
        <v>1</v>
      </c>
      <c r="J56" s="1">
        <v>0.16</v>
      </c>
    </row>
    <row r="57" spans="1:10" ht="12.5" x14ac:dyDescent="0.25">
      <c r="A57" s="1">
        <v>56</v>
      </c>
      <c r="B57" s="2">
        <v>40546</v>
      </c>
      <c r="C57" s="1">
        <v>1</v>
      </c>
      <c r="D57" s="1">
        <v>0</v>
      </c>
      <c r="E57" s="1">
        <v>1</v>
      </c>
      <c r="F57" s="1">
        <v>10</v>
      </c>
      <c r="G57" s="1" t="b">
        <v>0</v>
      </c>
      <c r="H57" s="1">
        <v>1</v>
      </c>
      <c r="I57" s="1">
        <v>1</v>
      </c>
      <c r="J57" s="1">
        <v>0.18</v>
      </c>
    </row>
    <row r="58" spans="1:10" ht="12.5" x14ac:dyDescent="0.25">
      <c r="A58" s="1">
        <v>57</v>
      </c>
      <c r="B58" s="2">
        <v>40546</v>
      </c>
      <c r="C58" s="1">
        <v>1</v>
      </c>
      <c r="D58" s="1">
        <v>0</v>
      </c>
      <c r="E58" s="1">
        <v>1</v>
      </c>
      <c r="F58" s="1">
        <v>11</v>
      </c>
      <c r="G58" s="1" t="b">
        <v>0</v>
      </c>
      <c r="H58" s="1">
        <v>1</v>
      </c>
      <c r="I58" s="1">
        <v>1</v>
      </c>
      <c r="J58" s="1">
        <v>0.2</v>
      </c>
    </row>
    <row r="59" spans="1:10" ht="12.5" x14ac:dyDescent="0.25">
      <c r="A59" s="1">
        <v>58</v>
      </c>
      <c r="B59" s="2">
        <v>40546</v>
      </c>
      <c r="C59" s="1">
        <v>1</v>
      </c>
      <c r="D59" s="1">
        <v>0</v>
      </c>
      <c r="E59" s="1">
        <v>1</v>
      </c>
      <c r="F59" s="1">
        <v>12</v>
      </c>
      <c r="G59" s="1" t="b">
        <v>0</v>
      </c>
      <c r="H59" s="1">
        <v>1</v>
      </c>
      <c r="I59" s="1">
        <v>1</v>
      </c>
      <c r="J59" s="1">
        <v>0.22</v>
      </c>
    </row>
    <row r="60" spans="1:10" ht="12.5" x14ac:dyDescent="0.25">
      <c r="A60" s="1">
        <v>59</v>
      </c>
      <c r="B60" s="2">
        <v>40546</v>
      </c>
      <c r="C60" s="1">
        <v>1</v>
      </c>
      <c r="D60" s="1">
        <v>0</v>
      </c>
      <c r="E60" s="1">
        <v>1</v>
      </c>
      <c r="F60" s="1">
        <v>13</v>
      </c>
      <c r="G60" s="1" t="b">
        <v>0</v>
      </c>
      <c r="H60" s="1">
        <v>1</v>
      </c>
      <c r="I60" s="1">
        <v>1</v>
      </c>
      <c r="J60" s="1">
        <v>0.24</v>
      </c>
    </row>
    <row r="61" spans="1:10" ht="12.5" x14ac:dyDescent="0.25">
      <c r="A61" s="1">
        <v>60</v>
      </c>
      <c r="B61" s="2">
        <v>40546</v>
      </c>
      <c r="C61" s="1">
        <v>1</v>
      </c>
      <c r="D61" s="1">
        <v>0</v>
      </c>
      <c r="E61" s="1">
        <v>1</v>
      </c>
      <c r="F61" s="1">
        <v>14</v>
      </c>
      <c r="G61" s="1" t="b">
        <v>0</v>
      </c>
      <c r="H61" s="1">
        <v>1</v>
      </c>
      <c r="I61" s="1">
        <v>1</v>
      </c>
      <c r="J61" s="1">
        <v>0.26</v>
      </c>
    </row>
    <row r="62" spans="1:10" ht="12.5" x14ac:dyDescent="0.25">
      <c r="A62" s="1">
        <v>61</v>
      </c>
      <c r="B62" s="2">
        <v>40546</v>
      </c>
      <c r="C62" s="1">
        <v>1</v>
      </c>
      <c r="D62" s="1">
        <v>0</v>
      </c>
      <c r="E62" s="1">
        <v>1</v>
      </c>
      <c r="F62" s="1">
        <v>15</v>
      </c>
      <c r="G62" s="1" t="b">
        <v>0</v>
      </c>
      <c r="H62" s="1">
        <v>1</v>
      </c>
      <c r="I62" s="1">
        <v>1</v>
      </c>
      <c r="J62" s="1">
        <v>0.26</v>
      </c>
    </row>
    <row r="63" spans="1:10" ht="12.5" x14ac:dyDescent="0.25">
      <c r="A63" s="1">
        <v>62</v>
      </c>
      <c r="B63" s="2">
        <v>40546</v>
      </c>
      <c r="C63" s="1">
        <v>1</v>
      </c>
      <c r="D63" s="1">
        <v>0</v>
      </c>
      <c r="E63" s="1">
        <v>1</v>
      </c>
      <c r="F63" s="1">
        <v>16</v>
      </c>
      <c r="G63" s="1" t="b">
        <v>0</v>
      </c>
      <c r="H63" s="1">
        <v>1</v>
      </c>
      <c r="I63" s="1">
        <v>1</v>
      </c>
      <c r="J63" s="1">
        <v>0.26</v>
      </c>
    </row>
    <row r="64" spans="1:10" ht="12.5" x14ac:dyDescent="0.25">
      <c r="A64" s="1">
        <v>63</v>
      </c>
      <c r="B64" s="2">
        <v>40546</v>
      </c>
      <c r="C64" s="1">
        <v>1</v>
      </c>
      <c r="D64" s="1">
        <v>0</v>
      </c>
      <c r="E64" s="1">
        <v>1</v>
      </c>
      <c r="F64" s="1">
        <v>17</v>
      </c>
      <c r="G64" s="1" t="b">
        <v>0</v>
      </c>
      <c r="H64" s="1">
        <v>1</v>
      </c>
      <c r="I64" s="1">
        <v>1</v>
      </c>
      <c r="J64" s="1">
        <v>0.24</v>
      </c>
    </row>
    <row r="65" spans="1:10" ht="12.5" x14ac:dyDescent="0.25">
      <c r="A65" s="1">
        <v>64</v>
      </c>
      <c r="B65" s="2">
        <v>40546</v>
      </c>
      <c r="C65" s="1">
        <v>1</v>
      </c>
      <c r="D65" s="1">
        <v>0</v>
      </c>
      <c r="E65" s="1">
        <v>1</v>
      </c>
      <c r="F65" s="1">
        <v>18</v>
      </c>
      <c r="G65" s="1" t="b">
        <v>0</v>
      </c>
      <c r="H65" s="1">
        <v>1</v>
      </c>
      <c r="I65" s="1">
        <v>1</v>
      </c>
      <c r="J65" s="1">
        <v>0.24</v>
      </c>
    </row>
    <row r="66" spans="1:10" ht="12.5" x14ac:dyDescent="0.25">
      <c r="A66" s="1">
        <v>65</v>
      </c>
      <c r="B66" s="2">
        <v>40546</v>
      </c>
      <c r="C66" s="1">
        <v>1</v>
      </c>
      <c r="D66" s="1">
        <v>0</v>
      </c>
      <c r="E66" s="1">
        <v>1</v>
      </c>
      <c r="F66" s="1">
        <v>19</v>
      </c>
      <c r="G66" s="1" t="b">
        <v>0</v>
      </c>
      <c r="H66" s="1">
        <v>1</v>
      </c>
      <c r="I66" s="1">
        <v>1</v>
      </c>
      <c r="J66" s="1">
        <v>0.2</v>
      </c>
    </row>
    <row r="67" spans="1:10" ht="12.5" x14ac:dyDescent="0.25">
      <c r="A67" s="1">
        <v>66</v>
      </c>
      <c r="B67" s="2">
        <v>40546</v>
      </c>
      <c r="C67" s="1">
        <v>1</v>
      </c>
      <c r="D67" s="1">
        <v>0</v>
      </c>
      <c r="E67" s="1">
        <v>1</v>
      </c>
      <c r="F67" s="1">
        <v>20</v>
      </c>
      <c r="G67" s="1" t="b">
        <v>0</v>
      </c>
      <c r="H67" s="1">
        <v>1</v>
      </c>
      <c r="I67" s="1">
        <v>1</v>
      </c>
      <c r="J67" s="1">
        <v>0.2</v>
      </c>
    </row>
    <row r="68" spans="1:10" ht="12.5" x14ac:dyDescent="0.25">
      <c r="A68" s="1">
        <v>67</v>
      </c>
      <c r="B68" s="2">
        <v>40546</v>
      </c>
      <c r="C68" s="1">
        <v>1</v>
      </c>
      <c r="D68" s="1">
        <v>0</v>
      </c>
      <c r="E68" s="1">
        <v>1</v>
      </c>
      <c r="F68" s="1">
        <v>21</v>
      </c>
      <c r="G68" s="1" t="b">
        <v>0</v>
      </c>
      <c r="H68" s="1">
        <v>1</v>
      </c>
      <c r="I68" s="1">
        <v>1</v>
      </c>
      <c r="J68" s="1">
        <v>0.18</v>
      </c>
    </row>
    <row r="69" spans="1:10" ht="12.5" x14ac:dyDescent="0.25">
      <c r="A69" s="1">
        <v>68</v>
      </c>
      <c r="B69" s="2">
        <v>40546</v>
      </c>
      <c r="C69" s="1">
        <v>1</v>
      </c>
      <c r="D69" s="1">
        <v>0</v>
      </c>
      <c r="E69" s="1">
        <v>1</v>
      </c>
      <c r="F69" s="1">
        <v>22</v>
      </c>
      <c r="G69" s="1" t="b">
        <v>0</v>
      </c>
      <c r="H69" s="1">
        <v>1</v>
      </c>
      <c r="I69" s="1">
        <v>1</v>
      </c>
      <c r="J69" s="1">
        <v>0.14000000000000001</v>
      </c>
    </row>
    <row r="70" spans="1:10" ht="12.5" x14ac:dyDescent="0.25">
      <c r="A70" s="1">
        <v>69</v>
      </c>
      <c r="B70" s="2">
        <v>40546</v>
      </c>
      <c r="C70" s="1">
        <v>1</v>
      </c>
      <c r="D70" s="1">
        <v>0</v>
      </c>
      <c r="E70" s="1">
        <v>1</v>
      </c>
      <c r="F70" s="1">
        <v>23</v>
      </c>
      <c r="G70" s="1" t="b">
        <v>0</v>
      </c>
      <c r="H70" s="1">
        <v>1</v>
      </c>
      <c r="I70" s="1">
        <v>1</v>
      </c>
      <c r="J70" s="1">
        <v>0.18</v>
      </c>
    </row>
    <row r="71" spans="1:10" ht="12.5" x14ac:dyDescent="0.25">
      <c r="A71" s="1">
        <v>70</v>
      </c>
      <c r="B71" s="2">
        <v>40547</v>
      </c>
      <c r="C71" s="1">
        <v>1</v>
      </c>
      <c r="D71" s="1">
        <v>0</v>
      </c>
      <c r="E71" s="1">
        <v>1</v>
      </c>
      <c r="F71" s="1">
        <v>0</v>
      </c>
      <c r="G71" s="1" t="b">
        <v>0</v>
      </c>
      <c r="H71" s="1">
        <v>2</v>
      </c>
      <c r="I71" s="1">
        <v>1</v>
      </c>
      <c r="J71" s="1">
        <v>0.16</v>
      </c>
    </row>
    <row r="72" spans="1:10" ht="12.5" x14ac:dyDescent="0.25">
      <c r="A72" s="1">
        <v>71</v>
      </c>
      <c r="B72" s="2">
        <v>40547</v>
      </c>
      <c r="C72" s="1">
        <v>1</v>
      </c>
      <c r="D72" s="1">
        <v>0</v>
      </c>
      <c r="E72" s="1">
        <v>1</v>
      </c>
      <c r="F72" s="1">
        <v>1</v>
      </c>
      <c r="G72" s="1" t="b">
        <v>0</v>
      </c>
      <c r="H72" s="1">
        <v>2</v>
      </c>
      <c r="I72" s="1">
        <v>1</v>
      </c>
      <c r="J72" s="1">
        <v>0.16</v>
      </c>
    </row>
    <row r="73" spans="1:10" ht="12.5" x14ac:dyDescent="0.25">
      <c r="A73" s="1">
        <v>72</v>
      </c>
      <c r="B73" s="2">
        <v>40547</v>
      </c>
      <c r="C73" s="1">
        <v>1</v>
      </c>
      <c r="D73" s="1">
        <v>0</v>
      </c>
      <c r="E73" s="1">
        <v>1</v>
      </c>
      <c r="F73" s="1">
        <v>2</v>
      </c>
      <c r="G73" s="1" t="b">
        <v>0</v>
      </c>
      <c r="H73" s="1">
        <v>2</v>
      </c>
      <c r="I73" s="1">
        <v>1</v>
      </c>
      <c r="J73" s="1">
        <v>0.14000000000000001</v>
      </c>
    </row>
    <row r="74" spans="1:10" ht="12.5" x14ac:dyDescent="0.25">
      <c r="A74" s="1">
        <v>73</v>
      </c>
      <c r="B74" s="2">
        <v>40547</v>
      </c>
      <c r="C74" s="1">
        <v>1</v>
      </c>
      <c r="D74" s="1">
        <v>0</v>
      </c>
      <c r="E74" s="1">
        <v>1</v>
      </c>
      <c r="F74" s="1">
        <v>4</v>
      </c>
      <c r="G74" s="1" t="b">
        <v>0</v>
      </c>
      <c r="H74" s="1">
        <v>2</v>
      </c>
      <c r="I74" s="1">
        <v>1</v>
      </c>
      <c r="J74" s="1">
        <v>0.14000000000000001</v>
      </c>
    </row>
    <row r="75" spans="1:10" ht="12.5" x14ac:dyDescent="0.25">
      <c r="A75" s="1">
        <v>74</v>
      </c>
      <c r="B75" s="2">
        <v>40547</v>
      </c>
      <c r="C75" s="1">
        <v>1</v>
      </c>
      <c r="D75" s="1">
        <v>0</v>
      </c>
      <c r="E75" s="1">
        <v>1</v>
      </c>
      <c r="F75" s="1">
        <v>5</v>
      </c>
      <c r="G75" s="1" t="b">
        <v>0</v>
      </c>
      <c r="H75" s="1">
        <v>2</v>
      </c>
      <c r="I75" s="1">
        <v>1</v>
      </c>
      <c r="J75" s="1">
        <v>0.12</v>
      </c>
    </row>
    <row r="76" spans="1:10" ht="12.5" x14ac:dyDescent="0.25">
      <c r="A76" s="1">
        <v>75</v>
      </c>
      <c r="B76" s="2">
        <v>40547</v>
      </c>
      <c r="C76" s="1">
        <v>1</v>
      </c>
      <c r="D76" s="1">
        <v>0</v>
      </c>
      <c r="E76" s="1">
        <v>1</v>
      </c>
      <c r="F76" s="1">
        <v>6</v>
      </c>
      <c r="G76" s="1" t="b">
        <v>0</v>
      </c>
      <c r="H76" s="1">
        <v>2</v>
      </c>
      <c r="I76" s="1">
        <v>1</v>
      </c>
      <c r="J76" s="1">
        <v>0.12</v>
      </c>
    </row>
    <row r="77" spans="1:10" ht="12.5" x14ac:dyDescent="0.25">
      <c r="A77" s="1">
        <v>76</v>
      </c>
      <c r="B77" s="2">
        <v>40547</v>
      </c>
      <c r="C77" s="1">
        <v>1</v>
      </c>
      <c r="D77" s="1">
        <v>0</v>
      </c>
      <c r="E77" s="1">
        <v>1</v>
      </c>
      <c r="F77" s="1">
        <v>7</v>
      </c>
      <c r="G77" s="1" t="b">
        <v>0</v>
      </c>
      <c r="H77" s="1">
        <v>2</v>
      </c>
      <c r="I77" s="1">
        <v>1</v>
      </c>
      <c r="J77" s="1">
        <v>0.12</v>
      </c>
    </row>
    <row r="78" spans="1:10" ht="12.5" x14ac:dyDescent="0.25">
      <c r="A78" s="1">
        <v>77</v>
      </c>
      <c r="B78" s="2">
        <v>40547</v>
      </c>
      <c r="C78" s="1">
        <v>1</v>
      </c>
      <c r="D78" s="1">
        <v>0</v>
      </c>
      <c r="E78" s="1">
        <v>1</v>
      </c>
      <c r="F78" s="1">
        <v>8</v>
      </c>
      <c r="G78" s="1" t="b">
        <v>0</v>
      </c>
      <c r="H78" s="1">
        <v>2</v>
      </c>
      <c r="I78" s="1">
        <v>1</v>
      </c>
      <c r="J78" s="1">
        <v>0.14000000000000001</v>
      </c>
    </row>
    <row r="79" spans="1:10" ht="12.5" x14ac:dyDescent="0.25">
      <c r="A79" s="1">
        <v>78</v>
      </c>
      <c r="B79" s="2">
        <v>40547</v>
      </c>
      <c r="C79" s="1">
        <v>1</v>
      </c>
      <c r="D79" s="1">
        <v>0</v>
      </c>
      <c r="E79" s="1">
        <v>1</v>
      </c>
      <c r="F79" s="1">
        <v>9</v>
      </c>
      <c r="G79" s="1" t="b">
        <v>0</v>
      </c>
      <c r="H79" s="1">
        <v>2</v>
      </c>
      <c r="I79" s="1">
        <v>1</v>
      </c>
      <c r="J79" s="1">
        <v>0.16</v>
      </c>
    </row>
    <row r="80" spans="1:10" ht="12.5" x14ac:dyDescent="0.25">
      <c r="A80" s="1">
        <v>79</v>
      </c>
      <c r="B80" s="2">
        <v>40547</v>
      </c>
      <c r="C80" s="1">
        <v>1</v>
      </c>
      <c r="D80" s="1">
        <v>0</v>
      </c>
      <c r="E80" s="1">
        <v>1</v>
      </c>
      <c r="F80" s="1">
        <v>10</v>
      </c>
      <c r="G80" s="1" t="b">
        <v>0</v>
      </c>
      <c r="H80" s="1">
        <v>2</v>
      </c>
      <c r="I80" s="1">
        <v>2</v>
      </c>
      <c r="J80" s="1">
        <v>0.16</v>
      </c>
    </row>
    <row r="81" spans="1:10" ht="12.5" x14ac:dyDescent="0.25">
      <c r="A81" s="1">
        <v>80</v>
      </c>
      <c r="B81" s="2">
        <v>40547</v>
      </c>
      <c r="C81" s="1">
        <v>1</v>
      </c>
      <c r="D81" s="1">
        <v>0</v>
      </c>
      <c r="E81" s="1">
        <v>1</v>
      </c>
      <c r="F81" s="1">
        <v>11</v>
      </c>
      <c r="G81" s="1" t="b">
        <v>0</v>
      </c>
      <c r="H81" s="1">
        <v>2</v>
      </c>
      <c r="I81" s="1">
        <v>1</v>
      </c>
      <c r="J81" s="1">
        <v>0.22</v>
      </c>
    </row>
    <row r="82" spans="1:10" ht="12.5" x14ac:dyDescent="0.25">
      <c r="A82" s="1">
        <v>81</v>
      </c>
      <c r="B82" s="2">
        <v>40547</v>
      </c>
      <c r="C82" s="1">
        <v>1</v>
      </c>
      <c r="D82" s="1">
        <v>0</v>
      </c>
      <c r="E82" s="1">
        <v>1</v>
      </c>
      <c r="F82" s="1">
        <v>12</v>
      </c>
      <c r="G82" s="1" t="b">
        <v>0</v>
      </c>
      <c r="H82" s="1">
        <v>2</v>
      </c>
      <c r="I82" s="1">
        <v>1</v>
      </c>
      <c r="J82" s="1">
        <v>0.22</v>
      </c>
    </row>
    <row r="83" spans="1:10" ht="12.5" x14ac:dyDescent="0.25">
      <c r="A83" s="1">
        <v>82</v>
      </c>
      <c r="B83" s="2">
        <v>40547</v>
      </c>
      <c r="C83" s="1">
        <v>1</v>
      </c>
      <c r="D83" s="1">
        <v>0</v>
      </c>
      <c r="E83" s="1">
        <v>1</v>
      </c>
      <c r="F83" s="1">
        <v>13</v>
      </c>
      <c r="G83" s="1" t="b">
        <v>0</v>
      </c>
      <c r="H83" s="1">
        <v>2</v>
      </c>
      <c r="I83" s="1">
        <v>1</v>
      </c>
      <c r="J83" s="1">
        <v>0.24</v>
      </c>
    </row>
    <row r="84" spans="1:10" ht="12.5" x14ac:dyDescent="0.25">
      <c r="A84" s="1">
        <v>83</v>
      </c>
      <c r="B84" s="2">
        <v>40547</v>
      </c>
      <c r="C84" s="1">
        <v>1</v>
      </c>
      <c r="D84" s="1">
        <v>0</v>
      </c>
      <c r="E84" s="1">
        <v>1</v>
      </c>
      <c r="F84" s="1">
        <v>14</v>
      </c>
      <c r="G84" s="1" t="b">
        <v>0</v>
      </c>
      <c r="H84" s="1">
        <v>2</v>
      </c>
      <c r="I84" s="1">
        <v>1</v>
      </c>
      <c r="J84" s="1">
        <v>0.26</v>
      </c>
    </row>
    <row r="85" spans="1:10" ht="12.5" x14ac:dyDescent="0.25">
      <c r="A85" s="1">
        <v>84</v>
      </c>
      <c r="B85" s="2">
        <v>40547</v>
      </c>
      <c r="C85" s="1">
        <v>1</v>
      </c>
      <c r="D85" s="1">
        <v>0</v>
      </c>
      <c r="E85" s="1">
        <v>1</v>
      </c>
      <c r="F85" s="1">
        <v>15</v>
      </c>
      <c r="G85" s="1" t="b">
        <v>0</v>
      </c>
      <c r="H85" s="1">
        <v>2</v>
      </c>
      <c r="I85" s="1">
        <v>1</v>
      </c>
      <c r="J85" s="1">
        <v>0.28000000000000003</v>
      </c>
    </row>
    <row r="86" spans="1:10" ht="12.5" x14ac:dyDescent="0.25">
      <c r="A86" s="1">
        <v>85</v>
      </c>
      <c r="B86" s="2">
        <v>40547</v>
      </c>
      <c r="C86" s="1">
        <v>1</v>
      </c>
      <c r="D86" s="1">
        <v>0</v>
      </c>
      <c r="E86" s="1">
        <v>1</v>
      </c>
      <c r="F86" s="1">
        <v>16</v>
      </c>
      <c r="G86" s="1" t="b">
        <v>0</v>
      </c>
      <c r="H86" s="1">
        <v>2</v>
      </c>
      <c r="I86" s="1">
        <v>1</v>
      </c>
      <c r="J86" s="1">
        <v>0.3</v>
      </c>
    </row>
    <row r="87" spans="1:10" ht="12.5" x14ac:dyDescent="0.25">
      <c r="A87" s="1">
        <v>86</v>
      </c>
      <c r="B87" s="2">
        <v>40547</v>
      </c>
      <c r="C87" s="1">
        <v>1</v>
      </c>
      <c r="D87" s="1">
        <v>0</v>
      </c>
      <c r="E87" s="1">
        <v>1</v>
      </c>
      <c r="F87" s="1">
        <v>17</v>
      </c>
      <c r="G87" s="1" t="b">
        <v>0</v>
      </c>
      <c r="H87" s="1">
        <v>2</v>
      </c>
      <c r="I87" s="1">
        <v>1</v>
      </c>
      <c r="J87" s="1">
        <v>0.28000000000000003</v>
      </c>
    </row>
    <row r="88" spans="1:10" ht="12.5" x14ac:dyDescent="0.25">
      <c r="A88" s="1">
        <v>87</v>
      </c>
      <c r="B88" s="2">
        <v>40547</v>
      </c>
      <c r="C88" s="1">
        <v>1</v>
      </c>
      <c r="D88" s="1">
        <v>0</v>
      </c>
      <c r="E88" s="1">
        <v>1</v>
      </c>
      <c r="F88" s="1">
        <v>18</v>
      </c>
      <c r="G88" s="1" t="b">
        <v>0</v>
      </c>
      <c r="H88" s="1">
        <v>2</v>
      </c>
      <c r="I88" s="1">
        <v>1</v>
      </c>
      <c r="J88" s="1">
        <v>0.26</v>
      </c>
    </row>
    <row r="89" spans="1:10" ht="12.5" x14ac:dyDescent="0.25">
      <c r="A89" s="1">
        <v>88</v>
      </c>
      <c r="B89" s="2">
        <v>40547</v>
      </c>
      <c r="C89" s="1">
        <v>1</v>
      </c>
      <c r="D89" s="1">
        <v>0</v>
      </c>
      <c r="E89" s="1">
        <v>1</v>
      </c>
      <c r="F89" s="1">
        <v>19</v>
      </c>
      <c r="G89" s="1" t="b">
        <v>0</v>
      </c>
      <c r="H89" s="1">
        <v>2</v>
      </c>
      <c r="I89" s="1">
        <v>1</v>
      </c>
      <c r="J89" s="1">
        <v>0.24</v>
      </c>
    </row>
    <row r="90" spans="1:10" ht="12.5" x14ac:dyDescent="0.25">
      <c r="A90" s="1">
        <v>89</v>
      </c>
      <c r="B90" s="2">
        <v>40547</v>
      </c>
      <c r="C90" s="1">
        <v>1</v>
      </c>
      <c r="D90" s="1">
        <v>0</v>
      </c>
      <c r="E90" s="1">
        <v>1</v>
      </c>
      <c r="F90" s="1">
        <v>20</v>
      </c>
      <c r="G90" s="1" t="b">
        <v>0</v>
      </c>
      <c r="H90" s="1">
        <v>2</v>
      </c>
      <c r="I90" s="1">
        <v>1</v>
      </c>
      <c r="J90" s="1">
        <v>0.24</v>
      </c>
    </row>
    <row r="91" spans="1:10" ht="12.5" x14ac:dyDescent="0.25">
      <c r="A91" s="1">
        <v>90</v>
      </c>
      <c r="B91" s="2">
        <v>40547</v>
      </c>
      <c r="C91" s="1">
        <v>1</v>
      </c>
      <c r="D91" s="1">
        <v>0</v>
      </c>
      <c r="E91" s="1">
        <v>1</v>
      </c>
      <c r="F91" s="1">
        <v>21</v>
      </c>
      <c r="G91" s="1" t="b">
        <v>0</v>
      </c>
      <c r="H91" s="1">
        <v>2</v>
      </c>
      <c r="I91" s="1">
        <v>1</v>
      </c>
      <c r="J91" s="1">
        <v>0.22</v>
      </c>
    </row>
    <row r="92" spans="1:10" ht="12.5" x14ac:dyDescent="0.25">
      <c r="A92" s="1">
        <v>91</v>
      </c>
      <c r="B92" s="2">
        <v>40547</v>
      </c>
      <c r="C92" s="1">
        <v>1</v>
      </c>
      <c r="D92" s="1">
        <v>0</v>
      </c>
      <c r="E92" s="1">
        <v>1</v>
      </c>
      <c r="F92" s="1">
        <v>22</v>
      </c>
      <c r="G92" s="1" t="b">
        <v>0</v>
      </c>
      <c r="H92" s="1">
        <v>2</v>
      </c>
      <c r="I92" s="1">
        <v>1</v>
      </c>
      <c r="J92" s="1">
        <v>0.22</v>
      </c>
    </row>
    <row r="93" spans="1:10" ht="12.5" x14ac:dyDescent="0.25">
      <c r="A93" s="1">
        <v>92</v>
      </c>
      <c r="B93" s="2">
        <v>40547</v>
      </c>
      <c r="C93" s="1">
        <v>1</v>
      </c>
      <c r="D93" s="1">
        <v>0</v>
      </c>
      <c r="E93" s="1">
        <v>1</v>
      </c>
      <c r="F93" s="1">
        <v>23</v>
      </c>
      <c r="G93" s="1" t="b">
        <v>0</v>
      </c>
      <c r="H93" s="1">
        <v>2</v>
      </c>
      <c r="I93" s="1">
        <v>1</v>
      </c>
      <c r="J93" s="1">
        <v>0.2</v>
      </c>
    </row>
    <row r="94" spans="1:10" ht="12.5" x14ac:dyDescent="0.25">
      <c r="A94" s="1">
        <v>93</v>
      </c>
      <c r="B94" s="2">
        <v>40548</v>
      </c>
      <c r="C94" s="1">
        <v>1</v>
      </c>
      <c r="D94" s="1">
        <v>0</v>
      </c>
      <c r="E94" s="1">
        <v>1</v>
      </c>
      <c r="F94" s="1">
        <v>0</v>
      </c>
      <c r="G94" s="1" t="b">
        <v>0</v>
      </c>
      <c r="H94" s="1">
        <v>3</v>
      </c>
      <c r="I94" s="1">
        <v>1</v>
      </c>
      <c r="J94" s="1">
        <v>0.2</v>
      </c>
    </row>
    <row r="95" spans="1:10" ht="12.5" x14ac:dyDescent="0.25">
      <c r="A95" s="1">
        <v>94</v>
      </c>
      <c r="B95" s="2">
        <v>40548</v>
      </c>
      <c r="C95" s="1">
        <v>1</v>
      </c>
      <c r="D95" s="1">
        <v>0</v>
      </c>
      <c r="E95" s="1">
        <v>1</v>
      </c>
      <c r="F95" s="1">
        <v>1</v>
      </c>
      <c r="G95" s="1" t="b">
        <v>0</v>
      </c>
      <c r="H95" s="1">
        <v>3</v>
      </c>
      <c r="I95" s="1">
        <v>1</v>
      </c>
      <c r="J95" s="1">
        <v>0.16</v>
      </c>
    </row>
    <row r="96" spans="1:10" ht="12.5" x14ac:dyDescent="0.25">
      <c r="A96" s="1">
        <v>95</v>
      </c>
      <c r="B96" s="2">
        <v>40548</v>
      </c>
      <c r="C96" s="1">
        <v>1</v>
      </c>
      <c r="D96" s="1">
        <v>0</v>
      </c>
      <c r="E96" s="1">
        <v>1</v>
      </c>
      <c r="F96" s="1">
        <v>2</v>
      </c>
      <c r="G96" s="1" t="b">
        <v>0</v>
      </c>
      <c r="H96" s="1">
        <v>3</v>
      </c>
      <c r="I96" s="1">
        <v>1</v>
      </c>
      <c r="J96" s="1">
        <v>0.16</v>
      </c>
    </row>
    <row r="97" spans="1:10" ht="12.5" x14ac:dyDescent="0.25">
      <c r="A97" s="1">
        <v>96</v>
      </c>
      <c r="B97" s="2">
        <v>40548</v>
      </c>
      <c r="C97" s="1">
        <v>1</v>
      </c>
      <c r="D97" s="1">
        <v>0</v>
      </c>
      <c r="E97" s="1">
        <v>1</v>
      </c>
      <c r="F97" s="1">
        <v>4</v>
      </c>
      <c r="G97" s="1" t="b">
        <v>0</v>
      </c>
      <c r="H97" s="1">
        <v>3</v>
      </c>
      <c r="I97" s="1">
        <v>1</v>
      </c>
      <c r="J97" s="1">
        <v>0.24</v>
      </c>
    </row>
    <row r="98" spans="1:10" ht="12.5" x14ac:dyDescent="0.25">
      <c r="A98" s="1">
        <v>97</v>
      </c>
      <c r="B98" s="2">
        <v>40548</v>
      </c>
      <c r="C98" s="1">
        <v>1</v>
      </c>
      <c r="D98" s="1">
        <v>0</v>
      </c>
      <c r="E98" s="1">
        <v>1</v>
      </c>
      <c r="F98" s="1">
        <v>5</v>
      </c>
      <c r="G98" s="1" t="b">
        <v>0</v>
      </c>
      <c r="H98" s="1">
        <v>3</v>
      </c>
      <c r="I98" s="1">
        <v>1</v>
      </c>
      <c r="J98" s="1">
        <v>0.22</v>
      </c>
    </row>
    <row r="99" spans="1:10" ht="12.5" x14ac:dyDescent="0.25">
      <c r="A99" s="1">
        <v>98</v>
      </c>
      <c r="B99" s="2">
        <v>40548</v>
      </c>
      <c r="C99" s="1">
        <v>1</v>
      </c>
      <c r="D99" s="1">
        <v>0</v>
      </c>
      <c r="E99" s="1">
        <v>1</v>
      </c>
      <c r="F99" s="1">
        <v>6</v>
      </c>
      <c r="G99" s="1" t="b">
        <v>0</v>
      </c>
      <c r="H99" s="1">
        <v>3</v>
      </c>
      <c r="I99" s="1">
        <v>1</v>
      </c>
      <c r="J99" s="1">
        <v>0.2</v>
      </c>
    </row>
    <row r="100" spans="1:10" ht="12.5" x14ac:dyDescent="0.25">
      <c r="A100" s="1">
        <v>99</v>
      </c>
      <c r="B100" s="2">
        <v>40548</v>
      </c>
      <c r="C100" s="1">
        <v>1</v>
      </c>
      <c r="D100" s="1">
        <v>0</v>
      </c>
      <c r="E100" s="1">
        <v>1</v>
      </c>
      <c r="F100" s="1">
        <v>7</v>
      </c>
      <c r="G100" s="1" t="b">
        <v>0</v>
      </c>
      <c r="H100" s="1">
        <v>3</v>
      </c>
      <c r="I100" s="1">
        <v>1</v>
      </c>
      <c r="J100" s="1">
        <v>0.18</v>
      </c>
    </row>
    <row r="101" spans="1:10" ht="12.5" x14ac:dyDescent="0.25">
      <c r="A101" s="1">
        <v>100</v>
      </c>
      <c r="B101" s="2">
        <v>40548</v>
      </c>
      <c r="C101" s="1">
        <v>1</v>
      </c>
      <c r="D101" s="1">
        <v>0</v>
      </c>
      <c r="E101" s="1">
        <v>1</v>
      </c>
      <c r="F101" s="1">
        <v>8</v>
      </c>
      <c r="G101" s="1" t="b">
        <v>0</v>
      </c>
      <c r="H101" s="1">
        <v>3</v>
      </c>
      <c r="I101" s="1">
        <v>1</v>
      </c>
      <c r="J101" s="1">
        <v>0.2</v>
      </c>
    </row>
    <row r="102" spans="1:10" ht="12.5" x14ac:dyDescent="0.25">
      <c r="A102" s="1">
        <v>101</v>
      </c>
      <c r="B102" s="2">
        <v>40548</v>
      </c>
      <c r="C102" s="1">
        <v>1</v>
      </c>
      <c r="D102" s="1">
        <v>0</v>
      </c>
      <c r="E102" s="1">
        <v>1</v>
      </c>
      <c r="F102" s="1">
        <v>9</v>
      </c>
      <c r="G102" s="1" t="b">
        <v>0</v>
      </c>
      <c r="H102" s="1">
        <v>3</v>
      </c>
      <c r="I102" s="1">
        <v>1</v>
      </c>
      <c r="J102" s="1">
        <v>0.22</v>
      </c>
    </row>
    <row r="103" spans="1:10" ht="12.5" x14ac:dyDescent="0.25">
      <c r="A103" s="1">
        <v>102</v>
      </c>
      <c r="B103" s="2">
        <v>40548</v>
      </c>
      <c r="C103" s="1">
        <v>1</v>
      </c>
      <c r="D103" s="1">
        <v>0</v>
      </c>
      <c r="E103" s="1">
        <v>1</v>
      </c>
      <c r="F103" s="1">
        <v>10</v>
      </c>
      <c r="G103" s="1" t="b">
        <v>0</v>
      </c>
      <c r="H103" s="1">
        <v>3</v>
      </c>
      <c r="I103" s="1">
        <v>1</v>
      </c>
      <c r="J103" s="1">
        <v>0.22</v>
      </c>
    </row>
    <row r="104" spans="1:10" ht="12.5" x14ac:dyDescent="0.25">
      <c r="A104" s="1">
        <v>103</v>
      </c>
      <c r="B104" s="2">
        <v>40548</v>
      </c>
      <c r="C104" s="1">
        <v>1</v>
      </c>
      <c r="D104" s="1">
        <v>0</v>
      </c>
      <c r="E104" s="1">
        <v>1</v>
      </c>
      <c r="F104" s="1">
        <v>11</v>
      </c>
      <c r="G104" s="1" t="b">
        <v>0</v>
      </c>
      <c r="H104" s="1">
        <v>3</v>
      </c>
      <c r="I104" s="1">
        <v>1</v>
      </c>
      <c r="J104" s="1">
        <v>0.26</v>
      </c>
    </row>
    <row r="105" spans="1:10" ht="12.5" x14ac:dyDescent="0.25">
      <c r="A105" s="1">
        <v>104</v>
      </c>
      <c r="B105" s="2">
        <v>40548</v>
      </c>
      <c r="C105" s="1">
        <v>1</v>
      </c>
      <c r="D105" s="1">
        <v>0</v>
      </c>
      <c r="E105" s="1">
        <v>1</v>
      </c>
      <c r="F105" s="1">
        <v>12</v>
      </c>
      <c r="G105" s="1" t="b">
        <v>0</v>
      </c>
      <c r="H105" s="1">
        <v>3</v>
      </c>
      <c r="I105" s="1">
        <v>1</v>
      </c>
      <c r="J105" s="1">
        <v>0.26</v>
      </c>
    </row>
    <row r="106" spans="1:10" ht="12.5" x14ac:dyDescent="0.25">
      <c r="A106" s="1">
        <v>105</v>
      </c>
      <c r="B106" s="2">
        <v>40548</v>
      </c>
      <c r="C106" s="1">
        <v>1</v>
      </c>
      <c r="D106" s="1">
        <v>0</v>
      </c>
      <c r="E106" s="1">
        <v>1</v>
      </c>
      <c r="F106" s="1">
        <v>13</v>
      </c>
      <c r="G106" s="1" t="b">
        <v>0</v>
      </c>
      <c r="H106" s="1">
        <v>3</v>
      </c>
      <c r="I106" s="1">
        <v>1</v>
      </c>
      <c r="J106" s="1">
        <v>0.28000000000000003</v>
      </c>
    </row>
    <row r="107" spans="1:10" ht="12.5" x14ac:dyDescent="0.25">
      <c r="A107" s="1">
        <v>106</v>
      </c>
      <c r="B107" s="2">
        <v>40548</v>
      </c>
      <c r="C107" s="1">
        <v>1</v>
      </c>
      <c r="D107" s="1">
        <v>0</v>
      </c>
      <c r="E107" s="1">
        <v>1</v>
      </c>
      <c r="F107" s="1">
        <v>14</v>
      </c>
      <c r="G107" s="1" t="b">
        <v>0</v>
      </c>
      <c r="H107" s="1">
        <v>3</v>
      </c>
      <c r="I107" s="1">
        <v>1</v>
      </c>
      <c r="J107" s="1">
        <v>0.3</v>
      </c>
    </row>
    <row r="108" spans="1:10" ht="12.5" x14ac:dyDescent="0.25">
      <c r="A108" s="1">
        <v>107</v>
      </c>
      <c r="B108" s="2">
        <v>40548</v>
      </c>
      <c r="C108" s="1">
        <v>1</v>
      </c>
      <c r="D108" s="1">
        <v>0</v>
      </c>
      <c r="E108" s="1">
        <v>1</v>
      </c>
      <c r="F108" s="1">
        <v>15</v>
      </c>
      <c r="G108" s="1" t="b">
        <v>0</v>
      </c>
      <c r="H108" s="1">
        <v>3</v>
      </c>
      <c r="I108" s="1">
        <v>1</v>
      </c>
      <c r="J108" s="1">
        <v>0.3</v>
      </c>
    </row>
    <row r="109" spans="1:10" ht="12.5" x14ac:dyDescent="0.25">
      <c r="A109" s="1">
        <v>108</v>
      </c>
      <c r="B109" s="2">
        <v>40548</v>
      </c>
      <c r="C109" s="1">
        <v>1</v>
      </c>
      <c r="D109" s="1">
        <v>0</v>
      </c>
      <c r="E109" s="1">
        <v>1</v>
      </c>
      <c r="F109" s="1">
        <v>16</v>
      </c>
      <c r="G109" s="1" t="b">
        <v>0</v>
      </c>
      <c r="H109" s="1">
        <v>3</v>
      </c>
      <c r="I109" s="1">
        <v>1</v>
      </c>
      <c r="J109" s="1">
        <v>0.3</v>
      </c>
    </row>
    <row r="110" spans="1:10" ht="12.5" x14ac:dyDescent="0.25">
      <c r="A110" s="1">
        <v>109</v>
      </c>
      <c r="B110" s="2">
        <v>40548</v>
      </c>
      <c r="C110" s="1">
        <v>1</v>
      </c>
      <c r="D110" s="1">
        <v>0</v>
      </c>
      <c r="E110" s="1">
        <v>1</v>
      </c>
      <c r="F110" s="1">
        <v>17</v>
      </c>
      <c r="G110" s="1" t="b">
        <v>0</v>
      </c>
      <c r="H110" s="1">
        <v>3</v>
      </c>
      <c r="I110" s="1">
        <v>1</v>
      </c>
      <c r="J110" s="1">
        <v>0.24</v>
      </c>
    </row>
    <row r="111" spans="1:10" ht="12.5" x14ac:dyDescent="0.25">
      <c r="A111" s="1">
        <v>110</v>
      </c>
      <c r="B111" s="2">
        <v>40548</v>
      </c>
      <c r="C111" s="1">
        <v>1</v>
      </c>
      <c r="D111" s="1">
        <v>0</v>
      </c>
      <c r="E111" s="1">
        <v>1</v>
      </c>
      <c r="F111" s="1">
        <v>18</v>
      </c>
      <c r="G111" s="1" t="b">
        <v>0</v>
      </c>
      <c r="H111" s="1">
        <v>3</v>
      </c>
      <c r="I111" s="1">
        <v>1</v>
      </c>
      <c r="J111" s="1">
        <v>0.24</v>
      </c>
    </row>
    <row r="112" spans="1:10" ht="12.5" x14ac:dyDescent="0.25">
      <c r="A112" s="1">
        <v>111</v>
      </c>
      <c r="B112" s="2">
        <v>40548</v>
      </c>
      <c r="C112" s="1">
        <v>1</v>
      </c>
      <c r="D112" s="1">
        <v>0</v>
      </c>
      <c r="E112" s="1">
        <v>1</v>
      </c>
      <c r="F112" s="1">
        <v>19</v>
      </c>
      <c r="G112" s="1" t="b">
        <v>0</v>
      </c>
      <c r="H112" s="1">
        <v>3</v>
      </c>
      <c r="I112" s="1">
        <v>1</v>
      </c>
      <c r="J112" s="1">
        <v>0.24</v>
      </c>
    </row>
    <row r="113" spans="1:10" ht="12.5" x14ac:dyDescent="0.25">
      <c r="A113" s="1">
        <v>112</v>
      </c>
      <c r="B113" s="2">
        <v>40548</v>
      </c>
      <c r="C113" s="1">
        <v>1</v>
      </c>
      <c r="D113" s="1">
        <v>0</v>
      </c>
      <c r="E113" s="1">
        <v>1</v>
      </c>
      <c r="F113" s="1">
        <v>20</v>
      </c>
      <c r="G113" s="1" t="b">
        <v>0</v>
      </c>
      <c r="H113" s="1">
        <v>3</v>
      </c>
      <c r="I113" s="1">
        <v>1</v>
      </c>
      <c r="J113" s="1">
        <v>0.22</v>
      </c>
    </row>
    <row r="114" spans="1:10" ht="12.5" x14ac:dyDescent="0.25">
      <c r="A114" s="1">
        <v>113</v>
      </c>
      <c r="B114" s="2">
        <v>40548</v>
      </c>
      <c r="C114" s="1">
        <v>1</v>
      </c>
      <c r="D114" s="1">
        <v>0</v>
      </c>
      <c r="E114" s="1">
        <v>1</v>
      </c>
      <c r="F114" s="1">
        <v>21</v>
      </c>
      <c r="G114" s="1" t="b">
        <v>0</v>
      </c>
      <c r="H114" s="1">
        <v>3</v>
      </c>
      <c r="I114" s="1">
        <v>1</v>
      </c>
      <c r="J114" s="1">
        <v>0.2</v>
      </c>
    </row>
    <row r="115" spans="1:10" ht="12.5" x14ac:dyDescent="0.25">
      <c r="A115" s="1">
        <v>114</v>
      </c>
      <c r="B115" s="2">
        <v>40548</v>
      </c>
      <c r="C115" s="1">
        <v>1</v>
      </c>
      <c r="D115" s="1">
        <v>0</v>
      </c>
      <c r="E115" s="1">
        <v>1</v>
      </c>
      <c r="F115" s="1">
        <v>22</v>
      </c>
      <c r="G115" s="1" t="b">
        <v>0</v>
      </c>
      <c r="H115" s="1">
        <v>3</v>
      </c>
      <c r="I115" s="1">
        <v>1</v>
      </c>
      <c r="J115" s="1">
        <v>0.18</v>
      </c>
    </row>
    <row r="116" spans="1:10" ht="12.5" x14ac:dyDescent="0.25">
      <c r="A116" s="1">
        <v>115</v>
      </c>
      <c r="B116" s="2">
        <v>40548</v>
      </c>
      <c r="C116" s="1">
        <v>1</v>
      </c>
      <c r="D116" s="1">
        <v>0</v>
      </c>
      <c r="E116" s="1">
        <v>1</v>
      </c>
      <c r="F116" s="1">
        <v>23</v>
      </c>
      <c r="G116" s="1" t="b">
        <v>0</v>
      </c>
      <c r="H116" s="1">
        <v>3</v>
      </c>
      <c r="I116" s="1">
        <v>1</v>
      </c>
      <c r="J116" s="1">
        <v>0.2</v>
      </c>
    </row>
    <row r="117" spans="1:10" ht="12.5" x14ac:dyDescent="0.25">
      <c r="A117" s="1">
        <v>116</v>
      </c>
      <c r="B117" s="2">
        <v>40549</v>
      </c>
      <c r="C117" s="1">
        <v>1</v>
      </c>
      <c r="D117" s="1">
        <v>0</v>
      </c>
      <c r="E117" s="1">
        <v>1</v>
      </c>
      <c r="F117" s="1">
        <v>0</v>
      </c>
      <c r="G117" s="1" t="b">
        <v>0</v>
      </c>
      <c r="H117" s="1">
        <v>4</v>
      </c>
      <c r="I117" s="1">
        <v>1</v>
      </c>
      <c r="J117" s="1">
        <v>0.18</v>
      </c>
    </row>
    <row r="118" spans="1:10" ht="12.5" x14ac:dyDescent="0.25">
      <c r="A118" s="1">
        <v>117</v>
      </c>
      <c r="B118" s="2">
        <v>40549</v>
      </c>
      <c r="C118" s="1">
        <v>1</v>
      </c>
      <c r="D118" s="1">
        <v>0</v>
      </c>
      <c r="E118" s="1">
        <v>1</v>
      </c>
      <c r="F118" s="1">
        <v>1</v>
      </c>
      <c r="G118" s="1" t="b">
        <v>0</v>
      </c>
      <c r="H118" s="1">
        <v>4</v>
      </c>
      <c r="I118" s="1">
        <v>1</v>
      </c>
      <c r="J118" s="1">
        <v>0.16</v>
      </c>
    </row>
    <row r="119" spans="1:10" ht="12.5" x14ac:dyDescent="0.25">
      <c r="A119" s="1">
        <v>118</v>
      </c>
      <c r="B119" s="2">
        <v>40549</v>
      </c>
      <c r="C119" s="1">
        <v>1</v>
      </c>
      <c r="D119" s="1">
        <v>0</v>
      </c>
      <c r="E119" s="1">
        <v>1</v>
      </c>
      <c r="F119" s="1">
        <v>2</v>
      </c>
      <c r="G119" s="1" t="b">
        <v>0</v>
      </c>
      <c r="H119" s="1">
        <v>4</v>
      </c>
      <c r="I119" s="1">
        <v>1</v>
      </c>
      <c r="J119" s="1">
        <v>0.16</v>
      </c>
    </row>
    <row r="120" spans="1:10" ht="12.5" x14ac:dyDescent="0.25">
      <c r="A120" s="1">
        <v>119</v>
      </c>
      <c r="B120" s="2">
        <v>40549</v>
      </c>
      <c r="C120" s="1">
        <v>1</v>
      </c>
      <c r="D120" s="1">
        <v>0</v>
      </c>
      <c r="E120" s="1">
        <v>1</v>
      </c>
      <c r="F120" s="1">
        <v>4</v>
      </c>
      <c r="G120" s="1" t="b">
        <v>0</v>
      </c>
      <c r="H120" s="1">
        <v>4</v>
      </c>
      <c r="I120" s="1">
        <v>2</v>
      </c>
      <c r="J120" s="1">
        <v>0.16</v>
      </c>
    </row>
    <row r="121" spans="1:10" ht="12.5" x14ac:dyDescent="0.25">
      <c r="A121" s="1">
        <v>120</v>
      </c>
      <c r="B121" s="2">
        <v>40549</v>
      </c>
      <c r="C121" s="1">
        <v>1</v>
      </c>
      <c r="D121" s="1">
        <v>0</v>
      </c>
      <c r="E121" s="1">
        <v>1</v>
      </c>
      <c r="F121" s="1">
        <v>5</v>
      </c>
      <c r="G121" s="1" t="b">
        <v>0</v>
      </c>
      <c r="H121" s="1">
        <v>4</v>
      </c>
      <c r="I121" s="1">
        <v>2</v>
      </c>
      <c r="J121" s="1">
        <v>0.14000000000000001</v>
      </c>
    </row>
    <row r="122" spans="1:10" ht="12.5" x14ac:dyDescent="0.25">
      <c r="A122" s="1">
        <v>121</v>
      </c>
      <c r="B122" s="2">
        <v>40549</v>
      </c>
      <c r="C122" s="1">
        <v>1</v>
      </c>
      <c r="D122" s="1">
        <v>0</v>
      </c>
      <c r="E122" s="1">
        <v>1</v>
      </c>
      <c r="F122" s="1">
        <v>6</v>
      </c>
      <c r="G122" s="1" t="b">
        <v>0</v>
      </c>
      <c r="H122" s="1">
        <v>4</v>
      </c>
      <c r="I122" s="1">
        <v>2</v>
      </c>
      <c r="J122" s="1">
        <v>0.14000000000000001</v>
      </c>
    </row>
    <row r="123" spans="1:10" ht="12.5" x14ac:dyDescent="0.25">
      <c r="A123" s="1">
        <v>122</v>
      </c>
      <c r="B123" s="2">
        <v>40549</v>
      </c>
      <c r="C123" s="1">
        <v>1</v>
      </c>
      <c r="D123" s="1">
        <v>0</v>
      </c>
      <c r="E123" s="1">
        <v>1</v>
      </c>
      <c r="F123" s="1">
        <v>7</v>
      </c>
      <c r="G123" s="1" t="b">
        <v>0</v>
      </c>
      <c r="H123" s="1">
        <v>4</v>
      </c>
      <c r="I123" s="1">
        <v>2</v>
      </c>
      <c r="J123" s="1">
        <v>0.16</v>
      </c>
    </row>
    <row r="124" spans="1:10" ht="12.5" x14ac:dyDescent="0.25">
      <c r="A124" s="1">
        <v>123</v>
      </c>
      <c r="B124" s="2">
        <v>40549</v>
      </c>
      <c r="C124" s="1">
        <v>1</v>
      </c>
      <c r="D124" s="1">
        <v>0</v>
      </c>
      <c r="E124" s="1">
        <v>1</v>
      </c>
      <c r="F124" s="1">
        <v>8</v>
      </c>
      <c r="G124" s="1" t="b">
        <v>0</v>
      </c>
      <c r="H124" s="1">
        <v>4</v>
      </c>
      <c r="I124" s="1">
        <v>1</v>
      </c>
      <c r="J124" s="1">
        <v>0.16</v>
      </c>
    </row>
    <row r="125" spans="1:10" ht="12.5" x14ac:dyDescent="0.25">
      <c r="A125" s="1">
        <v>124</v>
      </c>
      <c r="B125" s="2">
        <v>40549</v>
      </c>
      <c r="C125" s="1">
        <v>1</v>
      </c>
      <c r="D125" s="1">
        <v>0</v>
      </c>
      <c r="E125" s="1">
        <v>1</v>
      </c>
      <c r="F125" s="1">
        <v>9</v>
      </c>
      <c r="G125" s="1" t="b">
        <v>0</v>
      </c>
      <c r="H125" s="1">
        <v>4</v>
      </c>
      <c r="I125" s="1">
        <v>2</v>
      </c>
      <c r="J125" s="1">
        <v>0.18</v>
      </c>
    </row>
    <row r="126" spans="1:10" ht="12.5" x14ac:dyDescent="0.25">
      <c r="A126" s="1">
        <v>125</v>
      </c>
      <c r="B126" s="2">
        <v>40549</v>
      </c>
      <c r="C126" s="1">
        <v>1</v>
      </c>
      <c r="D126" s="1">
        <v>0</v>
      </c>
      <c r="E126" s="1">
        <v>1</v>
      </c>
      <c r="F126" s="1">
        <v>10</v>
      </c>
      <c r="G126" s="1" t="b">
        <v>0</v>
      </c>
      <c r="H126" s="1">
        <v>4</v>
      </c>
      <c r="I126" s="1">
        <v>1</v>
      </c>
      <c r="J126" s="1">
        <v>0.2</v>
      </c>
    </row>
    <row r="127" spans="1:10" ht="12.5" x14ac:dyDescent="0.25">
      <c r="A127" s="1">
        <v>126</v>
      </c>
      <c r="B127" s="2">
        <v>40549</v>
      </c>
      <c r="C127" s="1">
        <v>1</v>
      </c>
      <c r="D127" s="1">
        <v>0</v>
      </c>
      <c r="E127" s="1">
        <v>1</v>
      </c>
      <c r="F127" s="1">
        <v>11</v>
      </c>
      <c r="G127" s="1" t="b">
        <v>0</v>
      </c>
      <c r="H127" s="1">
        <v>4</v>
      </c>
      <c r="I127" s="1">
        <v>1</v>
      </c>
      <c r="J127" s="1">
        <v>0.22</v>
      </c>
    </row>
    <row r="128" spans="1:10" ht="12.5" x14ac:dyDescent="0.25">
      <c r="A128" s="1">
        <v>127</v>
      </c>
      <c r="B128" s="2">
        <v>40549</v>
      </c>
      <c r="C128" s="1">
        <v>1</v>
      </c>
      <c r="D128" s="1">
        <v>0</v>
      </c>
      <c r="E128" s="1">
        <v>1</v>
      </c>
      <c r="F128" s="1">
        <v>12</v>
      </c>
      <c r="G128" s="1" t="b">
        <v>0</v>
      </c>
      <c r="H128" s="1">
        <v>4</v>
      </c>
      <c r="I128" s="1">
        <v>1</v>
      </c>
      <c r="J128" s="1">
        <v>0.26</v>
      </c>
    </row>
    <row r="129" spans="1:10" ht="12.5" x14ac:dyDescent="0.25">
      <c r="A129" s="1">
        <v>128</v>
      </c>
      <c r="B129" s="2">
        <v>40549</v>
      </c>
      <c r="C129" s="1">
        <v>1</v>
      </c>
      <c r="D129" s="1">
        <v>0</v>
      </c>
      <c r="E129" s="1">
        <v>1</v>
      </c>
      <c r="F129" s="1">
        <v>13</v>
      </c>
      <c r="G129" s="1" t="b">
        <v>0</v>
      </c>
      <c r="H129" s="1">
        <v>4</v>
      </c>
      <c r="I129" s="1">
        <v>1</v>
      </c>
      <c r="J129" s="1">
        <v>0.26</v>
      </c>
    </row>
    <row r="130" spans="1:10" ht="12.5" x14ac:dyDescent="0.25">
      <c r="A130" s="1">
        <v>129</v>
      </c>
      <c r="B130" s="2">
        <v>40549</v>
      </c>
      <c r="C130" s="1">
        <v>1</v>
      </c>
      <c r="D130" s="1">
        <v>0</v>
      </c>
      <c r="E130" s="1">
        <v>1</v>
      </c>
      <c r="F130" s="1">
        <v>14</v>
      </c>
      <c r="G130" s="1" t="b">
        <v>0</v>
      </c>
      <c r="H130" s="1">
        <v>4</v>
      </c>
      <c r="I130" s="1">
        <v>1</v>
      </c>
      <c r="J130" s="1">
        <v>0.28000000000000003</v>
      </c>
    </row>
    <row r="131" spans="1:10" ht="12.5" x14ac:dyDescent="0.25">
      <c r="A131" s="1">
        <v>130</v>
      </c>
      <c r="B131" s="2">
        <v>40549</v>
      </c>
      <c r="C131" s="1">
        <v>1</v>
      </c>
      <c r="D131" s="1">
        <v>0</v>
      </c>
      <c r="E131" s="1">
        <v>1</v>
      </c>
      <c r="F131" s="1">
        <v>15</v>
      </c>
      <c r="G131" s="1" t="b">
        <v>0</v>
      </c>
      <c r="H131" s="1">
        <v>4</v>
      </c>
      <c r="I131" s="1">
        <v>1</v>
      </c>
      <c r="J131" s="1">
        <v>0.28000000000000003</v>
      </c>
    </row>
    <row r="132" spans="1:10" ht="12.5" x14ac:dyDescent="0.25">
      <c r="A132" s="1">
        <v>131</v>
      </c>
      <c r="B132" s="2">
        <v>40549</v>
      </c>
      <c r="C132" s="1">
        <v>1</v>
      </c>
      <c r="D132" s="1">
        <v>0</v>
      </c>
      <c r="E132" s="1">
        <v>1</v>
      </c>
      <c r="F132" s="1">
        <v>16</v>
      </c>
      <c r="G132" s="1" t="b">
        <v>0</v>
      </c>
      <c r="H132" s="1">
        <v>4</v>
      </c>
      <c r="I132" s="1">
        <v>1</v>
      </c>
      <c r="J132" s="1">
        <v>0.26</v>
      </c>
    </row>
    <row r="133" spans="1:10" ht="12.5" x14ac:dyDescent="0.25">
      <c r="A133" s="1">
        <v>132</v>
      </c>
      <c r="B133" s="2">
        <v>40549</v>
      </c>
      <c r="C133" s="1">
        <v>1</v>
      </c>
      <c r="D133" s="1">
        <v>0</v>
      </c>
      <c r="E133" s="1">
        <v>1</v>
      </c>
      <c r="F133" s="1">
        <v>17</v>
      </c>
      <c r="G133" s="1" t="b">
        <v>0</v>
      </c>
      <c r="H133" s="1">
        <v>4</v>
      </c>
      <c r="I133" s="1">
        <v>1</v>
      </c>
      <c r="J133" s="1">
        <v>0.22</v>
      </c>
    </row>
    <row r="134" spans="1:10" ht="12.5" x14ac:dyDescent="0.25">
      <c r="A134" s="1">
        <v>133</v>
      </c>
      <c r="B134" s="2">
        <v>40549</v>
      </c>
      <c r="C134" s="1">
        <v>1</v>
      </c>
      <c r="D134" s="1">
        <v>0</v>
      </c>
      <c r="E134" s="1">
        <v>1</v>
      </c>
      <c r="F134" s="1">
        <v>18</v>
      </c>
      <c r="G134" s="1" t="b">
        <v>0</v>
      </c>
      <c r="H134" s="1">
        <v>4</v>
      </c>
      <c r="I134" s="1">
        <v>1</v>
      </c>
      <c r="J134" s="1">
        <v>0.22</v>
      </c>
    </row>
    <row r="135" spans="1:10" ht="12.5" x14ac:dyDescent="0.25">
      <c r="A135" s="1">
        <v>134</v>
      </c>
      <c r="B135" s="2">
        <v>40549</v>
      </c>
      <c r="C135" s="1">
        <v>1</v>
      </c>
      <c r="D135" s="1">
        <v>0</v>
      </c>
      <c r="E135" s="1">
        <v>1</v>
      </c>
      <c r="F135" s="1">
        <v>19</v>
      </c>
      <c r="G135" s="1" t="b">
        <v>0</v>
      </c>
      <c r="H135" s="1">
        <v>4</v>
      </c>
      <c r="I135" s="1">
        <v>1</v>
      </c>
      <c r="J135" s="1">
        <v>0.22</v>
      </c>
    </row>
    <row r="136" spans="1:10" ht="12.5" x14ac:dyDescent="0.25">
      <c r="A136" s="1">
        <v>135</v>
      </c>
      <c r="B136" s="2">
        <v>40549</v>
      </c>
      <c r="C136" s="1">
        <v>1</v>
      </c>
      <c r="D136" s="1">
        <v>0</v>
      </c>
      <c r="E136" s="1">
        <v>1</v>
      </c>
      <c r="F136" s="1">
        <v>20</v>
      </c>
      <c r="G136" s="1" t="b">
        <v>0</v>
      </c>
      <c r="H136" s="1">
        <v>4</v>
      </c>
      <c r="I136" s="1">
        <v>1</v>
      </c>
      <c r="J136" s="1">
        <v>0.2</v>
      </c>
    </row>
    <row r="137" spans="1:10" ht="12.5" x14ac:dyDescent="0.25">
      <c r="A137" s="1">
        <v>136</v>
      </c>
      <c r="B137" s="2">
        <v>40549</v>
      </c>
      <c r="C137" s="1">
        <v>1</v>
      </c>
      <c r="D137" s="1">
        <v>0</v>
      </c>
      <c r="E137" s="1">
        <v>1</v>
      </c>
      <c r="F137" s="1">
        <v>21</v>
      </c>
      <c r="G137" s="1" t="b">
        <v>0</v>
      </c>
      <c r="H137" s="1">
        <v>4</v>
      </c>
      <c r="I137" s="1">
        <v>2</v>
      </c>
      <c r="J137" s="1">
        <v>0.22</v>
      </c>
    </row>
    <row r="138" spans="1:10" ht="12.5" x14ac:dyDescent="0.25">
      <c r="A138" s="1">
        <v>137</v>
      </c>
      <c r="B138" s="2">
        <v>40549</v>
      </c>
      <c r="C138" s="1">
        <v>1</v>
      </c>
      <c r="D138" s="1">
        <v>0</v>
      </c>
      <c r="E138" s="1">
        <v>1</v>
      </c>
      <c r="F138" s="1">
        <v>22</v>
      </c>
      <c r="G138" s="1" t="b">
        <v>0</v>
      </c>
      <c r="H138" s="1">
        <v>4</v>
      </c>
      <c r="I138" s="1">
        <v>2</v>
      </c>
      <c r="J138" s="1">
        <v>0.22</v>
      </c>
    </row>
    <row r="139" spans="1:10" ht="12.5" x14ac:dyDescent="0.25">
      <c r="A139" s="1">
        <v>138</v>
      </c>
      <c r="B139" s="2">
        <v>40549</v>
      </c>
      <c r="C139" s="1">
        <v>1</v>
      </c>
      <c r="D139" s="1">
        <v>0</v>
      </c>
      <c r="E139" s="1">
        <v>1</v>
      </c>
      <c r="F139" s="1">
        <v>23</v>
      </c>
      <c r="G139" s="1" t="b">
        <v>0</v>
      </c>
      <c r="H139" s="1">
        <v>4</v>
      </c>
      <c r="I139" s="1">
        <v>2</v>
      </c>
      <c r="J139" s="1">
        <v>0.2</v>
      </c>
    </row>
    <row r="140" spans="1:10" ht="12.5" x14ac:dyDescent="0.25">
      <c r="A140" s="1">
        <v>139</v>
      </c>
      <c r="B140" s="2">
        <v>40550</v>
      </c>
      <c r="C140" s="1">
        <v>1</v>
      </c>
      <c r="D140" s="1">
        <v>0</v>
      </c>
      <c r="E140" s="1">
        <v>1</v>
      </c>
      <c r="F140" s="1">
        <v>0</v>
      </c>
      <c r="G140" s="1" t="b">
        <v>0</v>
      </c>
      <c r="H140" s="1">
        <v>5</v>
      </c>
      <c r="I140" s="1">
        <v>2</v>
      </c>
      <c r="J140" s="1">
        <v>0.2</v>
      </c>
    </row>
    <row r="141" spans="1:10" ht="12.5" x14ac:dyDescent="0.25">
      <c r="A141" s="1">
        <v>140</v>
      </c>
      <c r="B141" s="2">
        <v>40550</v>
      </c>
      <c r="C141" s="1">
        <v>1</v>
      </c>
      <c r="D141" s="1">
        <v>0</v>
      </c>
      <c r="E141" s="1">
        <v>1</v>
      </c>
      <c r="F141" s="1">
        <v>1</v>
      </c>
      <c r="G141" s="1" t="b">
        <v>0</v>
      </c>
      <c r="H141" s="1">
        <v>5</v>
      </c>
      <c r="I141" s="1">
        <v>2</v>
      </c>
      <c r="J141" s="1">
        <v>0.2</v>
      </c>
    </row>
    <row r="142" spans="1:10" ht="12.5" x14ac:dyDescent="0.25">
      <c r="A142" s="1">
        <v>141</v>
      </c>
      <c r="B142" s="2">
        <v>40550</v>
      </c>
      <c r="C142" s="1">
        <v>1</v>
      </c>
      <c r="D142" s="1">
        <v>0</v>
      </c>
      <c r="E142" s="1">
        <v>1</v>
      </c>
      <c r="F142" s="1">
        <v>2</v>
      </c>
      <c r="G142" s="1" t="b">
        <v>0</v>
      </c>
      <c r="H142" s="1">
        <v>5</v>
      </c>
      <c r="I142" s="1">
        <v>2</v>
      </c>
      <c r="J142" s="1">
        <v>0.2</v>
      </c>
    </row>
    <row r="143" spans="1:10" ht="12.5" x14ac:dyDescent="0.25">
      <c r="A143" s="1">
        <v>142</v>
      </c>
      <c r="B143" s="2">
        <v>40550</v>
      </c>
      <c r="C143" s="1">
        <v>1</v>
      </c>
      <c r="D143" s="1">
        <v>0</v>
      </c>
      <c r="E143" s="1">
        <v>1</v>
      </c>
      <c r="F143" s="1">
        <v>4</v>
      </c>
      <c r="G143" s="1" t="b">
        <v>0</v>
      </c>
      <c r="H143" s="1">
        <v>5</v>
      </c>
      <c r="I143" s="1">
        <v>2</v>
      </c>
      <c r="J143" s="1">
        <v>0.2</v>
      </c>
    </row>
    <row r="144" spans="1:10" ht="12.5" x14ac:dyDescent="0.25">
      <c r="A144" s="1">
        <v>143</v>
      </c>
      <c r="B144" s="2">
        <v>40550</v>
      </c>
      <c r="C144" s="1">
        <v>1</v>
      </c>
      <c r="D144" s="1">
        <v>0</v>
      </c>
      <c r="E144" s="1">
        <v>1</v>
      </c>
      <c r="F144" s="1">
        <v>5</v>
      </c>
      <c r="G144" s="1" t="b">
        <v>0</v>
      </c>
      <c r="H144" s="1">
        <v>5</v>
      </c>
      <c r="I144" s="1">
        <v>3</v>
      </c>
      <c r="J144" s="1">
        <v>0.22</v>
      </c>
    </row>
    <row r="145" spans="1:10" ht="12.5" x14ac:dyDescent="0.25">
      <c r="A145" s="1">
        <v>144</v>
      </c>
      <c r="B145" s="2">
        <v>40550</v>
      </c>
      <c r="C145" s="1">
        <v>1</v>
      </c>
      <c r="D145" s="1">
        <v>0</v>
      </c>
      <c r="E145" s="1">
        <v>1</v>
      </c>
      <c r="F145" s="1">
        <v>6</v>
      </c>
      <c r="G145" s="1" t="b">
        <v>0</v>
      </c>
      <c r="H145" s="1">
        <v>5</v>
      </c>
      <c r="I145" s="1">
        <v>2</v>
      </c>
      <c r="J145" s="1">
        <v>0.2</v>
      </c>
    </row>
    <row r="146" spans="1:10" ht="12.5" x14ac:dyDescent="0.25">
      <c r="A146" s="1">
        <v>145</v>
      </c>
      <c r="B146" s="2">
        <v>40550</v>
      </c>
      <c r="C146" s="1">
        <v>1</v>
      </c>
      <c r="D146" s="1">
        <v>0</v>
      </c>
      <c r="E146" s="1">
        <v>1</v>
      </c>
      <c r="F146" s="1">
        <v>7</v>
      </c>
      <c r="G146" s="1" t="b">
        <v>0</v>
      </c>
      <c r="H146" s="1">
        <v>5</v>
      </c>
      <c r="I146" s="1">
        <v>1</v>
      </c>
      <c r="J146" s="1">
        <v>0.2</v>
      </c>
    </row>
    <row r="147" spans="1:10" ht="12.5" x14ac:dyDescent="0.25">
      <c r="A147" s="1">
        <v>146</v>
      </c>
      <c r="B147" s="2">
        <v>40550</v>
      </c>
      <c r="C147" s="1">
        <v>1</v>
      </c>
      <c r="D147" s="1">
        <v>0</v>
      </c>
      <c r="E147" s="1">
        <v>1</v>
      </c>
      <c r="F147" s="1">
        <v>8</v>
      </c>
      <c r="G147" s="1" t="b">
        <v>0</v>
      </c>
      <c r="H147" s="1">
        <v>5</v>
      </c>
      <c r="I147" s="1">
        <v>1</v>
      </c>
      <c r="J147" s="1">
        <v>0.2</v>
      </c>
    </row>
    <row r="148" spans="1:10" ht="12.5" x14ac:dyDescent="0.25">
      <c r="A148" s="1">
        <v>147</v>
      </c>
      <c r="B148" s="2">
        <v>40550</v>
      </c>
      <c r="C148" s="1">
        <v>1</v>
      </c>
      <c r="D148" s="1">
        <v>0</v>
      </c>
      <c r="E148" s="1">
        <v>1</v>
      </c>
      <c r="F148" s="1">
        <v>9</v>
      </c>
      <c r="G148" s="1" t="b">
        <v>0</v>
      </c>
      <c r="H148" s="1">
        <v>5</v>
      </c>
      <c r="I148" s="1">
        <v>1</v>
      </c>
      <c r="J148" s="1">
        <v>0.2</v>
      </c>
    </row>
    <row r="149" spans="1:10" ht="12.5" x14ac:dyDescent="0.25">
      <c r="A149" s="1">
        <v>148</v>
      </c>
      <c r="B149" s="2">
        <v>40550</v>
      </c>
      <c r="C149" s="1">
        <v>1</v>
      </c>
      <c r="D149" s="1">
        <v>0</v>
      </c>
      <c r="E149" s="1">
        <v>1</v>
      </c>
      <c r="F149" s="1">
        <v>10</v>
      </c>
      <c r="G149" s="1" t="b">
        <v>0</v>
      </c>
      <c r="H149" s="1">
        <v>5</v>
      </c>
      <c r="I149" s="1">
        <v>1</v>
      </c>
      <c r="J149" s="1">
        <v>0.22</v>
      </c>
    </row>
    <row r="150" spans="1:10" ht="12.5" x14ac:dyDescent="0.25">
      <c r="A150" s="1">
        <v>149</v>
      </c>
      <c r="B150" s="2">
        <v>40550</v>
      </c>
      <c r="C150" s="1">
        <v>1</v>
      </c>
      <c r="D150" s="1">
        <v>0</v>
      </c>
      <c r="E150" s="1">
        <v>1</v>
      </c>
      <c r="F150" s="1">
        <v>11</v>
      </c>
      <c r="G150" s="1" t="b">
        <v>0</v>
      </c>
      <c r="H150" s="1">
        <v>5</v>
      </c>
      <c r="I150" s="1">
        <v>2</v>
      </c>
      <c r="J150" s="1">
        <v>0.2</v>
      </c>
    </row>
    <row r="151" spans="1:10" ht="12.5" x14ac:dyDescent="0.25">
      <c r="A151" s="1">
        <v>150</v>
      </c>
      <c r="B151" s="2">
        <v>40550</v>
      </c>
      <c r="C151" s="1">
        <v>1</v>
      </c>
      <c r="D151" s="1">
        <v>0</v>
      </c>
      <c r="E151" s="1">
        <v>1</v>
      </c>
      <c r="F151" s="1">
        <v>12</v>
      </c>
      <c r="G151" s="1" t="b">
        <v>0</v>
      </c>
      <c r="H151" s="1">
        <v>5</v>
      </c>
      <c r="I151" s="1">
        <v>2</v>
      </c>
      <c r="J151" s="1">
        <v>0.2</v>
      </c>
    </row>
    <row r="152" spans="1:10" ht="12.5" x14ac:dyDescent="0.25">
      <c r="A152" s="1">
        <v>151</v>
      </c>
      <c r="B152" s="2">
        <v>40550</v>
      </c>
      <c r="C152" s="1">
        <v>1</v>
      </c>
      <c r="D152" s="1">
        <v>0</v>
      </c>
      <c r="E152" s="1">
        <v>1</v>
      </c>
      <c r="F152" s="1">
        <v>13</v>
      </c>
      <c r="G152" s="1" t="b">
        <v>0</v>
      </c>
      <c r="H152" s="1">
        <v>5</v>
      </c>
      <c r="I152" s="1">
        <v>2</v>
      </c>
      <c r="J152" s="1">
        <v>0.2</v>
      </c>
    </row>
    <row r="153" spans="1:10" ht="12.5" x14ac:dyDescent="0.25">
      <c r="A153" s="1">
        <v>152</v>
      </c>
      <c r="B153" s="2">
        <v>40550</v>
      </c>
      <c r="C153" s="1">
        <v>1</v>
      </c>
      <c r="D153" s="1">
        <v>0</v>
      </c>
      <c r="E153" s="1">
        <v>1</v>
      </c>
      <c r="F153" s="1">
        <v>14</v>
      </c>
      <c r="G153" s="1" t="b">
        <v>0</v>
      </c>
      <c r="H153" s="1">
        <v>5</v>
      </c>
      <c r="I153" s="1">
        <v>2</v>
      </c>
      <c r="J153" s="1">
        <v>0.2</v>
      </c>
    </row>
    <row r="154" spans="1:10" ht="12.5" x14ac:dyDescent="0.25">
      <c r="A154" s="1">
        <v>153</v>
      </c>
      <c r="B154" s="2">
        <v>40550</v>
      </c>
      <c r="C154" s="1">
        <v>1</v>
      </c>
      <c r="D154" s="1">
        <v>0</v>
      </c>
      <c r="E154" s="1">
        <v>1</v>
      </c>
      <c r="F154" s="1">
        <v>15</v>
      </c>
      <c r="G154" s="1" t="b">
        <v>0</v>
      </c>
      <c r="H154" s="1">
        <v>5</v>
      </c>
      <c r="I154" s="1">
        <v>2</v>
      </c>
      <c r="J154" s="1">
        <v>0.2</v>
      </c>
    </row>
    <row r="155" spans="1:10" ht="12.5" x14ac:dyDescent="0.25">
      <c r="A155" s="1">
        <v>154</v>
      </c>
      <c r="B155" s="2">
        <v>40550</v>
      </c>
      <c r="C155" s="1">
        <v>1</v>
      </c>
      <c r="D155" s="1">
        <v>0</v>
      </c>
      <c r="E155" s="1">
        <v>1</v>
      </c>
      <c r="F155" s="1">
        <v>16</v>
      </c>
      <c r="G155" s="1" t="b">
        <v>0</v>
      </c>
      <c r="H155" s="1">
        <v>5</v>
      </c>
      <c r="I155" s="1">
        <v>2</v>
      </c>
      <c r="J155" s="1">
        <v>0.2</v>
      </c>
    </row>
    <row r="156" spans="1:10" ht="12.5" x14ac:dyDescent="0.25">
      <c r="A156" s="1">
        <v>155</v>
      </c>
      <c r="B156" s="2">
        <v>40550</v>
      </c>
      <c r="C156" s="1">
        <v>1</v>
      </c>
      <c r="D156" s="1">
        <v>0</v>
      </c>
      <c r="E156" s="1">
        <v>1</v>
      </c>
      <c r="F156" s="1">
        <v>17</v>
      </c>
      <c r="G156" s="1" t="b">
        <v>0</v>
      </c>
      <c r="H156" s="1">
        <v>5</v>
      </c>
      <c r="I156" s="1">
        <v>2</v>
      </c>
      <c r="J156" s="1">
        <v>0.2</v>
      </c>
    </row>
    <row r="157" spans="1:10" ht="12.5" x14ac:dyDescent="0.25">
      <c r="A157" s="1">
        <v>156</v>
      </c>
      <c r="B157" s="2">
        <v>40550</v>
      </c>
      <c r="C157" s="1">
        <v>1</v>
      </c>
      <c r="D157" s="1">
        <v>0</v>
      </c>
      <c r="E157" s="1">
        <v>1</v>
      </c>
      <c r="F157" s="1">
        <v>18</v>
      </c>
      <c r="G157" s="1" t="b">
        <v>0</v>
      </c>
      <c r="H157" s="1">
        <v>5</v>
      </c>
      <c r="I157" s="1">
        <v>1</v>
      </c>
      <c r="J157" s="1">
        <v>0.2</v>
      </c>
    </row>
    <row r="158" spans="1:10" ht="12.5" x14ac:dyDescent="0.25">
      <c r="A158" s="1">
        <v>157</v>
      </c>
      <c r="B158" s="2">
        <v>40550</v>
      </c>
      <c r="C158" s="1">
        <v>1</v>
      </c>
      <c r="D158" s="1">
        <v>0</v>
      </c>
      <c r="E158" s="1">
        <v>1</v>
      </c>
      <c r="F158" s="1">
        <v>19</v>
      </c>
      <c r="G158" s="1" t="b">
        <v>0</v>
      </c>
      <c r="H158" s="1">
        <v>5</v>
      </c>
      <c r="I158" s="1">
        <v>1</v>
      </c>
      <c r="J158" s="1">
        <v>0.16</v>
      </c>
    </row>
    <row r="159" spans="1:10" ht="12.5" x14ac:dyDescent="0.25">
      <c r="A159" s="1">
        <v>158</v>
      </c>
      <c r="B159" s="2">
        <v>40550</v>
      </c>
      <c r="C159" s="1">
        <v>1</v>
      </c>
      <c r="D159" s="1">
        <v>0</v>
      </c>
      <c r="E159" s="1">
        <v>1</v>
      </c>
      <c r="F159" s="1">
        <v>20</v>
      </c>
      <c r="G159" s="1" t="b">
        <v>0</v>
      </c>
      <c r="H159" s="1">
        <v>5</v>
      </c>
      <c r="I159" s="1">
        <v>1</v>
      </c>
      <c r="J159" s="1">
        <v>0.18</v>
      </c>
    </row>
    <row r="160" spans="1:10" ht="12.5" x14ac:dyDescent="0.25">
      <c r="A160" s="1">
        <v>159</v>
      </c>
      <c r="B160" s="2">
        <v>40550</v>
      </c>
      <c r="C160" s="1">
        <v>1</v>
      </c>
      <c r="D160" s="1">
        <v>0</v>
      </c>
      <c r="E160" s="1">
        <v>1</v>
      </c>
      <c r="F160" s="1">
        <v>21</v>
      </c>
      <c r="G160" s="1" t="b">
        <v>0</v>
      </c>
      <c r="H160" s="1">
        <v>5</v>
      </c>
      <c r="I160" s="1">
        <v>1</v>
      </c>
      <c r="J160" s="1">
        <v>0.18</v>
      </c>
    </row>
    <row r="161" spans="1:10" ht="12.5" x14ac:dyDescent="0.25">
      <c r="A161" s="1">
        <v>160</v>
      </c>
      <c r="B161" s="2">
        <v>40550</v>
      </c>
      <c r="C161" s="1">
        <v>1</v>
      </c>
      <c r="D161" s="1">
        <v>0</v>
      </c>
      <c r="E161" s="1">
        <v>1</v>
      </c>
      <c r="F161" s="1">
        <v>22</v>
      </c>
      <c r="G161" s="1" t="b">
        <v>0</v>
      </c>
      <c r="H161" s="1">
        <v>5</v>
      </c>
      <c r="I161" s="1">
        <v>2</v>
      </c>
      <c r="J161" s="1">
        <v>0.18</v>
      </c>
    </row>
    <row r="162" spans="1:10" ht="12.5" x14ac:dyDescent="0.25">
      <c r="A162" s="1">
        <v>161</v>
      </c>
      <c r="B162" s="2">
        <v>40550</v>
      </c>
      <c r="C162" s="1">
        <v>1</v>
      </c>
      <c r="D162" s="1">
        <v>0</v>
      </c>
      <c r="E162" s="1">
        <v>1</v>
      </c>
      <c r="F162" s="1">
        <v>23</v>
      </c>
      <c r="G162" s="1" t="b">
        <v>0</v>
      </c>
      <c r="H162" s="1">
        <v>5</v>
      </c>
      <c r="I162" s="1">
        <v>2</v>
      </c>
      <c r="J162" s="1">
        <v>0.18</v>
      </c>
    </row>
    <row r="163" spans="1:10" ht="12.5" x14ac:dyDescent="0.25">
      <c r="A163" s="1">
        <v>162</v>
      </c>
      <c r="B163" s="2">
        <v>40551</v>
      </c>
      <c r="C163" s="1">
        <v>1</v>
      </c>
      <c r="D163" s="1">
        <v>0</v>
      </c>
      <c r="E163" s="1">
        <v>1</v>
      </c>
      <c r="F163" s="1">
        <v>0</v>
      </c>
      <c r="G163" s="1" t="b">
        <v>0</v>
      </c>
      <c r="H163" s="1">
        <v>6</v>
      </c>
      <c r="I163" s="1">
        <v>2</v>
      </c>
      <c r="J163" s="1">
        <v>0.18</v>
      </c>
    </row>
    <row r="164" spans="1:10" ht="12.5" x14ac:dyDescent="0.25">
      <c r="A164" s="1">
        <v>163</v>
      </c>
      <c r="B164" s="2">
        <v>40551</v>
      </c>
      <c r="C164" s="1">
        <v>1</v>
      </c>
      <c r="D164" s="1">
        <v>0</v>
      </c>
      <c r="E164" s="1">
        <v>1</v>
      </c>
      <c r="F164" s="1">
        <v>1</v>
      </c>
      <c r="G164" s="1" t="b">
        <v>0</v>
      </c>
      <c r="H164" s="1">
        <v>6</v>
      </c>
      <c r="I164" s="1">
        <v>2</v>
      </c>
      <c r="J164" s="1">
        <v>0.18</v>
      </c>
    </row>
    <row r="165" spans="1:10" ht="12.5" x14ac:dyDescent="0.25">
      <c r="A165" s="1">
        <v>164</v>
      </c>
      <c r="B165" s="2">
        <v>40551</v>
      </c>
      <c r="C165" s="1">
        <v>1</v>
      </c>
      <c r="D165" s="1">
        <v>0</v>
      </c>
      <c r="E165" s="1">
        <v>1</v>
      </c>
      <c r="F165" s="1">
        <v>2</v>
      </c>
      <c r="G165" s="1" t="b">
        <v>0</v>
      </c>
      <c r="H165" s="1">
        <v>6</v>
      </c>
      <c r="I165" s="1">
        <v>2</v>
      </c>
      <c r="J165" s="1">
        <v>0.18</v>
      </c>
    </row>
    <row r="166" spans="1:10" ht="12.5" x14ac:dyDescent="0.25">
      <c r="A166" s="1">
        <v>165</v>
      </c>
      <c r="B166" s="2">
        <v>40551</v>
      </c>
      <c r="C166" s="1">
        <v>1</v>
      </c>
      <c r="D166" s="1">
        <v>0</v>
      </c>
      <c r="E166" s="1">
        <v>1</v>
      </c>
      <c r="F166" s="1">
        <v>3</v>
      </c>
      <c r="G166" s="1" t="b">
        <v>0</v>
      </c>
      <c r="H166" s="1">
        <v>6</v>
      </c>
      <c r="I166" s="1">
        <v>3</v>
      </c>
      <c r="J166" s="1">
        <v>0.18</v>
      </c>
    </row>
    <row r="167" spans="1:10" ht="12.5" x14ac:dyDescent="0.25">
      <c r="A167" s="1">
        <v>166</v>
      </c>
      <c r="B167" s="2">
        <v>40551</v>
      </c>
      <c r="C167" s="1">
        <v>1</v>
      </c>
      <c r="D167" s="1">
        <v>0</v>
      </c>
      <c r="E167" s="1">
        <v>1</v>
      </c>
      <c r="F167" s="1">
        <v>4</v>
      </c>
      <c r="G167" s="1" t="b">
        <v>0</v>
      </c>
      <c r="H167" s="1">
        <v>6</v>
      </c>
      <c r="I167" s="1">
        <v>3</v>
      </c>
      <c r="J167" s="1">
        <v>0.18</v>
      </c>
    </row>
    <row r="168" spans="1:10" ht="12.5" x14ac:dyDescent="0.25">
      <c r="A168" s="1">
        <v>167</v>
      </c>
      <c r="B168" s="2">
        <v>40551</v>
      </c>
      <c r="C168" s="1">
        <v>1</v>
      </c>
      <c r="D168" s="1">
        <v>0</v>
      </c>
      <c r="E168" s="1">
        <v>1</v>
      </c>
      <c r="F168" s="1">
        <v>5</v>
      </c>
      <c r="G168" s="1" t="b">
        <v>0</v>
      </c>
      <c r="H168" s="1">
        <v>6</v>
      </c>
      <c r="I168" s="1">
        <v>2</v>
      </c>
      <c r="J168" s="1">
        <v>0.16</v>
      </c>
    </row>
    <row r="169" spans="1:10" ht="12.5" x14ac:dyDescent="0.25">
      <c r="A169" s="1">
        <v>168</v>
      </c>
      <c r="B169" s="2">
        <v>40551</v>
      </c>
      <c r="C169" s="1">
        <v>1</v>
      </c>
      <c r="D169" s="1">
        <v>0</v>
      </c>
      <c r="E169" s="1">
        <v>1</v>
      </c>
      <c r="F169" s="1">
        <v>6</v>
      </c>
      <c r="G169" s="1" t="b">
        <v>0</v>
      </c>
      <c r="H169" s="1">
        <v>6</v>
      </c>
      <c r="I169" s="1">
        <v>2</v>
      </c>
      <c r="J169" s="1">
        <v>0.16</v>
      </c>
    </row>
    <row r="170" spans="1:10" ht="12.5" x14ac:dyDescent="0.25">
      <c r="A170" s="1">
        <v>169</v>
      </c>
      <c r="B170" s="2">
        <v>40551</v>
      </c>
      <c r="C170" s="1">
        <v>1</v>
      </c>
      <c r="D170" s="1">
        <v>0</v>
      </c>
      <c r="E170" s="1">
        <v>1</v>
      </c>
      <c r="F170" s="1">
        <v>7</v>
      </c>
      <c r="G170" s="1" t="b">
        <v>0</v>
      </c>
      <c r="H170" s="1">
        <v>6</v>
      </c>
      <c r="I170" s="1">
        <v>2</v>
      </c>
      <c r="J170" s="1">
        <v>0.16</v>
      </c>
    </row>
    <row r="171" spans="1:10" ht="12.5" x14ac:dyDescent="0.25">
      <c r="A171" s="1">
        <v>170</v>
      </c>
      <c r="B171" s="2">
        <v>40551</v>
      </c>
      <c r="C171" s="1">
        <v>1</v>
      </c>
      <c r="D171" s="1">
        <v>0</v>
      </c>
      <c r="E171" s="1">
        <v>1</v>
      </c>
      <c r="F171" s="1">
        <v>8</v>
      </c>
      <c r="G171" s="1" t="b">
        <v>0</v>
      </c>
      <c r="H171" s="1">
        <v>6</v>
      </c>
      <c r="I171" s="1">
        <v>3</v>
      </c>
      <c r="J171" s="1">
        <v>0.16</v>
      </c>
    </row>
    <row r="172" spans="1:10" ht="12.5" x14ac:dyDescent="0.25">
      <c r="A172" s="1">
        <v>171</v>
      </c>
      <c r="B172" s="2">
        <v>40551</v>
      </c>
      <c r="C172" s="1">
        <v>1</v>
      </c>
      <c r="D172" s="1">
        <v>0</v>
      </c>
      <c r="E172" s="1">
        <v>1</v>
      </c>
      <c r="F172" s="1">
        <v>9</v>
      </c>
      <c r="G172" s="1" t="b">
        <v>0</v>
      </c>
      <c r="H172" s="1">
        <v>6</v>
      </c>
      <c r="I172" s="1">
        <v>3</v>
      </c>
      <c r="J172" s="1">
        <v>0.16</v>
      </c>
    </row>
    <row r="173" spans="1:10" ht="12.5" x14ac:dyDescent="0.25">
      <c r="A173" s="1">
        <v>172</v>
      </c>
      <c r="B173" s="2">
        <v>40551</v>
      </c>
      <c r="C173" s="1">
        <v>1</v>
      </c>
      <c r="D173" s="1">
        <v>0</v>
      </c>
      <c r="E173" s="1">
        <v>1</v>
      </c>
      <c r="F173" s="1">
        <v>10</v>
      </c>
      <c r="G173" s="1" t="b">
        <v>0</v>
      </c>
      <c r="H173" s="1">
        <v>6</v>
      </c>
      <c r="I173" s="1">
        <v>2</v>
      </c>
      <c r="J173" s="1">
        <v>0.18</v>
      </c>
    </row>
    <row r="174" spans="1:10" ht="12.5" x14ac:dyDescent="0.25">
      <c r="A174" s="1">
        <v>173</v>
      </c>
      <c r="B174" s="2">
        <v>40551</v>
      </c>
      <c r="C174" s="1">
        <v>1</v>
      </c>
      <c r="D174" s="1">
        <v>0</v>
      </c>
      <c r="E174" s="1">
        <v>1</v>
      </c>
      <c r="F174" s="1">
        <v>11</v>
      </c>
      <c r="G174" s="1" t="b">
        <v>0</v>
      </c>
      <c r="H174" s="1">
        <v>6</v>
      </c>
      <c r="I174" s="1">
        <v>2</v>
      </c>
      <c r="J174" s="1">
        <v>0.2</v>
      </c>
    </row>
    <row r="175" spans="1:10" ht="12.5" x14ac:dyDescent="0.25">
      <c r="A175" s="1">
        <v>174</v>
      </c>
      <c r="B175" s="2">
        <v>40551</v>
      </c>
      <c r="C175" s="1">
        <v>1</v>
      </c>
      <c r="D175" s="1">
        <v>0</v>
      </c>
      <c r="E175" s="1">
        <v>1</v>
      </c>
      <c r="F175" s="1">
        <v>12</v>
      </c>
      <c r="G175" s="1" t="b">
        <v>0</v>
      </c>
      <c r="H175" s="1">
        <v>6</v>
      </c>
      <c r="I175" s="1">
        <v>2</v>
      </c>
      <c r="J175" s="1">
        <v>0.2</v>
      </c>
    </row>
    <row r="176" spans="1:10" ht="12.5" x14ac:dyDescent="0.25">
      <c r="A176" s="1">
        <v>175</v>
      </c>
      <c r="B176" s="2">
        <v>40551</v>
      </c>
      <c r="C176" s="1">
        <v>1</v>
      </c>
      <c r="D176" s="1">
        <v>0</v>
      </c>
      <c r="E176" s="1">
        <v>1</v>
      </c>
      <c r="F176" s="1">
        <v>13</v>
      </c>
      <c r="G176" s="1" t="b">
        <v>0</v>
      </c>
      <c r="H176" s="1">
        <v>6</v>
      </c>
      <c r="I176" s="1">
        <v>1</v>
      </c>
      <c r="J176" s="1">
        <v>0.2</v>
      </c>
    </row>
    <row r="177" spans="1:10" ht="12.5" x14ac:dyDescent="0.25">
      <c r="A177" s="1">
        <v>176</v>
      </c>
      <c r="B177" s="2">
        <v>40551</v>
      </c>
      <c r="C177" s="1">
        <v>1</v>
      </c>
      <c r="D177" s="1">
        <v>0</v>
      </c>
      <c r="E177" s="1">
        <v>1</v>
      </c>
      <c r="F177" s="1">
        <v>14</v>
      </c>
      <c r="G177" s="1" t="b">
        <v>0</v>
      </c>
      <c r="H177" s="1">
        <v>6</v>
      </c>
      <c r="I177" s="1">
        <v>1</v>
      </c>
      <c r="J177" s="1">
        <v>0.2</v>
      </c>
    </row>
    <row r="178" spans="1:10" ht="12.5" x14ac:dyDescent="0.25">
      <c r="A178" s="1">
        <v>177</v>
      </c>
      <c r="B178" s="2">
        <v>40551</v>
      </c>
      <c r="C178" s="1">
        <v>1</v>
      </c>
      <c r="D178" s="1">
        <v>0</v>
      </c>
      <c r="E178" s="1">
        <v>1</v>
      </c>
      <c r="F178" s="1">
        <v>15</v>
      </c>
      <c r="G178" s="1" t="b">
        <v>0</v>
      </c>
      <c r="H178" s="1">
        <v>6</v>
      </c>
      <c r="I178" s="1">
        <v>1</v>
      </c>
      <c r="J178" s="1">
        <v>0.2</v>
      </c>
    </row>
    <row r="179" spans="1:10" ht="12.5" x14ac:dyDescent="0.25">
      <c r="A179" s="1">
        <v>178</v>
      </c>
      <c r="B179" s="2">
        <v>40551</v>
      </c>
      <c r="C179" s="1">
        <v>1</v>
      </c>
      <c r="D179" s="1">
        <v>0</v>
      </c>
      <c r="E179" s="1">
        <v>1</v>
      </c>
      <c r="F179" s="1">
        <v>16</v>
      </c>
      <c r="G179" s="1" t="b">
        <v>0</v>
      </c>
      <c r="H179" s="1">
        <v>6</v>
      </c>
      <c r="I179" s="1">
        <v>1</v>
      </c>
      <c r="J179" s="1">
        <v>0.18</v>
      </c>
    </row>
    <row r="180" spans="1:10" ht="12.5" x14ac:dyDescent="0.25">
      <c r="A180" s="1">
        <v>179</v>
      </c>
      <c r="B180" s="2">
        <v>40551</v>
      </c>
      <c r="C180" s="1">
        <v>1</v>
      </c>
      <c r="D180" s="1">
        <v>0</v>
      </c>
      <c r="E180" s="1">
        <v>1</v>
      </c>
      <c r="F180" s="1">
        <v>17</v>
      </c>
      <c r="G180" s="1" t="b">
        <v>0</v>
      </c>
      <c r="H180" s="1">
        <v>6</v>
      </c>
      <c r="I180" s="1">
        <v>1</v>
      </c>
      <c r="J180" s="1">
        <v>0.16</v>
      </c>
    </row>
    <row r="181" spans="1:10" ht="12.5" x14ac:dyDescent="0.25">
      <c r="A181" s="1">
        <v>180</v>
      </c>
      <c r="B181" s="2">
        <v>40551</v>
      </c>
      <c r="C181" s="1">
        <v>1</v>
      </c>
      <c r="D181" s="1">
        <v>0</v>
      </c>
      <c r="E181" s="1">
        <v>1</v>
      </c>
      <c r="F181" s="1">
        <v>18</v>
      </c>
      <c r="G181" s="1" t="b">
        <v>0</v>
      </c>
      <c r="H181" s="1">
        <v>6</v>
      </c>
      <c r="I181" s="1">
        <v>1</v>
      </c>
      <c r="J181" s="1">
        <v>0.14000000000000001</v>
      </c>
    </row>
    <row r="182" spans="1:10" ht="12.5" x14ac:dyDescent="0.25">
      <c r="A182" s="1">
        <v>181</v>
      </c>
      <c r="B182" s="2">
        <v>40551</v>
      </c>
      <c r="C182" s="1">
        <v>1</v>
      </c>
      <c r="D182" s="1">
        <v>0</v>
      </c>
      <c r="E182" s="1">
        <v>1</v>
      </c>
      <c r="F182" s="1">
        <v>19</v>
      </c>
      <c r="G182" s="1" t="b">
        <v>0</v>
      </c>
      <c r="H182" s="1">
        <v>6</v>
      </c>
      <c r="I182" s="1">
        <v>1</v>
      </c>
      <c r="J182" s="1">
        <v>0.14000000000000001</v>
      </c>
    </row>
    <row r="183" spans="1:10" ht="12.5" x14ac:dyDescent="0.25">
      <c r="A183" s="1">
        <v>182</v>
      </c>
      <c r="B183" s="2">
        <v>40551</v>
      </c>
      <c r="C183" s="1">
        <v>1</v>
      </c>
      <c r="D183" s="1">
        <v>0</v>
      </c>
      <c r="E183" s="1">
        <v>1</v>
      </c>
      <c r="F183" s="1">
        <v>20</v>
      </c>
      <c r="G183" s="1" t="b">
        <v>0</v>
      </c>
      <c r="H183" s="1">
        <v>6</v>
      </c>
      <c r="I183" s="1">
        <v>1</v>
      </c>
      <c r="J183" s="1">
        <v>0.12</v>
      </c>
    </row>
    <row r="184" spans="1:10" ht="12.5" x14ac:dyDescent="0.25">
      <c r="A184" s="1">
        <v>183</v>
      </c>
      <c r="B184" s="2">
        <v>40551</v>
      </c>
      <c r="C184" s="1">
        <v>1</v>
      </c>
      <c r="D184" s="1">
        <v>0</v>
      </c>
      <c r="E184" s="1">
        <v>1</v>
      </c>
      <c r="F184" s="1">
        <v>21</v>
      </c>
      <c r="G184" s="1" t="b">
        <v>0</v>
      </c>
      <c r="H184" s="1">
        <v>6</v>
      </c>
      <c r="I184" s="1">
        <v>1</v>
      </c>
      <c r="J184" s="1">
        <v>0.12</v>
      </c>
    </row>
    <row r="185" spans="1:10" ht="12.5" x14ac:dyDescent="0.25">
      <c r="A185" s="1">
        <v>184</v>
      </c>
      <c r="B185" s="2">
        <v>40551</v>
      </c>
      <c r="C185" s="1">
        <v>1</v>
      </c>
      <c r="D185" s="1">
        <v>0</v>
      </c>
      <c r="E185" s="1">
        <v>1</v>
      </c>
      <c r="F185" s="1">
        <v>22</v>
      </c>
      <c r="G185" s="1" t="b">
        <v>0</v>
      </c>
      <c r="H185" s="1">
        <v>6</v>
      </c>
      <c r="I185" s="1">
        <v>1</v>
      </c>
      <c r="J185" s="1">
        <v>0.12</v>
      </c>
    </row>
    <row r="186" spans="1:10" ht="12.5" x14ac:dyDescent="0.25">
      <c r="A186" s="1">
        <v>185</v>
      </c>
      <c r="B186" s="2">
        <v>40551</v>
      </c>
      <c r="C186" s="1">
        <v>1</v>
      </c>
      <c r="D186" s="1">
        <v>0</v>
      </c>
      <c r="E186" s="1">
        <v>1</v>
      </c>
      <c r="F186" s="1">
        <v>23</v>
      </c>
      <c r="G186" s="1" t="b">
        <v>0</v>
      </c>
      <c r="H186" s="1">
        <v>6</v>
      </c>
      <c r="I186" s="1">
        <v>1</v>
      </c>
      <c r="J186" s="1">
        <v>0.1</v>
      </c>
    </row>
    <row r="187" spans="1:10" ht="12.5" x14ac:dyDescent="0.25">
      <c r="A187" s="1">
        <v>186</v>
      </c>
      <c r="B187" s="2">
        <v>40552</v>
      </c>
      <c r="C187" s="1">
        <v>1</v>
      </c>
      <c r="D187" s="1">
        <v>0</v>
      </c>
      <c r="E187" s="1">
        <v>1</v>
      </c>
      <c r="F187" s="1">
        <v>0</v>
      </c>
      <c r="G187" s="1" t="b">
        <v>0</v>
      </c>
      <c r="H187" s="1">
        <v>0</v>
      </c>
      <c r="I187" s="1">
        <v>1</v>
      </c>
      <c r="J187" s="1">
        <v>0.1</v>
      </c>
    </row>
    <row r="188" spans="1:10" ht="12.5" x14ac:dyDescent="0.25">
      <c r="A188" s="1">
        <v>187</v>
      </c>
      <c r="B188" s="2">
        <v>40552</v>
      </c>
      <c r="C188" s="1">
        <v>1</v>
      </c>
      <c r="D188" s="1">
        <v>0</v>
      </c>
      <c r="E188" s="1">
        <v>1</v>
      </c>
      <c r="F188" s="1">
        <v>1</v>
      </c>
      <c r="G188" s="1" t="b">
        <v>0</v>
      </c>
      <c r="H188" s="1">
        <v>0</v>
      </c>
      <c r="I188" s="1">
        <v>1</v>
      </c>
      <c r="J188" s="1">
        <v>0.1</v>
      </c>
    </row>
    <row r="189" spans="1:10" ht="12.5" x14ac:dyDescent="0.25">
      <c r="A189" s="1">
        <v>188</v>
      </c>
      <c r="B189" s="2">
        <v>40552</v>
      </c>
      <c r="C189" s="1">
        <v>1</v>
      </c>
      <c r="D189" s="1">
        <v>0</v>
      </c>
      <c r="E189" s="1">
        <v>1</v>
      </c>
      <c r="F189" s="1">
        <v>2</v>
      </c>
      <c r="G189" s="1" t="b">
        <v>0</v>
      </c>
      <c r="H189" s="1">
        <v>0</v>
      </c>
      <c r="I189" s="1">
        <v>1</v>
      </c>
      <c r="J189" s="1">
        <v>0.1</v>
      </c>
    </row>
    <row r="190" spans="1:10" ht="12.5" x14ac:dyDescent="0.25">
      <c r="A190" s="1">
        <v>189</v>
      </c>
      <c r="B190" s="2">
        <v>40552</v>
      </c>
      <c r="C190" s="1">
        <v>1</v>
      </c>
      <c r="D190" s="1">
        <v>0</v>
      </c>
      <c r="E190" s="1">
        <v>1</v>
      </c>
      <c r="F190" s="1">
        <v>3</v>
      </c>
      <c r="G190" s="1" t="b">
        <v>0</v>
      </c>
      <c r="H190" s="1">
        <v>0</v>
      </c>
      <c r="I190" s="1">
        <v>1</v>
      </c>
      <c r="J190" s="1">
        <v>0.1</v>
      </c>
    </row>
    <row r="191" spans="1:10" ht="12.5" x14ac:dyDescent="0.25">
      <c r="A191" s="1">
        <v>190</v>
      </c>
      <c r="B191" s="2">
        <v>40552</v>
      </c>
      <c r="C191" s="1">
        <v>1</v>
      </c>
      <c r="D191" s="1">
        <v>0</v>
      </c>
      <c r="E191" s="1">
        <v>1</v>
      </c>
      <c r="F191" s="1">
        <v>4</v>
      </c>
      <c r="G191" s="1" t="b">
        <v>0</v>
      </c>
      <c r="H191" s="1">
        <v>0</v>
      </c>
      <c r="I191" s="1">
        <v>1</v>
      </c>
      <c r="J191" s="1">
        <v>0.08</v>
      </c>
    </row>
    <row r="192" spans="1:10" ht="12.5" x14ac:dyDescent="0.25">
      <c r="A192" s="1">
        <v>191</v>
      </c>
      <c r="B192" s="2">
        <v>40552</v>
      </c>
      <c r="C192" s="1">
        <v>1</v>
      </c>
      <c r="D192" s="1">
        <v>0</v>
      </c>
      <c r="E192" s="1">
        <v>1</v>
      </c>
      <c r="F192" s="1">
        <v>5</v>
      </c>
      <c r="G192" s="1" t="b">
        <v>0</v>
      </c>
      <c r="H192" s="1">
        <v>0</v>
      </c>
      <c r="I192" s="1">
        <v>1</v>
      </c>
      <c r="J192" s="1">
        <v>0.08</v>
      </c>
    </row>
    <row r="193" spans="1:10" ht="12.5" x14ac:dyDescent="0.25">
      <c r="A193" s="1">
        <v>192</v>
      </c>
      <c r="B193" s="2">
        <v>40552</v>
      </c>
      <c r="C193" s="1">
        <v>1</v>
      </c>
      <c r="D193" s="1">
        <v>0</v>
      </c>
      <c r="E193" s="1">
        <v>1</v>
      </c>
      <c r="F193" s="1">
        <v>6</v>
      </c>
      <c r="G193" s="1" t="b">
        <v>0</v>
      </c>
      <c r="H193" s="1">
        <v>0</v>
      </c>
      <c r="I193" s="1">
        <v>1</v>
      </c>
      <c r="J193" s="1">
        <v>0.1</v>
      </c>
    </row>
    <row r="194" spans="1:10" ht="12.5" x14ac:dyDescent="0.25">
      <c r="A194" s="1">
        <v>193</v>
      </c>
      <c r="B194" s="2">
        <v>40552</v>
      </c>
      <c r="C194" s="1">
        <v>1</v>
      </c>
      <c r="D194" s="1">
        <v>0</v>
      </c>
      <c r="E194" s="1">
        <v>1</v>
      </c>
      <c r="F194" s="1">
        <v>7</v>
      </c>
      <c r="G194" s="1" t="b">
        <v>0</v>
      </c>
      <c r="H194" s="1">
        <v>0</v>
      </c>
      <c r="I194" s="1">
        <v>1</v>
      </c>
      <c r="J194" s="1">
        <v>0.08</v>
      </c>
    </row>
    <row r="195" spans="1:10" ht="12.5" x14ac:dyDescent="0.25">
      <c r="A195" s="1">
        <v>194</v>
      </c>
      <c r="B195" s="2">
        <v>40552</v>
      </c>
      <c r="C195" s="1">
        <v>1</v>
      </c>
      <c r="D195" s="1">
        <v>0</v>
      </c>
      <c r="E195" s="1">
        <v>1</v>
      </c>
      <c r="F195" s="1">
        <v>8</v>
      </c>
      <c r="G195" s="1" t="b">
        <v>0</v>
      </c>
      <c r="H195" s="1">
        <v>0</v>
      </c>
      <c r="I195" s="1">
        <v>1</v>
      </c>
      <c r="J195" s="1">
        <v>0.1</v>
      </c>
    </row>
    <row r="196" spans="1:10" ht="12.5" x14ac:dyDescent="0.25">
      <c r="A196" s="1">
        <v>195</v>
      </c>
      <c r="B196" s="2">
        <v>40552</v>
      </c>
      <c r="C196" s="1">
        <v>1</v>
      </c>
      <c r="D196" s="1">
        <v>0</v>
      </c>
      <c r="E196" s="1">
        <v>1</v>
      </c>
      <c r="F196" s="1">
        <v>9</v>
      </c>
      <c r="G196" s="1" t="b">
        <v>0</v>
      </c>
      <c r="H196" s="1">
        <v>0</v>
      </c>
      <c r="I196" s="1">
        <v>1</v>
      </c>
      <c r="J196" s="1">
        <v>0.12</v>
      </c>
    </row>
    <row r="197" spans="1:10" ht="12.5" x14ac:dyDescent="0.25">
      <c r="A197" s="1">
        <v>196</v>
      </c>
      <c r="B197" s="2">
        <v>40552</v>
      </c>
      <c r="C197" s="1">
        <v>1</v>
      </c>
      <c r="D197" s="1">
        <v>0</v>
      </c>
      <c r="E197" s="1">
        <v>1</v>
      </c>
      <c r="F197" s="1">
        <v>10</v>
      </c>
      <c r="G197" s="1" t="b">
        <v>0</v>
      </c>
      <c r="H197" s="1">
        <v>0</v>
      </c>
      <c r="I197" s="1">
        <v>1</v>
      </c>
      <c r="J197" s="1">
        <v>0.14000000000000001</v>
      </c>
    </row>
    <row r="198" spans="1:10" ht="12.5" x14ac:dyDescent="0.25">
      <c r="A198" s="1">
        <v>197</v>
      </c>
      <c r="B198" s="2">
        <v>40552</v>
      </c>
      <c r="C198" s="1">
        <v>1</v>
      </c>
      <c r="D198" s="1">
        <v>0</v>
      </c>
      <c r="E198" s="1">
        <v>1</v>
      </c>
      <c r="F198" s="1">
        <v>11</v>
      </c>
      <c r="G198" s="1" t="b">
        <v>0</v>
      </c>
      <c r="H198" s="1">
        <v>0</v>
      </c>
      <c r="I198" s="1">
        <v>1</v>
      </c>
      <c r="J198" s="1">
        <v>0.16</v>
      </c>
    </row>
    <row r="199" spans="1:10" ht="12.5" x14ac:dyDescent="0.25">
      <c r="A199" s="1">
        <v>198</v>
      </c>
      <c r="B199" s="2">
        <v>40552</v>
      </c>
      <c r="C199" s="1">
        <v>1</v>
      </c>
      <c r="D199" s="1">
        <v>0</v>
      </c>
      <c r="E199" s="1">
        <v>1</v>
      </c>
      <c r="F199" s="1">
        <v>12</v>
      </c>
      <c r="G199" s="1" t="b">
        <v>0</v>
      </c>
      <c r="H199" s="1">
        <v>0</v>
      </c>
      <c r="I199" s="1">
        <v>1</v>
      </c>
      <c r="J199" s="1">
        <v>0.18</v>
      </c>
    </row>
    <row r="200" spans="1:10" ht="12.5" x14ac:dyDescent="0.25">
      <c r="A200" s="1">
        <v>199</v>
      </c>
      <c r="B200" s="2">
        <v>40552</v>
      </c>
      <c r="C200" s="1">
        <v>1</v>
      </c>
      <c r="D200" s="1">
        <v>0</v>
      </c>
      <c r="E200" s="1">
        <v>1</v>
      </c>
      <c r="F200" s="1">
        <v>13</v>
      </c>
      <c r="G200" s="1" t="b">
        <v>0</v>
      </c>
      <c r="H200" s="1">
        <v>0</v>
      </c>
      <c r="I200" s="1">
        <v>1</v>
      </c>
      <c r="J200" s="1">
        <v>0.2</v>
      </c>
    </row>
    <row r="201" spans="1:10" ht="12.5" x14ac:dyDescent="0.25">
      <c r="A201" s="1">
        <v>200</v>
      </c>
      <c r="B201" s="2">
        <v>40552</v>
      </c>
      <c r="C201" s="1">
        <v>1</v>
      </c>
      <c r="D201" s="1">
        <v>0</v>
      </c>
      <c r="E201" s="1">
        <v>1</v>
      </c>
      <c r="F201" s="1">
        <v>14</v>
      </c>
      <c r="G201" s="1" t="b">
        <v>0</v>
      </c>
      <c r="H201" s="1">
        <v>0</v>
      </c>
      <c r="I201" s="1">
        <v>1</v>
      </c>
      <c r="J201" s="1">
        <v>0.22</v>
      </c>
    </row>
    <row r="202" spans="1:10" ht="12.5" x14ac:dyDescent="0.25">
      <c r="A202" s="1">
        <v>201</v>
      </c>
      <c r="B202" s="2">
        <v>40552</v>
      </c>
      <c r="C202" s="1">
        <v>1</v>
      </c>
      <c r="D202" s="1">
        <v>0</v>
      </c>
      <c r="E202" s="1">
        <v>1</v>
      </c>
      <c r="F202" s="1">
        <v>15</v>
      </c>
      <c r="G202" s="1" t="b">
        <v>0</v>
      </c>
      <c r="H202" s="1">
        <v>0</v>
      </c>
      <c r="I202" s="1">
        <v>1</v>
      </c>
      <c r="J202" s="1">
        <v>0.22</v>
      </c>
    </row>
    <row r="203" spans="1:10" ht="12.5" x14ac:dyDescent="0.25">
      <c r="A203" s="1">
        <v>202</v>
      </c>
      <c r="B203" s="2">
        <v>40552</v>
      </c>
      <c r="C203" s="1">
        <v>1</v>
      </c>
      <c r="D203" s="1">
        <v>0</v>
      </c>
      <c r="E203" s="1">
        <v>1</v>
      </c>
      <c r="F203" s="1">
        <v>16</v>
      </c>
      <c r="G203" s="1" t="b">
        <v>0</v>
      </c>
      <c r="H203" s="1">
        <v>0</v>
      </c>
      <c r="I203" s="1">
        <v>1</v>
      </c>
      <c r="J203" s="1">
        <v>0.2</v>
      </c>
    </row>
    <row r="204" spans="1:10" ht="12.5" x14ac:dyDescent="0.25">
      <c r="A204" s="1">
        <v>203</v>
      </c>
      <c r="B204" s="2">
        <v>40552</v>
      </c>
      <c r="C204" s="1">
        <v>1</v>
      </c>
      <c r="D204" s="1">
        <v>0</v>
      </c>
      <c r="E204" s="1">
        <v>1</v>
      </c>
      <c r="F204" s="1">
        <v>17</v>
      </c>
      <c r="G204" s="1" t="b">
        <v>0</v>
      </c>
      <c r="H204" s="1">
        <v>0</v>
      </c>
      <c r="I204" s="1">
        <v>1</v>
      </c>
      <c r="J204" s="1">
        <v>0.18</v>
      </c>
    </row>
    <row r="205" spans="1:10" ht="12.5" x14ac:dyDescent="0.25">
      <c r="A205" s="1">
        <v>204</v>
      </c>
      <c r="B205" s="2">
        <v>40552</v>
      </c>
      <c r="C205" s="1">
        <v>1</v>
      </c>
      <c r="D205" s="1">
        <v>0</v>
      </c>
      <c r="E205" s="1">
        <v>1</v>
      </c>
      <c r="F205" s="1">
        <v>18</v>
      </c>
      <c r="G205" s="1" t="b">
        <v>0</v>
      </c>
      <c r="H205" s="1">
        <v>0</v>
      </c>
      <c r="I205" s="1">
        <v>1</v>
      </c>
      <c r="J205" s="1">
        <v>0.16</v>
      </c>
    </row>
    <row r="206" spans="1:10" ht="12.5" x14ac:dyDescent="0.25">
      <c r="A206" s="1">
        <v>205</v>
      </c>
      <c r="B206" s="2">
        <v>40552</v>
      </c>
      <c r="C206" s="1">
        <v>1</v>
      </c>
      <c r="D206" s="1">
        <v>0</v>
      </c>
      <c r="E206" s="1">
        <v>1</v>
      </c>
      <c r="F206" s="1">
        <v>19</v>
      </c>
      <c r="G206" s="1" t="b">
        <v>0</v>
      </c>
      <c r="H206" s="1">
        <v>0</v>
      </c>
      <c r="I206" s="1">
        <v>1</v>
      </c>
      <c r="J206" s="1">
        <v>0.16</v>
      </c>
    </row>
    <row r="207" spans="1:10" ht="12.5" x14ac:dyDescent="0.25">
      <c r="A207" s="1">
        <v>206</v>
      </c>
      <c r="B207" s="2">
        <v>40552</v>
      </c>
      <c r="C207" s="1">
        <v>1</v>
      </c>
      <c r="D207" s="1">
        <v>0</v>
      </c>
      <c r="E207" s="1">
        <v>1</v>
      </c>
      <c r="F207" s="1">
        <v>20</v>
      </c>
      <c r="G207" s="1" t="b">
        <v>0</v>
      </c>
      <c r="H207" s="1">
        <v>0</v>
      </c>
      <c r="I207" s="1">
        <v>1</v>
      </c>
      <c r="J207" s="1">
        <v>0.14000000000000001</v>
      </c>
    </row>
    <row r="208" spans="1:10" ht="12.5" x14ac:dyDescent="0.25">
      <c r="A208" s="1">
        <v>207</v>
      </c>
      <c r="B208" s="2">
        <v>40552</v>
      </c>
      <c r="C208" s="1">
        <v>1</v>
      </c>
      <c r="D208" s="1">
        <v>0</v>
      </c>
      <c r="E208" s="1">
        <v>1</v>
      </c>
      <c r="F208" s="1">
        <v>21</v>
      </c>
      <c r="G208" s="1" t="b">
        <v>0</v>
      </c>
      <c r="H208" s="1">
        <v>0</v>
      </c>
      <c r="I208" s="1">
        <v>1</v>
      </c>
      <c r="J208" s="1">
        <v>0.14000000000000001</v>
      </c>
    </row>
    <row r="209" spans="1:10" ht="12.5" x14ac:dyDescent="0.25">
      <c r="A209" s="1">
        <v>208</v>
      </c>
      <c r="B209" s="2">
        <v>40552</v>
      </c>
      <c r="C209" s="1">
        <v>1</v>
      </c>
      <c r="D209" s="1">
        <v>0</v>
      </c>
      <c r="E209" s="1">
        <v>1</v>
      </c>
      <c r="F209" s="1">
        <v>22</v>
      </c>
      <c r="G209" s="1" t="b">
        <v>0</v>
      </c>
      <c r="H209" s="1">
        <v>0</v>
      </c>
      <c r="I209" s="1">
        <v>1</v>
      </c>
      <c r="J209" s="1">
        <v>0.14000000000000001</v>
      </c>
    </row>
    <row r="210" spans="1:10" ht="12.5" x14ac:dyDescent="0.25">
      <c r="A210" s="1">
        <v>209</v>
      </c>
      <c r="B210" s="2">
        <v>40552</v>
      </c>
      <c r="C210" s="1">
        <v>1</v>
      </c>
      <c r="D210" s="1">
        <v>0</v>
      </c>
      <c r="E210" s="1">
        <v>1</v>
      </c>
      <c r="F210" s="1">
        <v>23</v>
      </c>
      <c r="G210" s="1" t="b">
        <v>0</v>
      </c>
      <c r="H210" s="1">
        <v>0</v>
      </c>
      <c r="I210" s="1">
        <v>1</v>
      </c>
      <c r="J210" s="1">
        <v>0.12</v>
      </c>
    </row>
    <row r="211" spans="1:10" ht="12.5" x14ac:dyDescent="0.25">
      <c r="A211" s="1">
        <v>210</v>
      </c>
      <c r="B211" s="2">
        <v>40553</v>
      </c>
      <c r="C211" s="1">
        <v>1</v>
      </c>
      <c r="D211" s="1">
        <v>0</v>
      </c>
      <c r="E211" s="1">
        <v>1</v>
      </c>
      <c r="F211" s="1">
        <v>0</v>
      </c>
      <c r="G211" s="1" t="b">
        <v>0</v>
      </c>
      <c r="H211" s="1">
        <v>1</v>
      </c>
      <c r="I211" s="1">
        <v>1</v>
      </c>
      <c r="J211" s="1">
        <v>0.12</v>
      </c>
    </row>
    <row r="212" spans="1:10" ht="12.5" x14ac:dyDescent="0.25">
      <c r="A212" s="1">
        <v>211</v>
      </c>
      <c r="B212" s="2">
        <v>40553</v>
      </c>
      <c r="C212" s="1">
        <v>1</v>
      </c>
      <c r="D212" s="1">
        <v>0</v>
      </c>
      <c r="E212" s="1">
        <v>1</v>
      </c>
      <c r="F212" s="1">
        <v>1</v>
      </c>
      <c r="G212" s="1" t="b">
        <v>0</v>
      </c>
      <c r="H212" s="1">
        <v>1</v>
      </c>
      <c r="I212" s="1">
        <v>1</v>
      </c>
      <c r="J212" s="1">
        <v>0.12</v>
      </c>
    </row>
    <row r="213" spans="1:10" ht="12.5" x14ac:dyDescent="0.25">
      <c r="A213" s="1">
        <v>212</v>
      </c>
      <c r="B213" s="2">
        <v>40553</v>
      </c>
      <c r="C213" s="1">
        <v>1</v>
      </c>
      <c r="D213" s="1">
        <v>0</v>
      </c>
      <c r="E213" s="1">
        <v>1</v>
      </c>
      <c r="F213" s="1">
        <v>2</v>
      </c>
      <c r="G213" s="1" t="b">
        <v>0</v>
      </c>
      <c r="H213" s="1">
        <v>1</v>
      </c>
      <c r="I213" s="1">
        <v>1</v>
      </c>
      <c r="J213" s="1">
        <v>0.12</v>
      </c>
    </row>
    <row r="214" spans="1:10" ht="12.5" x14ac:dyDescent="0.25">
      <c r="A214" s="1">
        <v>213</v>
      </c>
      <c r="B214" s="2">
        <v>40553</v>
      </c>
      <c r="C214" s="1">
        <v>1</v>
      </c>
      <c r="D214" s="1">
        <v>0</v>
      </c>
      <c r="E214" s="1">
        <v>1</v>
      </c>
      <c r="F214" s="1">
        <v>3</v>
      </c>
      <c r="G214" s="1" t="b">
        <v>0</v>
      </c>
      <c r="H214" s="1">
        <v>1</v>
      </c>
      <c r="I214" s="1">
        <v>1</v>
      </c>
      <c r="J214" s="1">
        <v>0.12</v>
      </c>
    </row>
    <row r="215" spans="1:10" ht="12.5" x14ac:dyDescent="0.25">
      <c r="A215" s="1">
        <v>214</v>
      </c>
      <c r="B215" s="2">
        <v>40553</v>
      </c>
      <c r="C215" s="1">
        <v>1</v>
      </c>
      <c r="D215" s="1">
        <v>0</v>
      </c>
      <c r="E215" s="1">
        <v>1</v>
      </c>
      <c r="F215" s="1">
        <v>4</v>
      </c>
      <c r="G215" s="1" t="b">
        <v>0</v>
      </c>
      <c r="H215" s="1">
        <v>1</v>
      </c>
      <c r="I215" s="1">
        <v>1</v>
      </c>
      <c r="J215" s="1">
        <v>0.1</v>
      </c>
    </row>
    <row r="216" spans="1:10" ht="12.5" x14ac:dyDescent="0.25">
      <c r="A216" s="1">
        <v>215</v>
      </c>
      <c r="B216" s="2">
        <v>40553</v>
      </c>
      <c r="C216" s="1">
        <v>1</v>
      </c>
      <c r="D216" s="1">
        <v>0</v>
      </c>
      <c r="E216" s="1">
        <v>1</v>
      </c>
      <c r="F216" s="1">
        <v>5</v>
      </c>
      <c r="G216" s="1" t="b">
        <v>0</v>
      </c>
      <c r="H216" s="1">
        <v>1</v>
      </c>
      <c r="I216" s="1">
        <v>1</v>
      </c>
      <c r="J216" s="1">
        <v>0.1</v>
      </c>
    </row>
    <row r="217" spans="1:10" ht="12.5" x14ac:dyDescent="0.25">
      <c r="A217" s="1">
        <v>216</v>
      </c>
      <c r="B217" s="2">
        <v>40553</v>
      </c>
      <c r="C217" s="1">
        <v>1</v>
      </c>
      <c r="D217" s="1">
        <v>0</v>
      </c>
      <c r="E217" s="1">
        <v>1</v>
      </c>
      <c r="F217" s="1">
        <v>6</v>
      </c>
      <c r="G217" s="1" t="b">
        <v>0</v>
      </c>
      <c r="H217" s="1">
        <v>1</v>
      </c>
      <c r="I217" s="1">
        <v>1</v>
      </c>
      <c r="J217" s="1">
        <v>0.12</v>
      </c>
    </row>
    <row r="218" spans="1:10" ht="12.5" x14ac:dyDescent="0.25">
      <c r="A218" s="1">
        <v>217</v>
      </c>
      <c r="B218" s="2">
        <v>40553</v>
      </c>
      <c r="C218" s="1">
        <v>1</v>
      </c>
      <c r="D218" s="1">
        <v>0</v>
      </c>
      <c r="E218" s="1">
        <v>1</v>
      </c>
      <c r="F218" s="1">
        <v>7</v>
      </c>
      <c r="G218" s="1" t="b">
        <v>0</v>
      </c>
      <c r="H218" s="1">
        <v>1</v>
      </c>
      <c r="I218" s="1">
        <v>1</v>
      </c>
      <c r="J218" s="1">
        <v>0.12</v>
      </c>
    </row>
    <row r="219" spans="1:10" ht="12.5" x14ac:dyDescent="0.25">
      <c r="A219" s="1">
        <v>218</v>
      </c>
      <c r="B219" s="2">
        <v>40553</v>
      </c>
      <c r="C219" s="1">
        <v>1</v>
      </c>
      <c r="D219" s="1">
        <v>0</v>
      </c>
      <c r="E219" s="1">
        <v>1</v>
      </c>
      <c r="F219" s="1">
        <v>8</v>
      </c>
      <c r="G219" s="1" t="b">
        <v>0</v>
      </c>
      <c r="H219" s="1">
        <v>1</v>
      </c>
      <c r="I219" s="1">
        <v>2</v>
      </c>
      <c r="J219" s="1">
        <v>0.12</v>
      </c>
    </row>
    <row r="220" spans="1:10" ht="12.5" x14ac:dyDescent="0.25">
      <c r="A220" s="1">
        <v>219</v>
      </c>
      <c r="B220" s="2">
        <v>40553</v>
      </c>
      <c r="C220" s="1">
        <v>1</v>
      </c>
      <c r="D220" s="1">
        <v>0</v>
      </c>
      <c r="E220" s="1">
        <v>1</v>
      </c>
      <c r="F220" s="1">
        <v>9</v>
      </c>
      <c r="G220" s="1" t="b">
        <v>0</v>
      </c>
      <c r="H220" s="1">
        <v>1</v>
      </c>
      <c r="I220" s="1">
        <v>2</v>
      </c>
      <c r="J220" s="1">
        <v>0.14000000000000001</v>
      </c>
    </row>
    <row r="221" spans="1:10" ht="12.5" x14ac:dyDescent="0.25">
      <c r="A221" s="1">
        <v>220</v>
      </c>
      <c r="B221" s="2">
        <v>40553</v>
      </c>
      <c r="C221" s="1">
        <v>1</v>
      </c>
      <c r="D221" s="1">
        <v>0</v>
      </c>
      <c r="E221" s="1">
        <v>1</v>
      </c>
      <c r="F221" s="1">
        <v>10</v>
      </c>
      <c r="G221" s="1" t="b">
        <v>0</v>
      </c>
      <c r="H221" s="1">
        <v>1</v>
      </c>
      <c r="I221" s="1">
        <v>2</v>
      </c>
      <c r="J221" s="1">
        <v>0.14000000000000001</v>
      </c>
    </row>
    <row r="222" spans="1:10" ht="12.5" x14ac:dyDescent="0.25">
      <c r="A222" s="1">
        <v>221</v>
      </c>
      <c r="B222" s="2">
        <v>40553</v>
      </c>
      <c r="C222" s="1">
        <v>1</v>
      </c>
      <c r="D222" s="1">
        <v>0</v>
      </c>
      <c r="E222" s="1">
        <v>1</v>
      </c>
      <c r="F222" s="1">
        <v>11</v>
      </c>
      <c r="G222" s="1" t="b">
        <v>0</v>
      </c>
      <c r="H222" s="1">
        <v>1</v>
      </c>
      <c r="I222" s="1">
        <v>2</v>
      </c>
      <c r="J222" s="1">
        <v>0.16</v>
      </c>
    </row>
    <row r="223" spans="1:10" ht="12.5" x14ac:dyDescent="0.25">
      <c r="A223" s="1">
        <v>222</v>
      </c>
      <c r="B223" s="2">
        <v>40553</v>
      </c>
      <c r="C223" s="1">
        <v>1</v>
      </c>
      <c r="D223" s="1">
        <v>0</v>
      </c>
      <c r="E223" s="1">
        <v>1</v>
      </c>
      <c r="F223" s="1">
        <v>12</v>
      </c>
      <c r="G223" s="1" t="b">
        <v>0</v>
      </c>
      <c r="H223" s="1">
        <v>1</v>
      </c>
      <c r="I223" s="1">
        <v>2</v>
      </c>
      <c r="J223" s="1">
        <v>0.2</v>
      </c>
    </row>
    <row r="224" spans="1:10" ht="12.5" x14ac:dyDescent="0.25">
      <c r="A224" s="1">
        <v>223</v>
      </c>
      <c r="B224" s="2">
        <v>40553</v>
      </c>
      <c r="C224" s="1">
        <v>1</v>
      </c>
      <c r="D224" s="1">
        <v>0</v>
      </c>
      <c r="E224" s="1">
        <v>1</v>
      </c>
      <c r="F224" s="1">
        <v>13</v>
      </c>
      <c r="G224" s="1" t="b">
        <v>0</v>
      </c>
      <c r="H224" s="1">
        <v>1</v>
      </c>
      <c r="I224" s="1">
        <v>2</v>
      </c>
      <c r="J224" s="1">
        <v>0.2</v>
      </c>
    </row>
    <row r="225" spans="1:10" ht="12.5" x14ac:dyDescent="0.25">
      <c r="A225" s="1">
        <v>224</v>
      </c>
      <c r="B225" s="2">
        <v>40553</v>
      </c>
      <c r="C225" s="1">
        <v>1</v>
      </c>
      <c r="D225" s="1">
        <v>0</v>
      </c>
      <c r="E225" s="1">
        <v>1</v>
      </c>
      <c r="F225" s="1">
        <v>14</v>
      </c>
      <c r="G225" s="1" t="b">
        <v>0</v>
      </c>
      <c r="H225" s="1">
        <v>1</v>
      </c>
      <c r="I225" s="1">
        <v>2</v>
      </c>
      <c r="J225" s="1">
        <v>0.2</v>
      </c>
    </row>
    <row r="226" spans="1:10" ht="12.5" x14ac:dyDescent="0.25">
      <c r="A226" s="1">
        <v>225</v>
      </c>
      <c r="B226" s="2">
        <v>40553</v>
      </c>
      <c r="C226" s="1">
        <v>1</v>
      </c>
      <c r="D226" s="1">
        <v>0</v>
      </c>
      <c r="E226" s="1">
        <v>1</v>
      </c>
      <c r="F226" s="1">
        <v>15</v>
      </c>
      <c r="G226" s="1" t="b">
        <v>0</v>
      </c>
      <c r="H226" s="1">
        <v>1</v>
      </c>
      <c r="I226" s="1">
        <v>2</v>
      </c>
      <c r="J226" s="1">
        <v>0.2</v>
      </c>
    </row>
    <row r="227" spans="1:10" ht="12.5" x14ac:dyDescent="0.25">
      <c r="A227" s="1">
        <v>226</v>
      </c>
      <c r="B227" s="2">
        <v>40553</v>
      </c>
      <c r="C227" s="1">
        <v>1</v>
      </c>
      <c r="D227" s="1">
        <v>0</v>
      </c>
      <c r="E227" s="1">
        <v>1</v>
      </c>
      <c r="F227" s="1">
        <v>16</v>
      </c>
      <c r="G227" s="1" t="b">
        <v>0</v>
      </c>
      <c r="H227" s="1">
        <v>1</v>
      </c>
      <c r="I227" s="1">
        <v>1</v>
      </c>
      <c r="J227" s="1">
        <v>0.2</v>
      </c>
    </row>
    <row r="228" spans="1:10" ht="12.5" x14ac:dyDescent="0.25">
      <c r="A228" s="1">
        <v>227</v>
      </c>
      <c r="B228" s="2">
        <v>40553</v>
      </c>
      <c r="C228" s="1">
        <v>1</v>
      </c>
      <c r="D228" s="1">
        <v>0</v>
      </c>
      <c r="E228" s="1">
        <v>1</v>
      </c>
      <c r="F228" s="1">
        <v>17</v>
      </c>
      <c r="G228" s="1" t="b">
        <v>0</v>
      </c>
      <c r="H228" s="1">
        <v>1</v>
      </c>
      <c r="I228" s="1">
        <v>1</v>
      </c>
      <c r="J228" s="1">
        <v>0.2</v>
      </c>
    </row>
    <row r="229" spans="1:10" ht="12.5" x14ac:dyDescent="0.25">
      <c r="A229" s="1">
        <v>228</v>
      </c>
      <c r="B229" s="2">
        <v>40553</v>
      </c>
      <c r="C229" s="1">
        <v>1</v>
      </c>
      <c r="D229" s="1">
        <v>0</v>
      </c>
      <c r="E229" s="1">
        <v>1</v>
      </c>
      <c r="F229" s="1">
        <v>18</v>
      </c>
      <c r="G229" s="1" t="b">
        <v>0</v>
      </c>
      <c r="H229" s="1">
        <v>1</v>
      </c>
      <c r="I229" s="1">
        <v>1</v>
      </c>
      <c r="J229" s="1">
        <v>0.2</v>
      </c>
    </row>
    <row r="230" spans="1:10" ht="12.5" x14ac:dyDescent="0.25">
      <c r="A230" s="1">
        <v>229</v>
      </c>
      <c r="B230" s="2">
        <v>40553</v>
      </c>
      <c r="C230" s="1">
        <v>1</v>
      </c>
      <c r="D230" s="1">
        <v>0</v>
      </c>
      <c r="E230" s="1">
        <v>1</v>
      </c>
      <c r="F230" s="1">
        <v>19</v>
      </c>
      <c r="G230" s="1" t="b">
        <v>0</v>
      </c>
      <c r="H230" s="1">
        <v>1</v>
      </c>
      <c r="I230" s="1">
        <v>1</v>
      </c>
      <c r="J230" s="1">
        <v>0.16</v>
      </c>
    </row>
    <row r="231" spans="1:10" ht="12.5" x14ac:dyDescent="0.25">
      <c r="A231" s="1">
        <v>230</v>
      </c>
      <c r="B231" s="2">
        <v>40553</v>
      </c>
      <c r="C231" s="1">
        <v>1</v>
      </c>
      <c r="D231" s="1">
        <v>0</v>
      </c>
      <c r="E231" s="1">
        <v>1</v>
      </c>
      <c r="F231" s="1">
        <v>20</v>
      </c>
      <c r="G231" s="1" t="b">
        <v>0</v>
      </c>
      <c r="H231" s="1">
        <v>1</v>
      </c>
      <c r="I231" s="1">
        <v>1</v>
      </c>
      <c r="J231" s="1">
        <v>0.16</v>
      </c>
    </row>
    <row r="232" spans="1:10" ht="12.5" x14ac:dyDescent="0.25">
      <c r="A232" s="1">
        <v>231</v>
      </c>
      <c r="B232" s="2">
        <v>40553</v>
      </c>
      <c r="C232" s="1">
        <v>1</v>
      </c>
      <c r="D232" s="1">
        <v>0</v>
      </c>
      <c r="E232" s="1">
        <v>1</v>
      </c>
      <c r="F232" s="1">
        <v>21</v>
      </c>
      <c r="G232" s="1" t="b">
        <v>0</v>
      </c>
      <c r="H232" s="1">
        <v>1</v>
      </c>
      <c r="I232" s="1">
        <v>1</v>
      </c>
      <c r="J232" s="1">
        <v>0.14000000000000001</v>
      </c>
    </row>
    <row r="233" spans="1:10" ht="12.5" x14ac:dyDescent="0.25">
      <c r="A233" s="1">
        <v>232</v>
      </c>
      <c r="B233" s="2">
        <v>40553</v>
      </c>
      <c r="C233" s="1">
        <v>1</v>
      </c>
      <c r="D233" s="1">
        <v>0</v>
      </c>
      <c r="E233" s="1">
        <v>1</v>
      </c>
      <c r="F233" s="1">
        <v>22</v>
      </c>
      <c r="G233" s="1" t="b">
        <v>0</v>
      </c>
      <c r="H233" s="1">
        <v>1</v>
      </c>
      <c r="I233" s="1">
        <v>1</v>
      </c>
      <c r="J233" s="1">
        <v>0.14000000000000001</v>
      </c>
    </row>
    <row r="234" spans="1:10" ht="12.5" x14ac:dyDescent="0.25">
      <c r="A234" s="1">
        <v>233</v>
      </c>
      <c r="B234" s="2">
        <v>40553</v>
      </c>
      <c r="C234" s="1">
        <v>1</v>
      </c>
      <c r="D234" s="1">
        <v>0</v>
      </c>
      <c r="E234" s="1">
        <v>1</v>
      </c>
      <c r="F234" s="1">
        <v>23</v>
      </c>
      <c r="G234" s="1" t="b">
        <v>0</v>
      </c>
      <c r="H234" s="1">
        <v>1</v>
      </c>
      <c r="I234" s="1">
        <v>1</v>
      </c>
      <c r="J234" s="1">
        <v>0.14000000000000001</v>
      </c>
    </row>
    <row r="235" spans="1:10" ht="12.5" x14ac:dyDescent="0.25">
      <c r="A235" s="1">
        <v>234</v>
      </c>
      <c r="B235" s="2">
        <v>40554</v>
      </c>
      <c r="C235" s="1">
        <v>1</v>
      </c>
      <c r="D235" s="1">
        <v>0</v>
      </c>
      <c r="E235" s="1">
        <v>1</v>
      </c>
      <c r="F235" s="1">
        <v>0</v>
      </c>
      <c r="G235" s="1" t="b">
        <v>0</v>
      </c>
      <c r="H235" s="1">
        <v>2</v>
      </c>
      <c r="I235" s="1">
        <v>1</v>
      </c>
      <c r="J235" s="1">
        <v>0.14000000000000001</v>
      </c>
    </row>
    <row r="236" spans="1:10" ht="12.5" x14ac:dyDescent="0.25">
      <c r="A236" s="1">
        <v>235</v>
      </c>
      <c r="B236" s="2">
        <v>40554</v>
      </c>
      <c r="C236" s="1">
        <v>1</v>
      </c>
      <c r="D236" s="1">
        <v>0</v>
      </c>
      <c r="E236" s="1">
        <v>1</v>
      </c>
      <c r="F236" s="1">
        <v>1</v>
      </c>
      <c r="G236" s="1" t="b">
        <v>0</v>
      </c>
      <c r="H236" s="1">
        <v>2</v>
      </c>
      <c r="I236" s="1">
        <v>1</v>
      </c>
      <c r="J236" s="1">
        <v>0.14000000000000001</v>
      </c>
    </row>
    <row r="237" spans="1:10" ht="12.5" x14ac:dyDescent="0.25">
      <c r="A237" s="1">
        <v>236</v>
      </c>
      <c r="B237" s="2">
        <v>40554</v>
      </c>
      <c r="C237" s="1">
        <v>1</v>
      </c>
      <c r="D237" s="1">
        <v>0</v>
      </c>
      <c r="E237" s="1">
        <v>1</v>
      </c>
      <c r="F237" s="1">
        <v>2</v>
      </c>
      <c r="G237" s="1" t="b">
        <v>0</v>
      </c>
      <c r="H237" s="1">
        <v>2</v>
      </c>
      <c r="I237" s="1">
        <v>2</v>
      </c>
      <c r="J237" s="1">
        <v>0.16</v>
      </c>
    </row>
    <row r="238" spans="1:10" ht="12.5" x14ac:dyDescent="0.25">
      <c r="A238" s="1">
        <v>237</v>
      </c>
      <c r="B238" s="2">
        <v>40554</v>
      </c>
      <c r="C238" s="1">
        <v>1</v>
      </c>
      <c r="D238" s="1">
        <v>0</v>
      </c>
      <c r="E238" s="1">
        <v>1</v>
      </c>
      <c r="F238" s="1">
        <v>5</v>
      </c>
      <c r="G238" s="1" t="b">
        <v>0</v>
      </c>
      <c r="H238" s="1">
        <v>2</v>
      </c>
      <c r="I238" s="1">
        <v>2</v>
      </c>
      <c r="J238" s="1">
        <v>0.16</v>
      </c>
    </row>
    <row r="239" spans="1:10" ht="12.5" x14ac:dyDescent="0.25">
      <c r="A239" s="1">
        <v>238</v>
      </c>
      <c r="B239" s="2">
        <v>40554</v>
      </c>
      <c r="C239" s="1">
        <v>1</v>
      </c>
      <c r="D239" s="1">
        <v>0</v>
      </c>
      <c r="E239" s="1">
        <v>1</v>
      </c>
      <c r="F239" s="1">
        <v>6</v>
      </c>
      <c r="G239" s="1" t="b">
        <v>0</v>
      </c>
      <c r="H239" s="1">
        <v>2</v>
      </c>
      <c r="I239" s="1">
        <v>2</v>
      </c>
      <c r="J239" s="1">
        <v>0.16</v>
      </c>
    </row>
    <row r="240" spans="1:10" ht="12.5" x14ac:dyDescent="0.25">
      <c r="A240" s="1">
        <v>239</v>
      </c>
      <c r="B240" s="2">
        <v>40554</v>
      </c>
      <c r="C240" s="1">
        <v>1</v>
      </c>
      <c r="D240" s="1">
        <v>0</v>
      </c>
      <c r="E240" s="1">
        <v>1</v>
      </c>
      <c r="F240" s="1">
        <v>7</v>
      </c>
      <c r="G240" s="1" t="b">
        <v>0</v>
      </c>
      <c r="H240" s="1">
        <v>2</v>
      </c>
      <c r="I240" s="1">
        <v>2</v>
      </c>
      <c r="J240" s="1">
        <v>0.16</v>
      </c>
    </row>
    <row r="241" spans="1:10" ht="12.5" x14ac:dyDescent="0.25">
      <c r="A241" s="1">
        <v>240</v>
      </c>
      <c r="B241" s="2">
        <v>40554</v>
      </c>
      <c r="C241" s="1">
        <v>1</v>
      </c>
      <c r="D241" s="1">
        <v>0</v>
      </c>
      <c r="E241" s="1">
        <v>1</v>
      </c>
      <c r="F241" s="1">
        <v>8</v>
      </c>
      <c r="G241" s="1" t="b">
        <v>0</v>
      </c>
      <c r="H241" s="1">
        <v>2</v>
      </c>
      <c r="I241" s="1">
        <v>2</v>
      </c>
      <c r="J241" s="1">
        <v>0.18</v>
      </c>
    </row>
    <row r="242" spans="1:10" ht="12.5" x14ac:dyDescent="0.25">
      <c r="A242" s="1">
        <v>241</v>
      </c>
      <c r="B242" s="2">
        <v>40554</v>
      </c>
      <c r="C242" s="1">
        <v>1</v>
      </c>
      <c r="D242" s="1">
        <v>0</v>
      </c>
      <c r="E242" s="1">
        <v>1</v>
      </c>
      <c r="F242" s="1">
        <v>9</v>
      </c>
      <c r="G242" s="1" t="b">
        <v>0</v>
      </c>
      <c r="H242" s="1">
        <v>2</v>
      </c>
      <c r="I242" s="1">
        <v>2</v>
      </c>
      <c r="J242" s="1">
        <v>0.18</v>
      </c>
    </row>
    <row r="243" spans="1:10" ht="12.5" x14ac:dyDescent="0.25">
      <c r="A243" s="1">
        <v>242</v>
      </c>
      <c r="B243" s="2">
        <v>40554</v>
      </c>
      <c r="C243" s="1">
        <v>1</v>
      </c>
      <c r="D243" s="1">
        <v>0</v>
      </c>
      <c r="E243" s="1">
        <v>1</v>
      </c>
      <c r="F243" s="1">
        <v>10</v>
      </c>
      <c r="G243" s="1" t="b">
        <v>0</v>
      </c>
      <c r="H243" s="1">
        <v>2</v>
      </c>
      <c r="I243" s="1">
        <v>2</v>
      </c>
      <c r="J243" s="1">
        <v>0.2</v>
      </c>
    </row>
    <row r="244" spans="1:10" ht="12.5" x14ac:dyDescent="0.25">
      <c r="A244" s="1">
        <v>243</v>
      </c>
      <c r="B244" s="2">
        <v>40554</v>
      </c>
      <c r="C244" s="1">
        <v>1</v>
      </c>
      <c r="D244" s="1">
        <v>0</v>
      </c>
      <c r="E244" s="1">
        <v>1</v>
      </c>
      <c r="F244" s="1">
        <v>11</v>
      </c>
      <c r="G244" s="1" t="b">
        <v>0</v>
      </c>
      <c r="H244" s="1">
        <v>2</v>
      </c>
      <c r="I244" s="1">
        <v>2</v>
      </c>
      <c r="J244" s="1">
        <v>0.2</v>
      </c>
    </row>
    <row r="245" spans="1:10" ht="12.5" x14ac:dyDescent="0.25">
      <c r="A245" s="1">
        <v>244</v>
      </c>
      <c r="B245" s="2">
        <v>40554</v>
      </c>
      <c r="C245" s="1">
        <v>1</v>
      </c>
      <c r="D245" s="1">
        <v>0</v>
      </c>
      <c r="E245" s="1">
        <v>1</v>
      </c>
      <c r="F245" s="1">
        <v>12</v>
      </c>
      <c r="G245" s="1" t="b">
        <v>0</v>
      </c>
      <c r="H245" s="1">
        <v>2</v>
      </c>
      <c r="I245" s="1">
        <v>2</v>
      </c>
      <c r="J245" s="1">
        <v>0.2</v>
      </c>
    </row>
    <row r="246" spans="1:10" ht="12.5" x14ac:dyDescent="0.25">
      <c r="A246" s="1">
        <v>245</v>
      </c>
      <c r="B246" s="2">
        <v>40554</v>
      </c>
      <c r="C246" s="1">
        <v>1</v>
      </c>
      <c r="D246" s="1">
        <v>0</v>
      </c>
      <c r="E246" s="1">
        <v>1</v>
      </c>
      <c r="F246" s="1">
        <v>13</v>
      </c>
      <c r="G246" s="1" t="b">
        <v>0</v>
      </c>
      <c r="H246" s="1">
        <v>2</v>
      </c>
      <c r="I246" s="1">
        <v>2</v>
      </c>
      <c r="J246" s="1">
        <v>0.2</v>
      </c>
    </row>
    <row r="247" spans="1:10" ht="12.5" x14ac:dyDescent="0.25">
      <c r="A247" s="1">
        <v>246</v>
      </c>
      <c r="B247" s="2">
        <v>40554</v>
      </c>
      <c r="C247" s="1">
        <v>1</v>
      </c>
      <c r="D247" s="1">
        <v>0</v>
      </c>
      <c r="E247" s="1">
        <v>1</v>
      </c>
      <c r="F247" s="1">
        <v>14</v>
      </c>
      <c r="G247" s="1" t="b">
        <v>0</v>
      </c>
      <c r="H247" s="1">
        <v>2</v>
      </c>
      <c r="I247" s="1">
        <v>2</v>
      </c>
      <c r="J247" s="1">
        <v>0.2</v>
      </c>
    </row>
    <row r="248" spans="1:10" ht="12.5" x14ac:dyDescent="0.25">
      <c r="A248" s="1">
        <v>247</v>
      </c>
      <c r="B248" s="2">
        <v>40554</v>
      </c>
      <c r="C248" s="1">
        <v>1</v>
      </c>
      <c r="D248" s="1">
        <v>0</v>
      </c>
      <c r="E248" s="1">
        <v>1</v>
      </c>
      <c r="F248" s="1">
        <v>15</v>
      </c>
      <c r="G248" s="1" t="b">
        <v>0</v>
      </c>
      <c r="H248" s="1">
        <v>2</v>
      </c>
      <c r="I248" s="1">
        <v>2</v>
      </c>
      <c r="J248" s="1">
        <v>0.16</v>
      </c>
    </row>
    <row r="249" spans="1:10" ht="12.5" x14ac:dyDescent="0.25">
      <c r="A249" s="1">
        <v>248</v>
      </c>
      <c r="B249" s="2">
        <v>40554</v>
      </c>
      <c r="C249" s="1">
        <v>1</v>
      </c>
      <c r="D249" s="1">
        <v>0</v>
      </c>
      <c r="E249" s="1">
        <v>1</v>
      </c>
      <c r="F249" s="1">
        <v>16</v>
      </c>
      <c r="G249" s="1" t="b">
        <v>0</v>
      </c>
      <c r="H249" s="1">
        <v>2</v>
      </c>
      <c r="I249" s="1">
        <v>2</v>
      </c>
      <c r="J249" s="1">
        <v>0.16</v>
      </c>
    </row>
    <row r="250" spans="1:10" ht="12.5" x14ac:dyDescent="0.25">
      <c r="A250" s="1">
        <v>249</v>
      </c>
      <c r="B250" s="2">
        <v>40554</v>
      </c>
      <c r="C250" s="1">
        <v>1</v>
      </c>
      <c r="D250" s="1">
        <v>0</v>
      </c>
      <c r="E250" s="1">
        <v>1</v>
      </c>
      <c r="F250" s="1">
        <v>17</v>
      </c>
      <c r="G250" s="1" t="b">
        <v>0</v>
      </c>
      <c r="H250" s="1">
        <v>2</v>
      </c>
      <c r="I250" s="1">
        <v>2</v>
      </c>
      <c r="J250" s="1">
        <v>0.16</v>
      </c>
    </row>
    <row r="251" spans="1:10" ht="12.5" x14ac:dyDescent="0.25">
      <c r="A251" s="1">
        <v>250</v>
      </c>
      <c r="B251" s="2">
        <v>40554</v>
      </c>
      <c r="C251" s="1">
        <v>1</v>
      </c>
      <c r="D251" s="1">
        <v>0</v>
      </c>
      <c r="E251" s="1">
        <v>1</v>
      </c>
      <c r="F251" s="1">
        <v>18</v>
      </c>
      <c r="G251" s="1" t="b">
        <v>0</v>
      </c>
      <c r="H251" s="1">
        <v>2</v>
      </c>
      <c r="I251" s="1">
        <v>3</v>
      </c>
      <c r="J251" s="1">
        <v>0.16</v>
      </c>
    </row>
    <row r="252" spans="1:10" ht="12.5" x14ac:dyDescent="0.25">
      <c r="A252" s="1">
        <v>251</v>
      </c>
      <c r="B252" s="2">
        <v>40554</v>
      </c>
      <c r="C252" s="1">
        <v>1</v>
      </c>
      <c r="D252" s="1">
        <v>0</v>
      </c>
      <c r="E252" s="1">
        <v>1</v>
      </c>
      <c r="F252" s="1">
        <v>19</v>
      </c>
      <c r="G252" s="1" t="b">
        <v>0</v>
      </c>
      <c r="H252" s="1">
        <v>2</v>
      </c>
      <c r="I252" s="1">
        <v>3</v>
      </c>
      <c r="J252" s="1">
        <v>0.16</v>
      </c>
    </row>
    <row r="253" spans="1:10" ht="12.5" x14ac:dyDescent="0.25">
      <c r="A253" s="1">
        <v>252</v>
      </c>
      <c r="B253" s="2">
        <v>40554</v>
      </c>
      <c r="C253" s="1">
        <v>1</v>
      </c>
      <c r="D253" s="1">
        <v>0</v>
      </c>
      <c r="E253" s="1">
        <v>1</v>
      </c>
      <c r="F253" s="1">
        <v>20</v>
      </c>
      <c r="G253" s="1" t="b">
        <v>0</v>
      </c>
      <c r="H253" s="1">
        <v>2</v>
      </c>
      <c r="I253" s="1">
        <v>3</v>
      </c>
      <c r="J253" s="1">
        <v>0.16</v>
      </c>
    </row>
    <row r="254" spans="1:10" ht="12.5" x14ac:dyDescent="0.25">
      <c r="A254" s="1">
        <v>253</v>
      </c>
      <c r="B254" s="2">
        <v>40554</v>
      </c>
      <c r="C254" s="1">
        <v>1</v>
      </c>
      <c r="D254" s="1">
        <v>0</v>
      </c>
      <c r="E254" s="1">
        <v>1</v>
      </c>
      <c r="F254" s="1">
        <v>21</v>
      </c>
      <c r="G254" s="1" t="b">
        <v>0</v>
      </c>
      <c r="H254" s="1">
        <v>2</v>
      </c>
      <c r="I254" s="1">
        <v>3</v>
      </c>
      <c r="J254" s="1">
        <v>0.16</v>
      </c>
    </row>
    <row r="255" spans="1:10" ht="12.5" x14ac:dyDescent="0.25">
      <c r="A255" s="1">
        <v>254</v>
      </c>
      <c r="B255" s="2">
        <v>40554</v>
      </c>
      <c r="C255" s="1">
        <v>1</v>
      </c>
      <c r="D255" s="1">
        <v>0</v>
      </c>
      <c r="E255" s="1">
        <v>1</v>
      </c>
      <c r="F255" s="1">
        <v>22</v>
      </c>
      <c r="G255" s="1" t="b">
        <v>0</v>
      </c>
      <c r="H255" s="1">
        <v>2</v>
      </c>
      <c r="I255" s="1">
        <v>3</v>
      </c>
      <c r="J255" s="1">
        <v>0.16</v>
      </c>
    </row>
    <row r="256" spans="1:10" ht="12.5" x14ac:dyDescent="0.25">
      <c r="A256" s="1">
        <v>255</v>
      </c>
      <c r="B256" s="2">
        <v>40554</v>
      </c>
      <c r="C256" s="1">
        <v>1</v>
      </c>
      <c r="D256" s="1">
        <v>0</v>
      </c>
      <c r="E256" s="1">
        <v>1</v>
      </c>
      <c r="F256" s="1">
        <v>23</v>
      </c>
      <c r="G256" s="1" t="b">
        <v>0</v>
      </c>
      <c r="H256" s="1">
        <v>2</v>
      </c>
      <c r="I256" s="1">
        <v>3</v>
      </c>
      <c r="J256" s="1">
        <v>0.16</v>
      </c>
    </row>
    <row r="257" spans="1:10" ht="12.5" x14ac:dyDescent="0.25">
      <c r="A257" s="1">
        <v>256</v>
      </c>
      <c r="B257" s="2">
        <v>40555</v>
      </c>
      <c r="C257" s="1">
        <v>1</v>
      </c>
      <c r="D257" s="1">
        <v>0</v>
      </c>
      <c r="E257" s="1">
        <v>1</v>
      </c>
      <c r="F257" s="1">
        <v>0</v>
      </c>
      <c r="G257" s="1" t="b">
        <v>0</v>
      </c>
      <c r="H257" s="1">
        <v>3</v>
      </c>
      <c r="I257" s="1">
        <v>2</v>
      </c>
      <c r="J257" s="1">
        <v>0.16</v>
      </c>
    </row>
    <row r="258" spans="1:10" ht="12.5" x14ac:dyDescent="0.25">
      <c r="A258" s="1">
        <v>257</v>
      </c>
      <c r="B258" s="2">
        <v>40555</v>
      </c>
      <c r="C258" s="1">
        <v>1</v>
      </c>
      <c r="D258" s="1">
        <v>0</v>
      </c>
      <c r="E258" s="1">
        <v>1</v>
      </c>
      <c r="F258" s="1">
        <v>1</v>
      </c>
      <c r="G258" s="1" t="b">
        <v>0</v>
      </c>
      <c r="H258" s="1">
        <v>3</v>
      </c>
      <c r="I258" s="1">
        <v>2</v>
      </c>
      <c r="J258" s="1">
        <v>0.16</v>
      </c>
    </row>
    <row r="259" spans="1:10" ht="12.5" x14ac:dyDescent="0.25">
      <c r="A259" s="1">
        <v>258</v>
      </c>
      <c r="B259" s="2">
        <v>40555</v>
      </c>
      <c r="C259" s="1">
        <v>1</v>
      </c>
      <c r="D259" s="1">
        <v>0</v>
      </c>
      <c r="E259" s="1">
        <v>1</v>
      </c>
      <c r="F259" s="1">
        <v>2</v>
      </c>
      <c r="G259" s="1" t="b">
        <v>0</v>
      </c>
      <c r="H259" s="1">
        <v>3</v>
      </c>
      <c r="I259" s="1">
        <v>1</v>
      </c>
      <c r="J259" s="1">
        <v>0.14000000000000001</v>
      </c>
    </row>
    <row r="260" spans="1:10" ht="12.5" x14ac:dyDescent="0.25">
      <c r="A260" s="1">
        <v>259</v>
      </c>
      <c r="B260" s="2">
        <v>40555</v>
      </c>
      <c r="C260" s="1">
        <v>1</v>
      </c>
      <c r="D260" s="1">
        <v>0</v>
      </c>
      <c r="E260" s="1">
        <v>1</v>
      </c>
      <c r="F260" s="1">
        <v>5</v>
      </c>
      <c r="G260" s="1" t="b">
        <v>0</v>
      </c>
      <c r="H260" s="1">
        <v>3</v>
      </c>
      <c r="I260" s="1">
        <v>1</v>
      </c>
      <c r="J260" s="1">
        <v>0.14000000000000001</v>
      </c>
    </row>
    <row r="261" spans="1:10" ht="12.5" x14ac:dyDescent="0.25">
      <c r="A261" s="1">
        <v>260</v>
      </c>
      <c r="B261" s="2">
        <v>40555</v>
      </c>
      <c r="C261" s="1">
        <v>1</v>
      </c>
      <c r="D261" s="1">
        <v>0</v>
      </c>
      <c r="E261" s="1">
        <v>1</v>
      </c>
      <c r="F261" s="1">
        <v>6</v>
      </c>
      <c r="G261" s="1" t="b">
        <v>0</v>
      </c>
      <c r="H261" s="1">
        <v>3</v>
      </c>
      <c r="I261" s="1">
        <v>1</v>
      </c>
      <c r="J261" s="1">
        <v>0.12</v>
      </c>
    </row>
    <row r="262" spans="1:10" ht="12.5" x14ac:dyDescent="0.25">
      <c r="A262" s="1">
        <v>261</v>
      </c>
      <c r="B262" s="2">
        <v>40555</v>
      </c>
      <c r="C262" s="1">
        <v>1</v>
      </c>
      <c r="D262" s="1">
        <v>0</v>
      </c>
      <c r="E262" s="1">
        <v>1</v>
      </c>
      <c r="F262" s="1">
        <v>7</v>
      </c>
      <c r="G262" s="1" t="b">
        <v>0</v>
      </c>
      <c r="H262" s="1">
        <v>3</v>
      </c>
      <c r="I262" s="1">
        <v>1</v>
      </c>
      <c r="J262" s="1">
        <v>0.14000000000000001</v>
      </c>
    </row>
    <row r="263" spans="1:10" ht="12.5" x14ac:dyDescent="0.25">
      <c r="A263" s="1">
        <v>262</v>
      </c>
      <c r="B263" s="2">
        <v>40555</v>
      </c>
      <c r="C263" s="1">
        <v>1</v>
      </c>
      <c r="D263" s="1">
        <v>0</v>
      </c>
      <c r="E263" s="1">
        <v>1</v>
      </c>
      <c r="F263" s="1">
        <v>8</v>
      </c>
      <c r="G263" s="1" t="b">
        <v>0</v>
      </c>
      <c r="H263" s="1">
        <v>3</v>
      </c>
      <c r="I263" s="1">
        <v>1</v>
      </c>
      <c r="J263" s="1">
        <v>0.16</v>
      </c>
    </row>
    <row r="264" spans="1:10" ht="12.5" x14ac:dyDescent="0.25">
      <c r="A264" s="1">
        <v>263</v>
      </c>
      <c r="B264" s="2">
        <v>40555</v>
      </c>
      <c r="C264" s="1">
        <v>1</v>
      </c>
      <c r="D264" s="1">
        <v>0</v>
      </c>
      <c r="E264" s="1">
        <v>1</v>
      </c>
      <c r="F264" s="1">
        <v>9</v>
      </c>
      <c r="G264" s="1" t="b">
        <v>0</v>
      </c>
      <c r="H264" s="1">
        <v>3</v>
      </c>
      <c r="I264" s="1">
        <v>1</v>
      </c>
      <c r="J264" s="1">
        <v>0.16</v>
      </c>
    </row>
    <row r="265" spans="1:10" ht="12.5" x14ac:dyDescent="0.25">
      <c r="A265" s="1">
        <v>264</v>
      </c>
      <c r="B265" s="2">
        <v>40555</v>
      </c>
      <c r="C265" s="1">
        <v>1</v>
      </c>
      <c r="D265" s="1">
        <v>0</v>
      </c>
      <c r="E265" s="1">
        <v>1</v>
      </c>
      <c r="F265" s="1">
        <v>10</v>
      </c>
      <c r="G265" s="1" t="b">
        <v>0</v>
      </c>
      <c r="H265" s="1">
        <v>3</v>
      </c>
      <c r="I265" s="1">
        <v>1</v>
      </c>
      <c r="J265" s="1">
        <v>0.18</v>
      </c>
    </row>
    <row r="266" spans="1:10" ht="12.5" x14ac:dyDescent="0.25">
      <c r="A266" s="1">
        <v>265</v>
      </c>
      <c r="B266" s="2">
        <v>40555</v>
      </c>
      <c r="C266" s="1">
        <v>1</v>
      </c>
      <c r="D266" s="1">
        <v>0</v>
      </c>
      <c r="E266" s="1">
        <v>1</v>
      </c>
      <c r="F266" s="1">
        <v>11</v>
      </c>
      <c r="G266" s="1" t="b">
        <v>0</v>
      </c>
      <c r="H266" s="1">
        <v>3</v>
      </c>
      <c r="I266" s="1">
        <v>1</v>
      </c>
      <c r="J266" s="1">
        <v>0.2</v>
      </c>
    </row>
    <row r="267" spans="1:10" ht="12.5" x14ac:dyDescent="0.25">
      <c r="A267" s="1">
        <v>266</v>
      </c>
      <c r="B267" s="2">
        <v>40555</v>
      </c>
      <c r="C267" s="1">
        <v>1</v>
      </c>
      <c r="D267" s="1">
        <v>0</v>
      </c>
      <c r="E267" s="1">
        <v>1</v>
      </c>
      <c r="F267" s="1">
        <v>12</v>
      </c>
      <c r="G267" s="1" t="b">
        <v>0</v>
      </c>
      <c r="H267" s="1">
        <v>3</v>
      </c>
      <c r="I267" s="1">
        <v>1</v>
      </c>
      <c r="J267" s="1">
        <v>0.2</v>
      </c>
    </row>
    <row r="268" spans="1:10" ht="12.5" x14ac:dyDescent="0.25">
      <c r="A268" s="1">
        <v>267</v>
      </c>
      <c r="B268" s="2">
        <v>40555</v>
      </c>
      <c r="C268" s="1">
        <v>1</v>
      </c>
      <c r="D268" s="1">
        <v>0</v>
      </c>
      <c r="E268" s="1">
        <v>1</v>
      </c>
      <c r="F268" s="1">
        <v>13</v>
      </c>
      <c r="G268" s="1" t="b">
        <v>0</v>
      </c>
      <c r="H268" s="1">
        <v>3</v>
      </c>
      <c r="I268" s="1">
        <v>1</v>
      </c>
      <c r="J268" s="1">
        <v>0.22</v>
      </c>
    </row>
    <row r="269" spans="1:10" ht="12.5" x14ac:dyDescent="0.25">
      <c r="A269" s="1">
        <v>268</v>
      </c>
      <c r="B269" s="2">
        <v>40555</v>
      </c>
      <c r="C269" s="1">
        <v>1</v>
      </c>
      <c r="D269" s="1">
        <v>0</v>
      </c>
      <c r="E269" s="1">
        <v>1</v>
      </c>
      <c r="F269" s="1">
        <v>14</v>
      </c>
      <c r="G269" s="1" t="b">
        <v>0</v>
      </c>
      <c r="H269" s="1">
        <v>3</v>
      </c>
      <c r="I269" s="1">
        <v>1</v>
      </c>
      <c r="J269" s="1">
        <v>0.2</v>
      </c>
    </row>
    <row r="270" spans="1:10" ht="12.5" x14ac:dyDescent="0.25">
      <c r="A270" s="1">
        <v>269</v>
      </c>
      <c r="B270" s="2">
        <v>40555</v>
      </c>
      <c r="C270" s="1">
        <v>1</v>
      </c>
      <c r="D270" s="1">
        <v>0</v>
      </c>
      <c r="E270" s="1">
        <v>1</v>
      </c>
      <c r="F270" s="1">
        <v>15</v>
      </c>
      <c r="G270" s="1" t="b">
        <v>0</v>
      </c>
      <c r="H270" s="1">
        <v>3</v>
      </c>
      <c r="I270" s="1">
        <v>1</v>
      </c>
      <c r="J270" s="1">
        <v>0.2</v>
      </c>
    </row>
    <row r="271" spans="1:10" ht="12.5" x14ac:dyDescent="0.25">
      <c r="A271" s="1">
        <v>270</v>
      </c>
      <c r="B271" s="2">
        <v>40555</v>
      </c>
      <c r="C271" s="1">
        <v>1</v>
      </c>
      <c r="D271" s="1">
        <v>0</v>
      </c>
      <c r="E271" s="1">
        <v>1</v>
      </c>
      <c r="F271" s="1">
        <v>16</v>
      </c>
      <c r="G271" s="1" t="b">
        <v>0</v>
      </c>
      <c r="H271" s="1">
        <v>3</v>
      </c>
      <c r="I271" s="1">
        <v>1</v>
      </c>
      <c r="J271" s="1">
        <v>0.22</v>
      </c>
    </row>
    <row r="272" spans="1:10" ht="12.5" x14ac:dyDescent="0.25">
      <c r="A272" s="1">
        <v>271</v>
      </c>
      <c r="B272" s="2">
        <v>40555</v>
      </c>
      <c r="C272" s="1">
        <v>1</v>
      </c>
      <c r="D272" s="1">
        <v>0</v>
      </c>
      <c r="E272" s="1">
        <v>1</v>
      </c>
      <c r="F272" s="1">
        <v>17</v>
      </c>
      <c r="G272" s="1" t="b">
        <v>0</v>
      </c>
      <c r="H272" s="1">
        <v>3</v>
      </c>
      <c r="I272" s="1">
        <v>1</v>
      </c>
      <c r="J272" s="1">
        <v>0.2</v>
      </c>
    </row>
    <row r="273" spans="1:10" ht="12.5" x14ac:dyDescent="0.25">
      <c r="A273" s="1">
        <v>272</v>
      </c>
      <c r="B273" s="2">
        <v>40555</v>
      </c>
      <c r="C273" s="1">
        <v>1</v>
      </c>
      <c r="D273" s="1">
        <v>0</v>
      </c>
      <c r="E273" s="1">
        <v>1</v>
      </c>
      <c r="F273" s="1">
        <v>18</v>
      </c>
      <c r="G273" s="1" t="b">
        <v>0</v>
      </c>
      <c r="H273" s="1">
        <v>3</v>
      </c>
      <c r="I273" s="1">
        <v>1</v>
      </c>
      <c r="J273" s="1">
        <v>0.2</v>
      </c>
    </row>
    <row r="274" spans="1:10" ht="12.5" x14ac:dyDescent="0.25">
      <c r="A274" s="1">
        <v>273</v>
      </c>
      <c r="B274" s="2">
        <v>40555</v>
      </c>
      <c r="C274" s="1">
        <v>1</v>
      </c>
      <c r="D274" s="1">
        <v>0</v>
      </c>
      <c r="E274" s="1">
        <v>1</v>
      </c>
      <c r="F274" s="1">
        <v>19</v>
      </c>
      <c r="G274" s="1" t="b">
        <v>0</v>
      </c>
      <c r="H274" s="1">
        <v>3</v>
      </c>
      <c r="I274" s="1">
        <v>1</v>
      </c>
      <c r="J274" s="1">
        <v>0.18</v>
      </c>
    </row>
    <row r="275" spans="1:10" ht="12.5" x14ac:dyDescent="0.25">
      <c r="A275" s="1">
        <v>274</v>
      </c>
      <c r="B275" s="2">
        <v>40555</v>
      </c>
      <c r="C275" s="1">
        <v>1</v>
      </c>
      <c r="D275" s="1">
        <v>0</v>
      </c>
      <c r="E275" s="1">
        <v>1</v>
      </c>
      <c r="F275" s="1">
        <v>20</v>
      </c>
      <c r="G275" s="1" t="b">
        <v>0</v>
      </c>
      <c r="H275" s="1">
        <v>3</v>
      </c>
      <c r="I275" s="1">
        <v>1</v>
      </c>
      <c r="J275" s="1">
        <v>0.16</v>
      </c>
    </row>
    <row r="276" spans="1:10" ht="12.5" x14ac:dyDescent="0.25">
      <c r="A276" s="1">
        <v>275</v>
      </c>
      <c r="B276" s="2">
        <v>40555</v>
      </c>
      <c r="C276" s="1">
        <v>1</v>
      </c>
      <c r="D276" s="1">
        <v>0</v>
      </c>
      <c r="E276" s="1">
        <v>1</v>
      </c>
      <c r="F276" s="1">
        <v>21</v>
      </c>
      <c r="G276" s="1" t="b">
        <v>0</v>
      </c>
      <c r="H276" s="1">
        <v>3</v>
      </c>
      <c r="I276" s="1">
        <v>1</v>
      </c>
      <c r="J276" s="1">
        <v>0.16</v>
      </c>
    </row>
    <row r="277" spans="1:10" ht="12.5" x14ac:dyDescent="0.25">
      <c r="A277" s="1">
        <v>276</v>
      </c>
      <c r="B277" s="2">
        <v>40555</v>
      </c>
      <c r="C277" s="1">
        <v>1</v>
      </c>
      <c r="D277" s="1">
        <v>0</v>
      </c>
      <c r="E277" s="1">
        <v>1</v>
      </c>
      <c r="F277" s="1">
        <v>22</v>
      </c>
      <c r="G277" s="1" t="b">
        <v>0</v>
      </c>
      <c r="H277" s="1">
        <v>3</v>
      </c>
      <c r="I277" s="1">
        <v>1</v>
      </c>
      <c r="J277" s="1">
        <v>0.16</v>
      </c>
    </row>
    <row r="278" spans="1:10" ht="12.5" x14ac:dyDescent="0.25">
      <c r="A278" s="1">
        <v>277</v>
      </c>
      <c r="B278" s="2">
        <v>40555</v>
      </c>
      <c r="C278" s="1">
        <v>1</v>
      </c>
      <c r="D278" s="1">
        <v>0</v>
      </c>
      <c r="E278" s="1">
        <v>1</v>
      </c>
      <c r="F278" s="1">
        <v>23</v>
      </c>
      <c r="G278" s="1" t="b">
        <v>0</v>
      </c>
      <c r="H278" s="1">
        <v>3</v>
      </c>
      <c r="I278" s="1">
        <v>1</v>
      </c>
      <c r="J278" s="1">
        <v>0.14000000000000001</v>
      </c>
    </row>
    <row r="279" spans="1:10" ht="12.5" x14ac:dyDescent="0.25">
      <c r="A279" s="1">
        <v>278</v>
      </c>
      <c r="B279" s="2">
        <v>40556</v>
      </c>
      <c r="C279" s="1">
        <v>1</v>
      </c>
      <c r="D279" s="1">
        <v>0</v>
      </c>
      <c r="E279" s="1">
        <v>1</v>
      </c>
      <c r="F279" s="1">
        <v>0</v>
      </c>
      <c r="G279" s="1" t="b">
        <v>0</v>
      </c>
      <c r="H279" s="1">
        <v>4</v>
      </c>
      <c r="I279" s="1">
        <v>1</v>
      </c>
      <c r="J279" s="1">
        <v>0.14000000000000001</v>
      </c>
    </row>
    <row r="280" spans="1:10" ht="12.5" x14ac:dyDescent="0.25">
      <c r="A280" s="1">
        <v>279</v>
      </c>
      <c r="B280" s="2">
        <v>40556</v>
      </c>
      <c r="C280" s="1">
        <v>1</v>
      </c>
      <c r="D280" s="1">
        <v>0</v>
      </c>
      <c r="E280" s="1">
        <v>1</v>
      </c>
      <c r="F280" s="1">
        <v>1</v>
      </c>
      <c r="G280" s="1" t="b">
        <v>0</v>
      </c>
      <c r="H280" s="1">
        <v>4</v>
      </c>
      <c r="I280" s="1">
        <v>1</v>
      </c>
      <c r="J280" s="1">
        <v>0.14000000000000001</v>
      </c>
    </row>
    <row r="281" spans="1:10" ht="12.5" x14ac:dyDescent="0.25">
      <c r="A281" s="1">
        <v>280</v>
      </c>
      <c r="B281" s="2">
        <v>40556</v>
      </c>
      <c r="C281" s="1">
        <v>1</v>
      </c>
      <c r="D281" s="1">
        <v>0</v>
      </c>
      <c r="E281" s="1">
        <v>1</v>
      </c>
      <c r="F281" s="1">
        <v>2</v>
      </c>
      <c r="G281" s="1" t="b">
        <v>0</v>
      </c>
      <c r="H281" s="1">
        <v>4</v>
      </c>
      <c r="I281" s="1">
        <v>1</v>
      </c>
      <c r="J281" s="1">
        <v>0.14000000000000001</v>
      </c>
    </row>
    <row r="282" spans="1:10" ht="12.5" x14ac:dyDescent="0.25">
      <c r="A282" s="1">
        <v>281</v>
      </c>
      <c r="B282" s="2">
        <v>40556</v>
      </c>
      <c r="C282" s="1">
        <v>1</v>
      </c>
      <c r="D282" s="1">
        <v>0</v>
      </c>
      <c r="E282" s="1">
        <v>1</v>
      </c>
      <c r="F282" s="1">
        <v>3</v>
      </c>
      <c r="G282" s="1" t="b">
        <v>0</v>
      </c>
      <c r="H282" s="1">
        <v>4</v>
      </c>
      <c r="I282" s="1">
        <v>1</v>
      </c>
      <c r="J282" s="1">
        <v>0.14000000000000001</v>
      </c>
    </row>
    <row r="283" spans="1:10" ht="12.5" x14ac:dyDescent="0.25">
      <c r="A283" s="1">
        <v>282</v>
      </c>
      <c r="B283" s="2">
        <v>40556</v>
      </c>
      <c r="C283" s="1">
        <v>1</v>
      </c>
      <c r="D283" s="1">
        <v>0</v>
      </c>
      <c r="E283" s="1">
        <v>1</v>
      </c>
      <c r="F283" s="1">
        <v>4</v>
      </c>
      <c r="G283" s="1" t="b">
        <v>0</v>
      </c>
      <c r="H283" s="1">
        <v>4</v>
      </c>
      <c r="I283" s="1">
        <v>1</v>
      </c>
      <c r="J283" s="1">
        <v>0.14000000000000001</v>
      </c>
    </row>
    <row r="284" spans="1:10" ht="12.5" x14ac:dyDescent="0.25">
      <c r="A284" s="1">
        <v>283</v>
      </c>
      <c r="B284" s="2">
        <v>40556</v>
      </c>
      <c r="C284" s="1">
        <v>1</v>
      </c>
      <c r="D284" s="1">
        <v>0</v>
      </c>
      <c r="E284" s="1">
        <v>1</v>
      </c>
      <c r="F284" s="1">
        <v>5</v>
      </c>
      <c r="G284" s="1" t="b">
        <v>0</v>
      </c>
      <c r="H284" s="1">
        <v>4</v>
      </c>
      <c r="I284" s="1">
        <v>1</v>
      </c>
      <c r="J284" s="1">
        <v>0.14000000000000001</v>
      </c>
    </row>
    <row r="285" spans="1:10" ht="12.5" x14ac:dyDescent="0.25">
      <c r="A285" s="1">
        <v>284</v>
      </c>
      <c r="B285" s="2">
        <v>40556</v>
      </c>
      <c r="C285" s="1">
        <v>1</v>
      </c>
      <c r="D285" s="1">
        <v>0</v>
      </c>
      <c r="E285" s="1">
        <v>1</v>
      </c>
      <c r="F285" s="1">
        <v>6</v>
      </c>
      <c r="G285" s="1" t="b">
        <v>0</v>
      </c>
      <c r="H285" s="1">
        <v>4</v>
      </c>
      <c r="I285" s="1">
        <v>1</v>
      </c>
      <c r="J285" s="1">
        <v>0.12</v>
      </c>
    </row>
    <row r="286" spans="1:10" ht="12.5" x14ac:dyDescent="0.25">
      <c r="A286" s="1">
        <v>285</v>
      </c>
      <c r="B286" s="2">
        <v>40556</v>
      </c>
      <c r="C286" s="1">
        <v>1</v>
      </c>
      <c r="D286" s="1">
        <v>0</v>
      </c>
      <c r="E286" s="1">
        <v>1</v>
      </c>
      <c r="F286" s="1">
        <v>7</v>
      </c>
      <c r="G286" s="1" t="b">
        <v>0</v>
      </c>
      <c r="H286" s="1">
        <v>4</v>
      </c>
      <c r="I286" s="1">
        <v>1</v>
      </c>
      <c r="J286" s="1">
        <v>0.12</v>
      </c>
    </row>
    <row r="287" spans="1:10" ht="12.5" x14ac:dyDescent="0.25">
      <c r="A287" s="1">
        <v>286</v>
      </c>
      <c r="B287" s="2">
        <v>40556</v>
      </c>
      <c r="C287" s="1">
        <v>1</v>
      </c>
      <c r="D287" s="1">
        <v>0</v>
      </c>
      <c r="E287" s="1">
        <v>1</v>
      </c>
      <c r="F287" s="1">
        <v>8</v>
      </c>
      <c r="G287" s="1" t="b">
        <v>0</v>
      </c>
      <c r="H287" s="1">
        <v>4</v>
      </c>
      <c r="I287" s="1">
        <v>1</v>
      </c>
      <c r="J287" s="1">
        <v>0.14000000000000001</v>
      </c>
    </row>
    <row r="288" spans="1:10" ht="12.5" x14ac:dyDescent="0.25">
      <c r="A288" s="1">
        <v>287</v>
      </c>
      <c r="B288" s="2">
        <v>40556</v>
      </c>
      <c r="C288" s="1">
        <v>1</v>
      </c>
      <c r="D288" s="1">
        <v>0</v>
      </c>
      <c r="E288" s="1">
        <v>1</v>
      </c>
      <c r="F288" s="1">
        <v>9</v>
      </c>
      <c r="G288" s="1" t="b">
        <v>0</v>
      </c>
      <c r="H288" s="1">
        <v>4</v>
      </c>
      <c r="I288" s="1">
        <v>1</v>
      </c>
      <c r="J288" s="1">
        <v>0.14000000000000001</v>
      </c>
    </row>
    <row r="289" spans="1:10" ht="12.5" x14ac:dyDescent="0.25">
      <c r="A289" s="1">
        <v>288</v>
      </c>
      <c r="B289" s="2">
        <v>40556</v>
      </c>
      <c r="C289" s="1">
        <v>1</v>
      </c>
      <c r="D289" s="1">
        <v>0</v>
      </c>
      <c r="E289" s="1">
        <v>1</v>
      </c>
      <c r="F289" s="1">
        <v>10</v>
      </c>
      <c r="G289" s="1" t="b">
        <v>0</v>
      </c>
      <c r="H289" s="1">
        <v>4</v>
      </c>
      <c r="I289" s="1">
        <v>2</v>
      </c>
      <c r="J289" s="1">
        <v>0.16</v>
      </c>
    </row>
    <row r="290" spans="1:10" ht="12.5" x14ac:dyDescent="0.25">
      <c r="A290" s="1">
        <v>289</v>
      </c>
      <c r="B290" s="2">
        <v>40556</v>
      </c>
      <c r="C290" s="1">
        <v>1</v>
      </c>
      <c r="D290" s="1">
        <v>0</v>
      </c>
      <c r="E290" s="1">
        <v>1</v>
      </c>
      <c r="F290" s="1">
        <v>11</v>
      </c>
      <c r="G290" s="1" t="b">
        <v>0</v>
      </c>
      <c r="H290" s="1">
        <v>4</v>
      </c>
      <c r="I290" s="1">
        <v>2</v>
      </c>
      <c r="J290" s="1">
        <v>0.2</v>
      </c>
    </row>
    <row r="291" spans="1:10" ht="12.5" x14ac:dyDescent="0.25">
      <c r="A291" s="1">
        <v>290</v>
      </c>
      <c r="B291" s="2">
        <v>40556</v>
      </c>
      <c r="C291" s="1">
        <v>1</v>
      </c>
      <c r="D291" s="1">
        <v>0</v>
      </c>
      <c r="E291" s="1">
        <v>1</v>
      </c>
      <c r="F291" s="1">
        <v>12</v>
      </c>
      <c r="G291" s="1" t="b">
        <v>0</v>
      </c>
      <c r="H291" s="1">
        <v>4</v>
      </c>
      <c r="I291" s="1">
        <v>1</v>
      </c>
      <c r="J291" s="1">
        <v>0.2</v>
      </c>
    </row>
    <row r="292" spans="1:10" ht="12.5" x14ac:dyDescent="0.25">
      <c r="A292" s="1">
        <v>291</v>
      </c>
      <c r="B292" s="2">
        <v>40556</v>
      </c>
      <c r="C292" s="1">
        <v>1</v>
      </c>
      <c r="D292" s="1">
        <v>0</v>
      </c>
      <c r="E292" s="1">
        <v>1</v>
      </c>
      <c r="F292" s="1">
        <v>13</v>
      </c>
      <c r="G292" s="1" t="b">
        <v>0</v>
      </c>
      <c r="H292" s="1">
        <v>4</v>
      </c>
      <c r="I292" s="1">
        <v>1</v>
      </c>
      <c r="J292" s="1">
        <v>0.22</v>
      </c>
    </row>
    <row r="293" spans="1:10" ht="12.5" x14ac:dyDescent="0.25">
      <c r="A293" s="1">
        <v>292</v>
      </c>
      <c r="B293" s="2">
        <v>40556</v>
      </c>
      <c r="C293" s="1">
        <v>1</v>
      </c>
      <c r="D293" s="1">
        <v>0</v>
      </c>
      <c r="E293" s="1">
        <v>1</v>
      </c>
      <c r="F293" s="1">
        <v>14</v>
      </c>
      <c r="G293" s="1" t="b">
        <v>0</v>
      </c>
      <c r="H293" s="1">
        <v>4</v>
      </c>
      <c r="I293" s="1">
        <v>1</v>
      </c>
      <c r="J293" s="1">
        <v>0.22</v>
      </c>
    </row>
    <row r="294" spans="1:10" ht="12.5" x14ac:dyDescent="0.25">
      <c r="A294" s="1">
        <v>293</v>
      </c>
      <c r="B294" s="2">
        <v>40556</v>
      </c>
      <c r="C294" s="1">
        <v>1</v>
      </c>
      <c r="D294" s="1">
        <v>0</v>
      </c>
      <c r="E294" s="1">
        <v>1</v>
      </c>
      <c r="F294" s="1">
        <v>15</v>
      </c>
      <c r="G294" s="1" t="b">
        <v>0</v>
      </c>
      <c r="H294" s="1">
        <v>4</v>
      </c>
      <c r="I294" s="1">
        <v>1</v>
      </c>
      <c r="J294" s="1">
        <v>0.24</v>
      </c>
    </row>
    <row r="295" spans="1:10" ht="12.5" x14ac:dyDescent="0.25">
      <c r="A295" s="1">
        <v>294</v>
      </c>
      <c r="B295" s="2">
        <v>40556</v>
      </c>
      <c r="C295" s="1">
        <v>1</v>
      </c>
      <c r="D295" s="1">
        <v>0</v>
      </c>
      <c r="E295" s="1">
        <v>1</v>
      </c>
      <c r="F295" s="1">
        <v>16</v>
      </c>
      <c r="G295" s="1" t="b">
        <v>0</v>
      </c>
      <c r="H295" s="1">
        <v>4</v>
      </c>
      <c r="I295" s="1">
        <v>1</v>
      </c>
      <c r="J295" s="1">
        <v>0.24</v>
      </c>
    </row>
    <row r="296" spans="1:10" ht="12.5" x14ac:dyDescent="0.25">
      <c r="A296" s="1">
        <v>295</v>
      </c>
      <c r="B296" s="2">
        <v>40556</v>
      </c>
      <c r="C296" s="1">
        <v>1</v>
      </c>
      <c r="D296" s="1">
        <v>0</v>
      </c>
      <c r="E296" s="1">
        <v>1</v>
      </c>
      <c r="F296" s="1">
        <v>17</v>
      </c>
      <c r="G296" s="1" t="b">
        <v>0</v>
      </c>
      <c r="H296" s="1">
        <v>4</v>
      </c>
      <c r="I296" s="1">
        <v>1</v>
      </c>
      <c r="J296" s="1">
        <v>0.2</v>
      </c>
    </row>
    <row r="297" spans="1:10" ht="12.5" x14ac:dyDescent="0.25">
      <c r="A297" s="1">
        <v>296</v>
      </c>
      <c r="B297" s="2">
        <v>40556</v>
      </c>
      <c r="C297" s="1">
        <v>1</v>
      </c>
      <c r="D297" s="1">
        <v>0</v>
      </c>
      <c r="E297" s="1">
        <v>1</v>
      </c>
      <c r="F297" s="1">
        <v>18</v>
      </c>
      <c r="G297" s="1" t="b">
        <v>0</v>
      </c>
      <c r="H297" s="1">
        <v>4</v>
      </c>
      <c r="I297" s="1">
        <v>1</v>
      </c>
      <c r="J297" s="1">
        <v>0.2</v>
      </c>
    </row>
    <row r="298" spans="1:10" ht="12.5" x14ac:dyDescent="0.25">
      <c r="A298" s="1">
        <v>297</v>
      </c>
      <c r="B298" s="2">
        <v>40556</v>
      </c>
      <c r="C298" s="1">
        <v>1</v>
      </c>
      <c r="D298" s="1">
        <v>0</v>
      </c>
      <c r="E298" s="1">
        <v>1</v>
      </c>
      <c r="F298" s="1">
        <v>19</v>
      </c>
      <c r="G298" s="1" t="b">
        <v>0</v>
      </c>
      <c r="H298" s="1">
        <v>4</v>
      </c>
      <c r="I298" s="1">
        <v>1</v>
      </c>
      <c r="J298" s="1">
        <v>0.16</v>
      </c>
    </row>
    <row r="299" spans="1:10" ht="12.5" x14ac:dyDescent="0.25">
      <c r="A299" s="1">
        <v>298</v>
      </c>
      <c r="B299" s="2">
        <v>40556</v>
      </c>
      <c r="C299" s="1">
        <v>1</v>
      </c>
      <c r="D299" s="1">
        <v>0</v>
      </c>
      <c r="E299" s="1">
        <v>1</v>
      </c>
      <c r="F299" s="1">
        <v>20</v>
      </c>
      <c r="G299" s="1" t="b">
        <v>0</v>
      </c>
      <c r="H299" s="1">
        <v>4</v>
      </c>
      <c r="I299" s="1">
        <v>1</v>
      </c>
      <c r="J299" s="1">
        <v>0.16</v>
      </c>
    </row>
    <row r="300" spans="1:10" ht="12.5" x14ac:dyDescent="0.25">
      <c r="A300" s="1">
        <v>299</v>
      </c>
      <c r="B300" s="2">
        <v>40556</v>
      </c>
      <c r="C300" s="1">
        <v>1</v>
      </c>
      <c r="D300" s="1">
        <v>0</v>
      </c>
      <c r="E300" s="1">
        <v>1</v>
      </c>
      <c r="F300" s="1">
        <v>21</v>
      </c>
      <c r="G300" s="1" t="b">
        <v>0</v>
      </c>
      <c r="H300" s="1">
        <v>4</v>
      </c>
      <c r="I300" s="1">
        <v>1</v>
      </c>
      <c r="J300" s="1">
        <v>0.14000000000000001</v>
      </c>
    </row>
    <row r="301" spans="1:10" ht="12.5" x14ac:dyDescent="0.25">
      <c r="A301" s="1">
        <v>300</v>
      </c>
      <c r="B301" s="2">
        <v>40556</v>
      </c>
      <c r="C301" s="1">
        <v>1</v>
      </c>
      <c r="D301" s="1">
        <v>0</v>
      </c>
      <c r="E301" s="1">
        <v>1</v>
      </c>
      <c r="F301" s="1">
        <v>22</v>
      </c>
      <c r="G301" s="1" t="b">
        <v>0</v>
      </c>
      <c r="H301" s="1">
        <v>4</v>
      </c>
      <c r="I301" s="1">
        <v>1</v>
      </c>
      <c r="J301" s="1">
        <v>0.14000000000000001</v>
      </c>
    </row>
    <row r="302" spans="1:10" ht="12.5" x14ac:dyDescent="0.25">
      <c r="A302" s="1">
        <v>301</v>
      </c>
      <c r="B302" s="2">
        <v>40556</v>
      </c>
      <c r="C302" s="1">
        <v>1</v>
      </c>
      <c r="D302" s="1">
        <v>0</v>
      </c>
      <c r="E302" s="1">
        <v>1</v>
      </c>
      <c r="F302" s="1">
        <v>23</v>
      </c>
      <c r="G302" s="1" t="b">
        <v>0</v>
      </c>
      <c r="H302" s="1">
        <v>4</v>
      </c>
      <c r="I302" s="1">
        <v>1</v>
      </c>
      <c r="J302" s="1">
        <v>0.12</v>
      </c>
    </row>
    <row r="303" spans="1:10" ht="12.5" x14ac:dyDescent="0.25">
      <c r="A303" s="1">
        <v>302</v>
      </c>
      <c r="B303" s="2">
        <v>40557</v>
      </c>
      <c r="C303" s="1">
        <v>1</v>
      </c>
      <c r="D303" s="1">
        <v>0</v>
      </c>
      <c r="E303" s="1">
        <v>1</v>
      </c>
      <c r="F303" s="1">
        <v>0</v>
      </c>
      <c r="G303" s="1" t="b">
        <v>0</v>
      </c>
      <c r="H303" s="1">
        <v>5</v>
      </c>
      <c r="I303" s="1">
        <v>1</v>
      </c>
      <c r="J303" s="1">
        <v>0.12</v>
      </c>
    </row>
    <row r="304" spans="1:10" ht="12.5" x14ac:dyDescent="0.25">
      <c r="A304" s="1">
        <v>303</v>
      </c>
      <c r="B304" s="2">
        <v>40557</v>
      </c>
      <c r="C304" s="1">
        <v>1</v>
      </c>
      <c r="D304" s="1">
        <v>0</v>
      </c>
      <c r="E304" s="1">
        <v>1</v>
      </c>
      <c r="F304" s="1">
        <v>1</v>
      </c>
      <c r="G304" s="1" t="b">
        <v>0</v>
      </c>
      <c r="H304" s="1">
        <v>5</v>
      </c>
      <c r="I304" s="1">
        <v>1</v>
      </c>
      <c r="J304" s="1">
        <v>0.1</v>
      </c>
    </row>
    <row r="305" spans="1:10" ht="12.5" x14ac:dyDescent="0.25">
      <c r="A305" s="1">
        <v>304</v>
      </c>
      <c r="B305" s="2">
        <v>40557</v>
      </c>
      <c r="C305" s="1">
        <v>1</v>
      </c>
      <c r="D305" s="1">
        <v>0</v>
      </c>
      <c r="E305" s="1">
        <v>1</v>
      </c>
      <c r="F305" s="1">
        <v>2</v>
      </c>
      <c r="G305" s="1" t="b">
        <v>0</v>
      </c>
      <c r="H305" s="1">
        <v>5</v>
      </c>
      <c r="I305" s="1">
        <v>1</v>
      </c>
      <c r="J305" s="1">
        <v>0.1</v>
      </c>
    </row>
    <row r="306" spans="1:10" ht="12.5" x14ac:dyDescent="0.25">
      <c r="A306" s="1">
        <v>305</v>
      </c>
      <c r="B306" s="2">
        <v>40557</v>
      </c>
      <c r="C306" s="1">
        <v>1</v>
      </c>
      <c r="D306" s="1">
        <v>0</v>
      </c>
      <c r="E306" s="1">
        <v>1</v>
      </c>
      <c r="F306" s="1">
        <v>3</v>
      </c>
      <c r="G306" s="1" t="b">
        <v>0</v>
      </c>
      <c r="H306" s="1">
        <v>5</v>
      </c>
      <c r="I306" s="1">
        <v>1</v>
      </c>
      <c r="J306" s="1">
        <v>0.1</v>
      </c>
    </row>
    <row r="307" spans="1:10" ht="12.5" x14ac:dyDescent="0.25">
      <c r="A307" s="1">
        <v>306</v>
      </c>
      <c r="B307" s="2">
        <v>40557</v>
      </c>
      <c r="C307" s="1">
        <v>1</v>
      </c>
      <c r="D307" s="1">
        <v>0</v>
      </c>
      <c r="E307" s="1">
        <v>1</v>
      </c>
      <c r="F307" s="1">
        <v>5</v>
      </c>
      <c r="G307" s="1" t="b">
        <v>0</v>
      </c>
      <c r="H307" s="1">
        <v>5</v>
      </c>
      <c r="I307" s="1">
        <v>1</v>
      </c>
      <c r="J307" s="1">
        <v>0.1</v>
      </c>
    </row>
    <row r="308" spans="1:10" ht="12.5" x14ac:dyDescent="0.25">
      <c r="A308" s="1">
        <v>307</v>
      </c>
      <c r="B308" s="2">
        <v>40557</v>
      </c>
      <c r="C308" s="1">
        <v>1</v>
      </c>
      <c r="D308" s="1">
        <v>0</v>
      </c>
      <c r="E308" s="1">
        <v>1</v>
      </c>
      <c r="F308" s="1">
        <v>6</v>
      </c>
      <c r="G308" s="1" t="b">
        <v>0</v>
      </c>
      <c r="H308" s="1">
        <v>5</v>
      </c>
      <c r="I308" s="1">
        <v>1</v>
      </c>
      <c r="J308" s="1">
        <v>0.1</v>
      </c>
    </row>
    <row r="309" spans="1:10" ht="12.5" x14ac:dyDescent="0.25">
      <c r="A309" s="1">
        <v>308</v>
      </c>
      <c r="B309" s="2">
        <v>40557</v>
      </c>
      <c r="C309" s="1">
        <v>1</v>
      </c>
      <c r="D309" s="1">
        <v>0</v>
      </c>
      <c r="E309" s="1">
        <v>1</v>
      </c>
      <c r="F309" s="1">
        <v>7</v>
      </c>
      <c r="G309" s="1" t="b">
        <v>0</v>
      </c>
      <c r="H309" s="1">
        <v>5</v>
      </c>
      <c r="I309" s="1">
        <v>1</v>
      </c>
      <c r="J309" s="1">
        <v>0.1</v>
      </c>
    </row>
    <row r="310" spans="1:10" ht="12.5" x14ac:dyDescent="0.25">
      <c r="A310" s="1">
        <v>309</v>
      </c>
      <c r="B310" s="2">
        <v>40557</v>
      </c>
      <c r="C310" s="1">
        <v>1</v>
      </c>
      <c r="D310" s="1">
        <v>0</v>
      </c>
      <c r="E310" s="1">
        <v>1</v>
      </c>
      <c r="F310" s="1">
        <v>8</v>
      </c>
      <c r="G310" s="1" t="b">
        <v>0</v>
      </c>
      <c r="H310" s="1">
        <v>5</v>
      </c>
      <c r="I310" s="1">
        <v>1</v>
      </c>
      <c r="J310" s="1">
        <v>0.12</v>
      </c>
    </row>
    <row r="311" spans="1:10" ht="12.5" x14ac:dyDescent="0.25">
      <c r="A311" s="1">
        <v>310</v>
      </c>
      <c r="B311" s="2">
        <v>40557</v>
      </c>
      <c r="C311" s="1">
        <v>1</v>
      </c>
      <c r="D311" s="1">
        <v>0</v>
      </c>
      <c r="E311" s="1">
        <v>1</v>
      </c>
      <c r="F311" s="1">
        <v>9</v>
      </c>
      <c r="G311" s="1" t="b">
        <v>0</v>
      </c>
      <c r="H311" s="1">
        <v>5</v>
      </c>
      <c r="I311" s="1">
        <v>1</v>
      </c>
      <c r="J311" s="1">
        <v>0.14000000000000001</v>
      </c>
    </row>
    <row r="312" spans="1:10" ht="12.5" x14ac:dyDescent="0.25">
      <c r="A312" s="1">
        <v>311</v>
      </c>
      <c r="B312" s="2">
        <v>40557</v>
      </c>
      <c r="C312" s="1">
        <v>1</v>
      </c>
      <c r="D312" s="1">
        <v>0</v>
      </c>
      <c r="E312" s="1">
        <v>1</v>
      </c>
      <c r="F312" s="1">
        <v>10</v>
      </c>
      <c r="G312" s="1" t="b">
        <v>0</v>
      </c>
      <c r="H312" s="1">
        <v>5</v>
      </c>
      <c r="I312" s="1">
        <v>1</v>
      </c>
      <c r="J312" s="1">
        <v>0.18</v>
      </c>
    </row>
    <row r="313" spans="1:10" ht="12.5" x14ac:dyDescent="0.25">
      <c r="A313" s="1">
        <v>312</v>
      </c>
      <c r="B313" s="2">
        <v>40557</v>
      </c>
      <c r="C313" s="1">
        <v>1</v>
      </c>
      <c r="D313" s="1">
        <v>0</v>
      </c>
      <c r="E313" s="1">
        <v>1</v>
      </c>
      <c r="F313" s="1">
        <v>11</v>
      </c>
      <c r="G313" s="1" t="b">
        <v>0</v>
      </c>
      <c r="H313" s="1">
        <v>5</v>
      </c>
      <c r="I313" s="1">
        <v>1</v>
      </c>
      <c r="J313" s="1">
        <v>0.18</v>
      </c>
    </row>
    <row r="314" spans="1:10" ht="12.5" x14ac:dyDescent="0.25">
      <c r="A314" s="1">
        <v>313</v>
      </c>
      <c r="B314" s="2">
        <v>40557</v>
      </c>
      <c r="C314" s="1">
        <v>1</v>
      </c>
      <c r="D314" s="1">
        <v>0</v>
      </c>
      <c r="E314" s="1">
        <v>1</v>
      </c>
      <c r="F314" s="1">
        <v>12</v>
      </c>
      <c r="G314" s="1" t="b">
        <v>0</v>
      </c>
      <c r="H314" s="1">
        <v>5</v>
      </c>
      <c r="I314" s="1">
        <v>1</v>
      </c>
      <c r="J314" s="1">
        <v>0.2</v>
      </c>
    </row>
    <row r="315" spans="1:10" ht="12.5" x14ac:dyDescent="0.25">
      <c r="A315" s="1">
        <v>314</v>
      </c>
      <c r="B315" s="2">
        <v>40557</v>
      </c>
      <c r="C315" s="1">
        <v>1</v>
      </c>
      <c r="D315" s="1">
        <v>0</v>
      </c>
      <c r="E315" s="1">
        <v>1</v>
      </c>
      <c r="F315" s="1">
        <v>13</v>
      </c>
      <c r="G315" s="1" t="b">
        <v>0</v>
      </c>
      <c r="H315" s="1">
        <v>5</v>
      </c>
      <c r="I315" s="1">
        <v>1</v>
      </c>
      <c r="J315" s="1">
        <v>0.22</v>
      </c>
    </row>
    <row r="316" spans="1:10" ht="12.5" x14ac:dyDescent="0.25">
      <c r="A316" s="1">
        <v>315</v>
      </c>
      <c r="B316" s="2">
        <v>40557</v>
      </c>
      <c r="C316" s="1">
        <v>1</v>
      </c>
      <c r="D316" s="1">
        <v>0</v>
      </c>
      <c r="E316" s="1">
        <v>1</v>
      </c>
      <c r="F316" s="1">
        <v>14</v>
      </c>
      <c r="G316" s="1" t="b">
        <v>0</v>
      </c>
      <c r="H316" s="1">
        <v>5</v>
      </c>
      <c r="I316" s="1">
        <v>1</v>
      </c>
      <c r="J316" s="1">
        <v>0.22</v>
      </c>
    </row>
    <row r="317" spans="1:10" ht="12.5" x14ac:dyDescent="0.25">
      <c r="A317" s="1">
        <v>316</v>
      </c>
      <c r="B317" s="2">
        <v>40557</v>
      </c>
      <c r="C317" s="1">
        <v>1</v>
      </c>
      <c r="D317" s="1">
        <v>0</v>
      </c>
      <c r="E317" s="1">
        <v>1</v>
      </c>
      <c r="F317" s="1">
        <v>15</v>
      </c>
      <c r="G317" s="1" t="b">
        <v>0</v>
      </c>
      <c r="H317" s="1">
        <v>5</v>
      </c>
      <c r="I317" s="1">
        <v>1</v>
      </c>
      <c r="J317" s="1">
        <v>0.24</v>
      </c>
    </row>
    <row r="318" spans="1:10" ht="12.5" x14ac:dyDescent="0.25">
      <c r="A318" s="1">
        <v>317</v>
      </c>
      <c r="B318" s="2">
        <v>40557</v>
      </c>
      <c r="C318" s="1">
        <v>1</v>
      </c>
      <c r="D318" s="1">
        <v>0</v>
      </c>
      <c r="E318" s="1">
        <v>1</v>
      </c>
      <c r="F318" s="1">
        <v>16</v>
      </c>
      <c r="G318" s="1" t="b">
        <v>0</v>
      </c>
      <c r="H318" s="1">
        <v>5</v>
      </c>
      <c r="I318" s="1">
        <v>1</v>
      </c>
      <c r="J318" s="1">
        <v>0.22</v>
      </c>
    </row>
    <row r="319" spans="1:10" ht="12.5" x14ac:dyDescent="0.25">
      <c r="A319" s="1">
        <v>318</v>
      </c>
      <c r="B319" s="2">
        <v>40557</v>
      </c>
      <c r="C319" s="1">
        <v>1</v>
      </c>
      <c r="D319" s="1">
        <v>0</v>
      </c>
      <c r="E319" s="1">
        <v>1</v>
      </c>
      <c r="F319" s="1">
        <v>17</v>
      </c>
      <c r="G319" s="1" t="b">
        <v>0</v>
      </c>
      <c r="H319" s="1">
        <v>5</v>
      </c>
      <c r="I319" s="1">
        <v>1</v>
      </c>
      <c r="J319" s="1">
        <v>0.22</v>
      </c>
    </row>
    <row r="320" spans="1:10" ht="12.5" x14ac:dyDescent="0.25">
      <c r="A320" s="1">
        <v>319</v>
      </c>
      <c r="B320" s="2">
        <v>40557</v>
      </c>
      <c r="C320" s="1">
        <v>1</v>
      </c>
      <c r="D320" s="1">
        <v>0</v>
      </c>
      <c r="E320" s="1">
        <v>1</v>
      </c>
      <c r="F320" s="1">
        <v>18</v>
      </c>
      <c r="G320" s="1" t="b">
        <v>0</v>
      </c>
      <c r="H320" s="1">
        <v>5</v>
      </c>
      <c r="I320" s="1">
        <v>1</v>
      </c>
      <c r="J320" s="1">
        <v>0.2</v>
      </c>
    </row>
    <row r="321" spans="1:10" ht="12.5" x14ac:dyDescent="0.25">
      <c r="A321" s="1">
        <v>320</v>
      </c>
      <c r="B321" s="2">
        <v>40557</v>
      </c>
      <c r="C321" s="1">
        <v>1</v>
      </c>
      <c r="D321" s="1">
        <v>0</v>
      </c>
      <c r="E321" s="1">
        <v>1</v>
      </c>
      <c r="F321" s="1">
        <v>19</v>
      </c>
      <c r="G321" s="1" t="b">
        <v>0</v>
      </c>
      <c r="H321" s="1">
        <v>5</v>
      </c>
      <c r="I321" s="1">
        <v>1</v>
      </c>
      <c r="J321" s="1">
        <v>0.16</v>
      </c>
    </row>
    <row r="322" spans="1:10" ht="12.5" x14ac:dyDescent="0.25">
      <c r="A322" s="1">
        <v>321</v>
      </c>
      <c r="B322" s="2">
        <v>40557</v>
      </c>
      <c r="C322" s="1">
        <v>1</v>
      </c>
      <c r="D322" s="1">
        <v>0</v>
      </c>
      <c r="E322" s="1">
        <v>1</v>
      </c>
      <c r="F322" s="1">
        <v>20</v>
      </c>
      <c r="G322" s="1" t="b">
        <v>0</v>
      </c>
      <c r="H322" s="1">
        <v>5</v>
      </c>
      <c r="I322" s="1">
        <v>1</v>
      </c>
      <c r="J322" s="1">
        <v>0.18</v>
      </c>
    </row>
    <row r="323" spans="1:10" ht="12.5" x14ac:dyDescent="0.25">
      <c r="A323" s="1">
        <v>322</v>
      </c>
      <c r="B323" s="2">
        <v>40557</v>
      </c>
      <c r="C323" s="1">
        <v>1</v>
      </c>
      <c r="D323" s="1">
        <v>0</v>
      </c>
      <c r="E323" s="1">
        <v>1</v>
      </c>
      <c r="F323" s="1">
        <v>21</v>
      </c>
      <c r="G323" s="1" t="b">
        <v>0</v>
      </c>
      <c r="H323" s="1">
        <v>5</v>
      </c>
      <c r="I323" s="1">
        <v>1</v>
      </c>
      <c r="J323" s="1">
        <v>0.16</v>
      </c>
    </row>
    <row r="324" spans="1:10" ht="12.5" x14ac:dyDescent="0.25">
      <c r="A324" s="1">
        <v>323</v>
      </c>
      <c r="B324" s="2">
        <v>40557</v>
      </c>
      <c r="C324" s="1">
        <v>1</v>
      </c>
      <c r="D324" s="1">
        <v>0</v>
      </c>
      <c r="E324" s="1">
        <v>1</v>
      </c>
      <c r="F324" s="1">
        <v>22</v>
      </c>
      <c r="G324" s="1" t="b">
        <v>0</v>
      </c>
      <c r="H324" s="1">
        <v>5</v>
      </c>
      <c r="I324" s="1">
        <v>2</v>
      </c>
      <c r="J324" s="1">
        <v>0.16</v>
      </c>
    </row>
    <row r="325" spans="1:10" ht="12.5" x14ac:dyDescent="0.25">
      <c r="A325" s="1">
        <v>324</v>
      </c>
      <c r="B325" s="2">
        <v>40557</v>
      </c>
      <c r="C325" s="1">
        <v>1</v>
      </c>
      <c r="D325" s="1">
        <v>0</v>
      </c>
      <c r="E325" s="1">
        <v>1</v>
      </c>
      <c r="F325" s="1">
        <v>23</v>
      </c>
      <c r="G325" s="1" t="b">
        <v>0</v>
      </c>
      <c r="H325" s="1">
        <v>5</v>
      </c>
      <c r="I325" s="1">
        <v>2</v>
      </c>
      <c r="J325" s="1">
        <v>0.18</v>
      </c>
    </row>
    <row r="326" spans="1:10" ht="12.5" x14ac:dyDescent="0.25">
      <c r="A326" s="1">
        <v>325</v>
      </c>
      <c r="B326" s="2">
        <v>40558</v>
      </c>
      <c r="C326" s="1">
        <v>1</v>
      </c>
      <c r="D326" s="1">
        <v>0</v>
      </c>
      <c r="E326" s="1">
        <v>1</v>
      </c>
      <c r="F326" s="1">
        <v>0</v>
      </c>
      <c r="G326" s="1" t="b">
        <v>0</v>
      </c>
      <c r="H326" s="1">
        <v>6</v>
      </c>
      <c r="I326" s="1">
        <v>1</v>
      </c>
      <c r="J326" s="1">
        <v>0.18</v>
      </c>
    </row>
    <row r="327" spans="1:10" ht="12.5" x14ac:dyDescent="0.25">
      <c r="A327" s="1">
        <v>326</v>
      </c>
      <c r="B327" s="2">
        <v>40558</v>
      </c>
      <c r="C327" s="1">
        <v>1</v>
      </c>
      <c r="D327" s="1">
        <v>0</v>
      </c>
      <c r="E327" s="1">
        <v>1</v>
      </c>
      <c r="F327" s="1">
        <v>1</v>
      </c>
      <c r="G327" s="1" t="b">
        <v>0</v>
      </c>
      <c r="H327" s="1">
        <v>6</v>
      </c>
      <c r="I327" s="1">
        <v>2</v>
      </c>
      <c r="J327" s="1">
        <v>0.16</v>
      </c>
    </row>
    <row r="328" spans="1:10" ht="12.5" x14ac:dyDescent="0.25">
      <c r="A328" s="1">
        <v>327</v>
      </c>
      <c r="B328" s="2">
        <v>40558</v>
      </c>
      <c r="C328" s="1">
        <v>1</v>
      </c>
      <c r="D328" s="1">
        <v>0</v>
      </c>
      <c r="E328" s="1">
        <v>1</v>
      </c>
      <c r="F328" s="1">
        <v>2</v>
      </c>
      <c r="G328" s="1" t="b">
        <v>0</v>
      </c>
      <c r="H328" s="1">
        <v>6</v>
      </c>
      <c r="I328" s="1">
        <v>2</v>
      </c>
      <c r="J328" s="1">
        <v>0.16</v>
      </c>
    </row>
    <row r="329" spans="1:10" ht="12.5" x14ac:dyDescent="0.25">
      <c r="A329" s="1">
        <v>328</v>
      </c>
      <c r="B329" s="2">
        <v>40558</v>
      </c>
      <c r="C329" s="1">
        <v>1</v>
      </c>
      <c r="D329" s="1">
        <v>0</v>
      </c>
      <c r="E329" s="1">
        <v>1</v>
      </c>
      <c r="F329" s="1">
        <v>3</v>
      </c>
      <c r="G329" s="1" t="b">
        <v>0</v>
      </c>
      <c r="H329" s="1">
        <v>6</v>
      </c>
      <c r="I329" s="1">
        <v>2</v>
      </c>
      <c r="J329" s="1">
        <v>0.16</v>
      </c>
    </row>
    <row r="330" spans="1:10" ht="12.5" x14ac:dyDescent="0.25">
      <c r="A330" s="1">
        <v>329</v>
      </c>
      <c r="B330" s="2">
        <v>40558</v>
      </c>
      <c r="C330" s="1">
        <v>1</v>
      </c>
      <c r="D330" s="1">
        <v>0</v>
      </c>
      <c r="E330" s="1">
        <v>1</v>
      </c>
      <c r="F330" s="1">
        <v>4</v>
      </c>
      <c r="G330" s="1" t="b">
        <v>0</v>
      </c>
      <c r="H330" s="1">
        <v>6</v>
      </c>
      <c r="I330" s="1">
        <v>2</v>
      </c>
      <c r="J330" s="1">
        <v>0.16</v>
      </c>
    </row>
    <row r="331" spans="1:10" ht="12.5" x14ac:dyDescent="0.25">
      <c r="A331" s="1">
        <v>330</v>
      </c>
      <c r="B331" s="2">
        <v>40558</v>
      </c>
      <c r="C331" s="1">
        <v>1</v>
      </c>
      <c r="D331" s="1">
        <v>0</v>
      </c>
      <c r="E331" s="1">
        <v>1</v>
      </c>
      <c r="F331" s="1">
        <v>5</v>
      </c>
      <c r="G331" s="1" t="b">
        <v>0</v>
      </c>
      <c r="H331" s="1">
        <v>6</v>
      </c>
      <c r="I331" s="1">
        <v>1</v>
      </c>
      <c r="J331" s="1">
        <v>0.16</v>
      </c>
    </row>
    <row r="332" spans="1:10" ht="12.5" x14ac:dyDescent="0.25">
      <c r="A332" s="1">
        <v>331</v>
      </c>
      <c r="B332" s="2">
        <v>40558</v>
      </c>
      <c r="C332" s="1">
        <v>1</v>
      </c>
      <c r="D332" s="1">
        <v>0</v>
      </c>
      <c r="E332" s="1">
        <v>1</v>
      </c>
      <c r="F332" s="1">
        <v>6</v>
      </c>
      <c r="G332" s="1" t="b">
        <v>0</v>
      </c>
      <c r="H332" s="1">
        <v>6</v>
      </c>
      <c r="I332" s="1">
        <v>1</v>
      </c>
      <c r="J332" s="1">
        <v>0.14000000000000001</v>
      </c>
    </row>
    <row r="333" spans="1:10" ht="12.5" x14ac:dyDescent="0.25">
      <c r="A333" s="1">
        <v>332</v>
      </c>
      <c r="B333" s="2">
        <v>40558</v>
      </c>
      <c r="C333" s="1">
        <v>1</v>
      </c>
      <c r="D333" s="1">
        <v>0</v>
      </c>
      <c r="E333" s="1">
        <v>1</v>
      </c>
      <c r="F333" s="1">
        <v>7</v>
      </c>
      <c r="G333" s="1" t="b">
        <v>0</v>
      </c>
      <c r="H333" s="1">
        <v>6</v>
      </c>
      <c r="I333" s="1">
        <v>1</v>
      </c>
      <c r="J333" s="1">
        <v>0.14000000000000001</v>
      </c>
    </row>
    <row r="334" spans="1:10" ht="12.5" x14ac:dyDescent="0.25">
      <c r="A334" s="1">
        <v>333</v>
      </c>
      <c r="B334" s="2">
        <v>40558</v>
      </c>
      <c r="C334" s="1">
        <v>1</v>
      </c>
      <c r="D334" s="1">
        <v>0</v>
      </c>
      <c r="E334" s="1">
        <v>1</v>
      </c>
      <c r="F334" s="1">
        <v>8</v>
      </c>
      <c r="G334" s="1" t="b">
        <v>0</v>
      </c>
      <c r="H334" s="1">
        <v>6</v>
      </c>
      <c r="I334" s="1">
        <v>1</v>
      </c>
      <c r="J334" s="1">
        <v>0.14000000000000001</v>
      </c>
    </row>
    <row r="335" spans="1:10" ht="12.5" x14ac:dyDescent="0.25">
      <c r="A335" s="1">
        <v>334</v>
      </c>
      <c r="B335" s="2">
        <v>40558</v>
      </c>
      <c r="C335" s="1">
        <v>1</v>
      </c>
      <c r="D335" s="1">
        <v>0</v>
      </c>
      <c r="E335" s="1">
        <v>1</v>
      </c>
      <c r="F335" s="1">
        <v>9</v>
      </c>
      <c r="G335" s="1" t="b">
        <v>0</v>
      </c>
      <c r="H335" s="1">
        <v>6</v>
      </c>
      <c r="I335" s="1">
        <v>1</v>
      </c>
      <c r="J335" s="1">
        <v>0.16</v>
      </c>
    </row>
    <row r="336" spans="1:10" ht="12.5" x14ac:dyDescent="0.25">
      <c r="A336" s="1">
        <v>335</v>
      </c>
      <c r="B336" s="2">
        <v>40558</v>
      </c>
      <c r="C336" s="1">
        <v>1</v>
      </c>
      <c r="D336" s="1">
        <v>0</v>
      </c>
      <c r="E336" s="1">
        <v>1</v>
      </c>
      <c r="F336" s="1">
        <v>10</v>
      </c>
      <c r="G336" s="1" t="b">
        <v>0</v>
      </c>
      <c r="H336" s="1">
        <v>6</v>
      </c>
      <c r="I336" s="1">
        <v>1</v>
      </c>
      <c r="J336" s="1">
        <v>0.18</v>
      </c>
    </row>
    <row r="337" spans="1:10" ht="12.5" x14ac:dyDescent="0.25">
      <c r="A337" s="1">
        <v>336</v>
      </c>
      <c r="B337" s="2">
        <v>40558</v>
      </c>
      <c r="C337" s="1">
        <v>1</v>
      </c>
      <c r="D337" s="1">
        <v>0</v>
      </c>
      <c r="E337" s="1">
        <v>1</v>
      </c>
      <c r="F337" s="1">
        <v>11</v>
      </c>
      <c r="G337" s="1" t="b">
        <v>0</v>
      </c>
      <c r="H337" s="1">
        <v>6</v>
      </c>
      <c r="I337" s="1">
        <v>1</v>
      </c>
      <c r="J337" s="1">
        <v>0.2</v>
      </c>
    </row>
    <row r="338" spans="1:10" ht="12.5" x14ac:dyDescent="0.25">
      <c r="A338" s="1">
        <v>337</v>
      </c>
      <c r="B338" s="2">
        <v>40558</v>
      </c>
      <c r="C338" s="1">
        <v>1</v>
      </c>
      <c r="D338" s="1">
        <v>0</v>
      </c>
      <c r="E338" s="1">
        <v>1</v>
      </c>
      <c r="F338" s="1">
        <v>12</v>
      </c>
      <c r="G338" s="1" t="b">
        <v>0</v>
      </c>
      <c r="H338" s="1">
        <v>6</v>
      </c>
      <c r="I338" s="1">
        <v>1</v>
      </c>
      <c r="J338" s="1">
        <v>0.24</v>
      </c>
    </row>
    <row r="339" spans="1:10" ht="12.5" x14ac:dyDescent="0.25">
      <c r="A339" s="1">
        <v>338</v>
      </c>
      <c r="B339" s="2">
        <v>40558</v>
      </c>
      <c r="C339" s="1">
        <v>1</v>
      </c>
      <c r="D339" s="1">
        <v>0</v>
      </c>
      <c r="E339" s="1">
        <v>1</v>
      </c>
      <c r="F339" s="1">
        <v>13</v>
      </c>
      <c r="G339" s="1" t="b">
        <v>0</v>
      </c>
      <c r="H339" s="1">
        <v>6</v>
      </c>
      <c r="I339" s="1">
        <v>1</v>
      </c>
      <c r="J339" s="1">
        <v>0.28000000000000003</v>
      </c>
    </row>
    <row r="340" spans="1:10" ht="12.5" x14ac:dyDescent="0.25">
      <c r="A340" s="1">
        <v>339</v>
      </c>
      <c r="B340" s="2">
        <v>40558</v>
      </c>
      <c r="C340" s="1">
        <v>1</v>
      </c>
      <c r="D340" s="1">
        <v>0</v>
      </c>
      <c r="E340" s="1">
        <v>1</v>
      </c>
      <c r="F340" s="1">
        <v>14</v>
      </c>
      <c r="G340" s="1" t="b">
        <v>0</v>
      </c>
      <c r="H340" s="1">
        <v>6</v>
      </c>
      <c r="I340" s="1">
        <v>1</v>
      </c>
      <c r="J340" s="1">
        <v>0.3</v>
      </c>
    </row>
    <row r="341" spans="1:10" ht="12.5" x14ac:dyDescent="0.25">
      <c r="A341" s="1">
        <v>340</v>
      </c>
      <c r="B341" s="2">
        <v>40558</v>
      </c>
      <c r="C341" s="1">
        <v>1</v>
      </c>
      <c r="D341" s="1">
        <v>0</v>
      </c>
      <c r="E341" s="1">
        <v>1</v>
      </c>
      <c r="F341" s="1">
        <v>15</v>
      </c>
      <c r="G341" s="1" t="b">
        <v>0</v>
      </c>
      <c r="H341" s="1">
        <v>6</v>
      </c>
      <c r="I341" s="1">
        <v>2</v>
      </c>
      <c r="J341" s="1">
        <v>0.32</v>
      </c>
    </row>
    <row r="342" spans="1:10" ht="12.5" x14ac:dyDescent="0.25">
      <c r="A342" s="1">
        <v>341</v>
      </c>
      <c r="B342" s="2">
        <v>40558</v>
      </c>
      <c r="C342" s="1">
        <v>1</v>
      </c>
      <c r="D342" s="1">
        <v>0</v>
      </c>
      <c r="E342" s="1">
        <v>1</v>
      </c>
      <c r="F342" s="1">
        <v>16</v>
      </c>
      <c r="G342" s="1" t="b">
        <v>0</v>
      </c>
      <c r="H342" s="1">
        <v>6</v>
      </c>
      <c r="I342" s="1">
        <v>2</v>
      </c>
      <c r="J342" s="1">
        <v>0.34</v>
      </c>
    </row>
    <row r="343" spans="1:10" ht="12.5" x14ac:dyDescent="0.25">
      <c r="A343" s="1">
        <v>342</v>
      </c>
      <c r="B343" s="2">
        <v>40558</v>
      </c>
      <c r="C343" s="1">
        <v>1</v>
      </c>
      <c r="D343" s="1">
        <v>0</v>
      </c>
      <c r="E343" s="1">
        <v>1</v>
      </c>
      <c r="F343" s="1">
        <v>17</v>
      </c>
      <c r="G343" s="1" t="b">
        <v>0</v>
      </c>
      <c r="H343" s="1">
        <v>6</v>
      </c>
      <c r="I343" s="1">
        <v>2</v>
      </c>
      <c r="J343" s="1">
        <v>0.32</v>
      </c>
    </row>
    <row r="344" spans="1:10" ht="12.5" x14ac:dyDescent="0.25">
      <c r="A344" s="1">
        <v>343</v>
      </c>
      <c r="B344" s="2">
        <v>40558</v>
      </c>
      <c r="C344" s="1">
        <v>1</v>
      </c>
      <c r="D344" s="1">
        <v>0</v>
      </c>
      <c r="E344" s="1">
        <v>1</v>
      </c>
      <c r="F344" s="1">
        <v>18</v>
      </c>
      <c r="G344" s="1" t="b">
        <v>0</v>
      </c>
      <c r="H344" s="1">
        <v>6</v>
      </c>
      <c r="I344" s="1">
        <v>2</v>
      </c>
      <c r="J344" s="1">
        <v>0.3</v>
      </c>
    </row>
    <row r="345" spans="1:10" ht="12.5" x14ac:dyDescent="0.25">
      <c r="A345" s="1">
        <v>344</v>
      </c>
      <c r="B345" s="2">
        <v>40558</v>
      </c>
      <c r="C345" s="1">
        <v>1</v>
      </c>
      <c r="D345" s="1">
        <v>0</v>
      </c>
      <c r="E345" s="1">
        <v>1</v>
      </c>
      <c r="F345" s="1">
        <v>19</v>
      </c>
      <c r="G345" s="1" t="b">
        <v>0</v>
      </c>
      <c r="H345" s="1">
        <v>6</v>
      </c>
      <c r="I345" s="1">
        <v>2</v>
      </c>
      <c r="J345" s="1">
        <v>0.32</v>
      </c>
    </row>
    <row r="346" spans="1:10" ht="12.5" x14ac:dyDescent="0.25">
      <c r="A346" s="1">
        <v>345</v>
      </c>
      <c r="B346" s="2">
        <v>40558</v>
      </c>
      <c r="C346" s="1">
        <v>1</v>
      </c>
      <c r="D346" s="1">
        <v>0</v>
      </c>
      <c r="E346" s="1">
        <v>1</v>
      </c>
      <c r="F346" s="1">
        <v>20</v>
      </c>
      <c r="G346" s="1" t="b">
        <v>0</v>
      </c>
      <c r="H346" s="1">
        <v>6</v>
      </c>
      <c r="I346" s="1">
        <v>2</v>
      </c>
      <c r="J346" s="1">
        <v>0.32</v>
      </c>
    </row>
    <row r="347" spans="1:10" ht="12.5" x14ac:dyDescent="0.25">
      <c r="A347" s="1">
        <v>346</v>
      </c>
      <c r="B347" s="2">
        <v>40558</v>
      </c>
      <c r="C347" s="1">
        <v>1</v>
      </c>
      <c r="D347" s="1">
        <v>0</v>
      </c>
      <c r="E347" s="1">
        <v>1</v>
      </c>
      <c r="F347" s="1">
        <v>21</v>
      </c>
      <c r="G347" s="1" t="b">
        <v>0</v>
      </c>
      <c r="H347" s="1">
        <v>6</v>
      </c>
      <c r="I347" s="1">
        <v>2</v>
      </c>
      <c r="J347" s="1">
        <v>0.32</v>
      </c>
    </row>
    <row r="348" spans="1:10" ht="12.5" x14ac:dyDescent="0.25">
      <c r="A348" s="1">
        <v>347</v>
      </c>
      <c r="B348" s="2">
        <v>40558</v>
      </c>
      <c r="C348" s="1">
        <v>1</v>
      </c>
      <c r="D348" s="1">
        <v>0</v>
      </c>
      <c r="E348" s="1">
        <v>1</v>
      </c>
      <c r="F348" s="1">
        <v>22</v>
      </c>
      <c r="G348" s="1" t="b">
        <v>0</v>
      </c>
      <c r="H348" s="1">
        <v>6</v>
      </c>
      <c r="I348" s="1">
        <v>2</v>
      </c>
      <c r="J348" s="1">
        <v>0.3</v>
      </c>
    </row>
    <row r="349" spans="1:10" ht="12.5" x14ac:dyDescent="0.25">
      <c r="A349" s="1">
        <v>348</v>
      </c>
      <c r="B349" s="2">
        <v>40558</v>
      </c>
      <c r="C349" s="1">
        <v>1</v>
      </c>
      <c r="D349" s="1">
        <v>0</v>
      </c>
      <c r="E349" s="1">
        <v>1</v>
      </c>
      <c r="F349" s="1">
        <v>23</v>
      </c>
      <c r="G349" s="1" t="b">
        <v>0</v>
      </c>
      <c r="H349" s="1">
        <v>6</v>
      </c>
      <c r="I349" s="1">
        <v>1</v>
      </c>
      <c r="J349" s="1">
        <v>0.3</v>
      </c>
    </row>
    <row r="350" spans="1:10" ht="12.5" x14ac:dyDescent="0.25">
      <c r="A350" s="1">
        <v>349</v>
      </c>
      <c r="B350" s="2">
        <v>40559</v>
      </c>
      <c r="C350" s="1">
        <v>1</v>
      </c>
      <c r="D350" s="1">
        <v>0</v>
      </c>
      <c r="E350" s="1">
        <v>1</v>
      </c>
      <c r="F350" s="1">
        <v>0</v>
      </c>
      <c r="G350" s="1" t="b">
        <v>0</v>
      </c>
      <c r="H350" s="1">
        <v>0</v>
      </c>
      <c r="I350" s="1">
        <v>1</v>
      </c>
      <c r="J350" s="1">
        <v>0.26</v>
      </c>
    </row>
    <row r="351" spans="1:10" ht="12.5" x14ac:dyDescent="0.25">
      <c r="A351" s="1">
        <v>350</v>
      </c>
      <c r="B351" s="2">
        <v>40559</v>
      </c>
      <c r="C351" s="1">
        <v>1</v>
      </c>
      <c r="D351" s="1">
        <v>0</v>
      </c>
      <c r="E351" s="1">
        <v>1</v>
      </c>
      <c r="F351" s="1">
        <v>1</v>
      </c>
      <c r="G351" s="1" t="b">
        <v>0</v>
      </c>
      <c r="H351" s="1">
        <v>0</v>
      </c>
      <c r="I351" s="1">
        <v>1</v>
      </c>
      <c r="J351" s="1">
        <v>0.26</v>
      </c>
    </row>
    <row r="352" spans="1:10" ht="12.5" x14ac:dyDescent="0.25">
      <c r="A352" s="1">
        <v>351</v>
      </c>
      <c r="B352" s="2">
        <v>40559</v>
      </c>
      <c r="C352" s="1">
        <v>1</v>
      </c>
      <c r="D352" s="1">
        <v>0</v>
      </c>
      <c r="E352" s="1">
        <v>1</v>
      </c>
      <c r="F352" s="1">
        <v>2</v>
      </c>
      <c r="G352" s="1" t="b">
        <v>0</v>
      </c>
      <c r="H352" s="1">
        <v>0</v>
      </c>
      <c r="I352" s="1">
        <v>1</v>
      </c>
      <c r="J352" s="1">
        <v>0.26</v>
      </c>
    </row>
    <row r="353" spans="1:10" ht="12.5" x14ac:dyDescent="0.25">
      <c r="A353" s="1">
        <v>352</v>
      </c>
      <c r="B353" s="2">
        <v>40559</v>
      </c>
      <c r="C353" s="1">
        <v>1</v>
      </c>
      <c r="D353" s="1">
        <v>0</v>
      </c>
      <c r="E353" s="1">
        <v>1</v>
      </c>
      <c r="F353" s="1">
        <v>3</v>
      </c>
      <c r="G353" s="1" t="b">
        <v>0</v>
      </c>
      <c r="H353" s="1">
        <v>0</v>
      </c>
      <c r="I353" s="1">
        <v>1</v>
      </c>
      <c r="J353" s="1">
        <v>0.22</v>
      </c>
    </row>
    <row r="354" spans="1:10" ht="12.5" x14ac:dyDescent="0.25">
      <c r="A354" s="1">
        <v>353</v>
      </c>
      <c r="B354" s="2">
        <v>40559</v>
      </c>
      <c r="C354" s="1">
        <v>1</v>
      </c>
      <c r="D354" s="1">
        <v>0</v>
      </c>
      <c r="E354" s="1">
        <v>1</v>
      </c>
      <c r="F354" s="1">
        <v>4</v>
      </c>
      <c r="G354" s="1" t="b">
        <v>0</v>
      </c>
      <c r="H354" s="1">
        <v>0</v>
      </c>
      <c r="I354" s="1">
        <v>1</v>
      </c>
      <c r="J354" s="1">
        <v>0.26</v>
      </c>
    </row>
    <row r="355" spans="1:10" ht="12.5" x14ac:dyDescent="0.25">
      <c r="A355" s="1">
        <v>354</v>
      </c>
      <c r="B355" s="2">
        <v>40559</v>
      </c>
      <c r="C355" s="1">
        <v>1</v>
      </c>
      <c r="D355" s="1">
        <v>0</v>
      </c>
      <c r="E355" s="1">
        <v>1</v>
      </c>
      <c r="F355" s="1">
        <v>5</v>
      </c>
      <c r="G355" s="1" t="b">
        <v>0</v>
      </c>
      <c r="H355" s="1">
        <v>0</v>
      </c>
      <c r="I355" s="1">
        <v>2</v>
      </c>
      <c r="J355" s="1">
        <v>0.26</v>
      </c>
    </row>
    <row r="356" spans="1:10" ht="12.5" x14ac:dyDescent="0.25">
      <c r="A356" s="1">
        <v>355</v>
      </c>
      <c r="B356" s="2">
        <v>40559</v>
      </c>
      <c r="C356" s="1">
        <v>1</v>
      </c>
      <c r="D356" s="1">
        <v>0</v>
      </c>
      <c r="E356" s="1">
        <v>1</v>
      </c>
      <c r="F356" s="1">
        <v>6</v>
      </c>
      <c r="G356" s="1" t="b">
        <v>0</v>
      </c>
      <c r="H356" s="1">
        <v>0</v>
      </c>
      <c r="I356" s="1">
        <v>2</v>
      </c>
      <c r="J356" s="1">
        <v>0.26</v>
      </c>
    </row>
    <row r="357" spans="1:10" ht="12.5" x14ac:dyDescent="0.25">
      <c r="A357" s="1">
        <v>356</v>
      </c>
      <c r="B357" s="2">
        <v>40559</v>
      </c>
      <c r="C357" s="1">
        <v>1</v>
      </c>
      <c r="D357" s="1">
        <v>0</v>
      </c>
      <c r="E357" s="1">
        <v>1</v>
      </c>
      <c r="F357" s="1">
        <v>7</v>
      </c>
      <c r="G357" s="1" t="b">
        <v>0</v>
      </c>
      <c r="H357" s="1">
        <v>0</v>
      </c>
      <c r="I357" s="1">
        <v>2</v>
      </c>
      <c r="J357" s="1">
        <v>0.24</v>
      </c>
    </row>
    <row r="358" spans="1:10" ht="12.5" x14ac:dyDescent="0.25">
      <c r="A358" s="1">
        <v>357</v>
      </c>
      <c r="B358" s="2">
        <v>40559</v>
      </c>
      <c r="C358" s="1">
        <v>1</v>
      </c>
      <c r="D358" s="1">
        <v>0</v>
      </c>
      <c r="E358" s="1">
        <v>1</v>
      </c>
      <c r="F358" s="1">
        <v>8</v>
      </c>
      <c r="G358" s="1" t="b">
        <v>0</v>
      </c>
      <c r="H358" s="1">
        <v>0</v>
      </c>
      <c r="I358" s="1">
        <v>1</v>
      </c>
      <c r="J358" s="1">
        <v>0.22</v>
      </c>
    </row>
    <row r="359" spans="1:10" ht="12.5" x14ac:dyDescent="0.25">
      <c r="A359" s="1">
        <v>358</v>
      </c>
      <c r="B359" s="2">
        <v>40559</v>
      </c>
      <c r="C359" s="1">
        <v>1</v>
      </c>
      <c r="D359" s="1">
        <v>0</v>
      </c>
      <c r="E359" s="1">
        <v>1</v>
      </c>
      <c r="F359" s="1">
        <v>9</v>
      </c>
      <c r="G359" s="1" t="b">
        <v>0</v>
      </c>
      <c r="H359" s="1">
        <v>0</v>
      </c>
      <c r="I359" s="1">
        <v>1</v>
      </c>
      <c r="J359" s="1">
        <v>0.22</v>
      </c>
    </row>
    <row r="360" spans="1:10" ht="12.5" x14ac:dyDescent="0.25">
      <c r="A360" s="1">
        <v>359</v>
      </c>
      <c r="B360" s="2">
        <v>40559</v>
      </c>
      <c r="C360" s="1">
        <v>1</v>
      </c>
      <c r="D360" s="1">
        <v>0</v>
      </c>
      <c r="E360" s="1">
        <v>1</v>
      </c>
      <c r="F360" s="1">
        <v>10</v>
      </c>
      <c r="G360" s="1" t="b">
        <v>0</v>
      </c>
      <c r="H360" s="1">
        <v>0</v>
      </c>
      <c r="I360" s="1">
        <v>1</v>
      </c>
      <c r="J360" s="1">
        <v>0.22</v>
      </c>
    </row>
    <row r="361" spans="1:10" ht="12.5" x14ac:dyDescent="0.25">
      <c r="A361" s="1">
        <v>360</v>
      </c>
      <c r="B361" s="2">
        <v>40559</v>
      </c>
      <c r="C361" s="1">
        <v>1</v>
      </c>
      <c r="D361" s="1">
        <v>0</v>
      </c>
      <c r="E361" s="1">
        <v>1</v>
      </c>
      <c r="F361" s="1">
        <v>11</v>
      </c>
      <c r="G361" s="1" t="b">
        <v>0</v>
      </c>
      <c r="H361" s="1">
        <v>0</v>
      </c>
      <c r="I361" s="1">
        <v>1</v>
      </c>
      <c r="J361" s="1">
        <v>0.24</v>
      </c>
    </row>
    <row r="362" spans="1:10" ht="12.5" x14ac:dyDescent="0.25">
      <c r="A362" s="1">
        <v>361</v>
      </c>
      <c r="B362" s="2">
        <v>40559</v>
      </c>
      <c r="C362" s="1">
        <v>1</v>
      </c>
      <c r="D362" s="1">
        <v>0</v>
      </c>
      <c r="E362" s="1">
        <v>1</v>
      </c>
      <c r="F362" s="1">
        <v>12</v>
      </c>
      <c r="G362" s="1" t="b">
        <v>0</v>
      </c>
      <c r="H362" s="1">
        <v>0</v>
      </c>
      <c r="I362" s="1">
        <v>1</v>
      </c>
      <c r="J362" s="1">
        <v>0.24</v>
      </c>
    </row>
    <row r="363" spans="1:10" ht="12.5" x14ac:dyDescent="0.25">
      <c r="A363" s="1">
        <v>362</v>
      </c>
      <c r="B363" s="2">
        <v>40559</v>
      </c>
      <c r="C363" s="1">
        <v>1</v>
      </c>
      <c r="D363" s="1">
        <v>0</v>
      </c>
      <c r="E363" s="1">
        <v>1</v>
      </c>
      <c r="F363" s="1">
        <v>13</v>
      </c>
      <c r="G363" s="1" t="b">
        <v>0</v>
      </c>
      <c r="H363" s="1">
        <v>0</v>
      </c>
      <c r="I363" s="1">
        <v>1</v>
      </c>
      <c r="J363" s="1">
        <v>0.26</v>
      </c>
    </row>
    <row r="364" spans="1:10" ht="12.5" x14ac:dyDescent="0.25">
      <c r="A364" s="1">
        <v>363</v>
      </c>
      <c r="B364" s="2">
        <v>40559</v>
      </c>
      <c r="C364" s="1">
        <v>1</v>
      </c>
      <c r="D364" s="1">
        <v>0</v>
      </c>
      <c r="E364" s="1">
        <v>1</v>
      </c>
      <c r="F364" s="1">
        <v>14</v>
      </c>
      <c r="G364" s="1" t="b">
        <v>0</v>
      </c>
      <c r="H364" s="1">
        <v>0</v>
      </c>
      <c r="I364" s="1">
        <v>1</v>
      </c>
      <c r="J364" s="1">
        <v>0.28000000000000003</v>
      </c>
    </row>
    <row r="365" spans="1:10" ht="12.5" x14ac:dyDescent="0.25">
      <c r="A365" s="1">
        <v>364</v>
      </c>
      <c r="B365" s="2">
        <v>40559</v>
      </c>
      <c r="C365" s="1">
        <v>1</v>
      </c>
      <c r="D365" s="1">
        <v>0</v>
      </c>
      <c r="E365" s="1">
        <v>1</v>
      </c>
      <c r="F365" s="1">
        <v>15</v>
      </c>
      <c r="G365" s="1" t="b">
        <v>0</v>
      </c>
      <c r="H365" s="1">
        <v>0</v>
      </c>
      <c r="I365" s="1">
        <v>1</v>
      </c>
      <c r="J365" s="1">
        <v>0.26</v>
      </c>
    </row>
    <row r="366" spans="1:10" ht="12.5" x14ac:dyDescent="0.25">
      <c r="A366" s="1">
        <v>365</v>
      </c>
      <c r="B366" s="2">
        <v>40559</v>
      </c>
      <c r="C366" s="1">
        <v>1</v>
      </c>
      <c r="D366" s="1">
        <v>0</v>
      </c>
      <c r="E366" s="1">
        <v>1</v>
      </c>
      <c r="F366" s="1">
        <v>16</v>
      </c>
      <c r="G366" s="1" t="b">
        <v>0</v>
      </c>
      <c r="H366" s="1">
        <v>0</v>
      </c>
      <c r="I366" s="1">
        <v>1</v>
      </c>
      <c r="J366" s="1">
        <v>0.24</v>
      </c>
    </row>
    <row r="367" spans="1:10" ht="12.5" x14ac:dyDescent="0.25">
      <c r="A367" s="1">
        <v>366</v>
      </c>
      <c r="B367" s="2">
        <v>40559</v>
      </c>
      <c r="C367" s="1">
        <v>1</v>
      </c>
      <c r="D367" s="1">
        <v>0</v>
      </c>
      <c r="E367" s="1">
        <v>1</v>
      </c>
      <c r="F367" s="1">
        <v>17</v>
      </c>
      <c r="G367" s="1" t="b">
        <v>0</v>
      </c>
      <c r="H367" s="1">
        <v>0</v>
      </c>
      <c r="I367" s="1">
        <v>1</v>
      </c>
      <c r="J367" s="1">
        <v>0.22</v>
      </c>
    </row>
    <row r="368" spans="1:10" ht="12.5" x14ac:dyDescent="0.25">
      <c r="A368" s="1">
        <v>367</v>
      </c>
      <c r="B368" s="2">
        <v>40559</v>
      </c>
      <c r="C368" s="1">
        <v>1</v>
      </c>
      <c r="D368" s="1">
        <v>0</v>
      </c>
      <c r="E368" s="1">
        <v>1</v>
      </c>
      <c r="F368" s="1">
        <v>18</v>
      </c>
      <c r="G368" s="1" t="b">
        <v>0</v>
      </c>
      <c r="H368" s="1">
        <v>0</v>
      </c>
      <c r="I368" s="1">
        <v>1</v>
      </c>
      <c r="J368" s="1">
        <v>0.2</v>
      </c>
    </row>
    <row r="369" spans="1:10" ht="12.5" x14ac:dyDescent="0.25">
      <c r="A369" s="1">
        <v>368</v>
      </c>
      <c r="B369" s="2">
        <v>40559</v>
      </c>
      <c r="C369" s="1">
        <v>1</v>
      </c>
      <c r="D369" s="1">
        <v>0</v>
      </c>
      <c r="E369" s="1">
        <v>1</v>
      </c>
      <c r="F369" s="1">
        <v>19</v>
      </c>
      <c r="G369" s="1" t="b">
        <v>0</v>
      </c>
      <c r="H369" s="1">
        <v>0</v>
      </c>
      <c r="I369" s="1">
        <v>1</v>
      </c>
      <c r="J369" s="1">
        <v>0.18</v>
      </c>
    </row>
    <row r="370" spans="1:10" ht="12.5" x14ac:dyDescent="0.25">
      <c r="A370" s="1">
        <v>369</v>
      </c>
      <c r="B370" s="2">
        <v>40559</v>
      </c>
      <c r="C370" s="1">
        <v>1</v>
      </c>
      <c r="D370" s="1">
        <v>0</v>
      </c>
      <c r="E370" s="1">
        <v>1</v>
      </c>
      <c r="F370" s="1">
        <v>20</v>
      </c>
      <c r="G370" s="1" t="b">
        <v>0</v>
      </c>
      <c r="H370" s="1">
        <v>0</v>
      </c>
      <c r="I370" s="1">
        <v>1</v>
      </c>
      <c r="J370" s="1">
        <v>0.18</v>
      </c>
    </row>
    <row r="371" spans="1:10" ht="12.5" x14ac:dyDescent="0.25">
      <c r="A371" s="1">
        <v>370</v>
      </c>
      <c r="B371" s="2">
        <v>40559</v>
      </c>
      <c r="C371" s="1">
        <v>1</v>
      </c>
      <c r="D371" s="1">
        <v>0</v>
      </c>
      <c r="E371" s="1">
        <v>1</v>
      </c>
      <c r="F371" s="1">
        <v>21</v>
      </c>
      <c r="G371" s="1" t="b">
        <v>0</v>
      </c>
      <c r="H371" s="1">
        <v>0</v>
      </c>
      <c r="I371" s="1">
        <v>1</v>
      </c>
      <c r="J371" s="1">
        <v>0.18</v>
      </c>
    </row>
    <row r="372" spans="1:10" ht="12.5" x14ac:dyDescent="0.25">
      <c r="A372" s="1">
        <v>371</v>
      </c>
      <c r="B372" s="2">
        <v>40559</v>
      </c>
      <c r="C372" s="1">
        <v>1</v>
      </c>
      <c r="D372" s="1">
        <v>0</v>
      </c>
      <c r="E372" s="1">
        <v>1</v>
      </c>
      <c r="F372" s="1">
        <v>22</v>
      </c>
      <c r="G372" s="1" t="b">
        <v>0</v>
      </c>
      <c r="H372" s="1">
        <v>0</v>
      </c>
      <c r="I372" s="1">
        <v>2</v>
      </c>
      <c r="J372" s="1">
        <v>0.2</v>
      </c>
    </row>
    <row r="373" spans="1:10" ht="12.5" x14ac:dyDescent="0.25">
      <c r="A373" s="1">
        <v>372</v>
      </c>
      <c r="B373" s="2">
        <v>40559</v>
      </c>
      <c r="C373" s="1">
        <v>1</v>
      </c>
      <c r="D373" s="1">
        <v>0</v>
      </c>
      <c r="E373" s="1">
        <v>1</v>
      </c>
      <c r="F373" s="1">
        <v>23</v>
      </c>
      <c r="G373" s="1" t="b">
        <v>0</v>
      </c>
      <c r="H373" s="1">
        <v>0</v>
      </c>
      <c r="I373" s="1">
        <v>2</v>
      </c>
      <c r="J373" s="1">
        <v>0.2</v>
      </c>
    </row>
    <row r="374" spans="1:10" ht="12.5" x14ac:dyDescent="0.25">
      <c r="A374" s="1">
        <v>373</v>
      </c>
      <c r="B374" s="2">
        <v>40560</v>
      </c>
      <c r="C374" s="1">
        <v>1</v>
      </c>
      <c r="D374" s="1">
        <v>0</v>
      </c>
      <c r="E374" s="1">
        <v>1</v>
      </c>
      <c r="F374" s="1">
        <v>0</v>
      </c>
      <c r="G374" s="1" t="b">
        <v>1</v>
      </c>
      <c r="H374" s="1">
        <v>1</v>
      </c>
      <c r="I374" s="1">
        <v>2</v>
      </c>
      <c r="J374" s="1">
        <v>0.2</v>
      </c>
    </row>
    <row r="375" spans="1:10" ht="12.5" x14ac:dyDescent="0.25">
      <c r="A375" s="1">
        <v>374</v>
      </c>
      <c r="B375" s="2">
        <v>40560</v>
      </c>
      <c r="C375" s="1">
        <v>1</v>
      </c>
      <c r="D375" s="1">
        <v>0</v>
      </c>
      <c r="E375" s="1">
        <v>1</v>
      </c>
      <c r="F375" s="1">
        <v>1</v>
      </c>
      <c r="G375" s="1" t="b">
        <v>1</v>
      </c>
      <c r="H375" s="1">
        <v>1</v>
      </c>
      <c r="I375" s="1">
        <v>2</v>
      </c>
      <c r="J375" s="1">
        <v>0.2</v>
      </c>
    </row>
    <row r="376" spans="1:10" ht="12.5" x14ac:dyDescent="0.25">
      <c r="A376" s="1">
        <v>375</v>
      </c>
      <c r="B376" s="2">
        <v>40560</v>
      </c>
      <c r="C376" s="1">
        <v>1</v>
      </c>
      <c r="D376" s="1">
        <v>0</v>
      </c>
      <c r="E376" s="1">
        <v>1</v>
      </c>
      <c r="F376" s="1">
        <v>2</v>
      </c>
      <c r="G376" s="1" t="b">
        <v>1</v>
      </c>
      <c r="H376" s="1">
        <v>1</v>
      </c>
      <c r="I376" s="1">
        <v>2</v>
      </c>
      <c r="J376" s="1">
        <v>0.18</v>
      </c>
    </row>
    <row r="377" spans="1:10" ht="12.5" x14ac:dyDescent="0.25">
      <c r="A377" s="1">
        <v>376</v>
      </c>
      <c r="B377" s="2">
        <v>40560</v>
      </c>
      <c r="C377" s="1">
        <v>1</v>
      </c>
      <c r="D377" s="1">
        <v>0</v>
      </c>
      <c r="E377" s="1">
        <v>1</v>
      </c>
      <c r="F377" s="1">
        <v>3</v>
      </c>
      <c r="G377" s="1" t="b">
        <v>1</v>
      </c>
      <c r="H377" s="1">
        <v>1</v>
      </c>
      <c r="I377" s="1">
        <v>2</v>
      </c>
      <c r="J377" s="1">
        <v>0.18</v>
      </c>
    </row>
    <row r="378" spans="1:10" ht="12.5" x14ac:dyDescent="0.25">
      <c r="A378" s="1">
        <v>377</v>
      </c>
      <c r="B378" s="2">
        <v>40560</v>
      </c>
      <c r="C378" s="1">
        <v>1</v>
      </c>
      <c r="D378" s="1">
        <v>0</v>
      </c>
      <c r="E378" s="1">
        <v>1</v>
      </c>
      <c r="F378" s="1">
        <v>4</v>
      </c>
      <c r="G378" s="1" t="b">
        <v>1</v>
      </c>
      <c r="H378" s="1">
        <v>1</v>
      </c>
      <c r="I378" s="1">
        <v>2</v>
      </c>
      <c r="J378" s="1">
        <v>0.18</v>
      </c>
    </row>
    <row r="379" spans="1:10" ht="12.5" x14ac:dyDescent="0.25">
      <c r="A379" s="1">
        <v>378</v>
      </c>
      <c r="B379" s="2">
        <v>40560</v>
      </c>
      <c r="C379" s="1">
        <v>1</v>
      </c>
      <c r="D379" s="1">
        <v>0</v>
      </c>
      <c r="E379" s="1">
        <v>1</v>
      </c>
      <c r="F379" s="1">
        <v>5</v>
      </c>
      <c r="G379" s="1" t="b">
        <v>1</v>
      </c>
      <c r="H379" s="1">
        <v>1</v>
      </c>
      <c r="I379" s="1">
        <v>2</v>
      </c>
      <c r="J379" s="1">
        <v>0.18</v>
      </c>
    </row>
    <row r="380" spans="1:10" ht="12.5" x14ac:dyDescent="0.25">
      <c r="A380" s="1">
        <v>379</v>
      </c>
      <c r="B380" s="2">
        <v>40560</v>
      </c>
      <c r="C380" s="1">
        <v>1</v>
      </c>
      <c r="D380" s="1">
        <v>0</v>
      </c>
      <c r="E380" s="1">
        <v>1</v>
      </c>
      <c r="F380" s="1">
        <v>6</v>
      </c>
      <c r="G380" s="1" t="b">
        <v>1</v>
      </c>
      <c r="H380" s="1">
        <v>1</v>
      </c>
      <c r="I380" s="1">
        <v>2</v>
      </c>
      <c r="J380" s="1">
        <v>0.18</v>
      </c>
    </row>
    <row r="381" spans="1:10" ht="12.5" x14ac:dyDescent="0.25">
      <c r="A381" s="1">
        <v>380</v>
      </c>
      <c r="B381" s="2">
        <v>40560</v>
      </c>
      <c r="C381" s="1">
        <v>1</v>
      </c>
      <c r="D381" s="1">
        <v>0</v>
      </c>
      <c r="E381" s="1">
        <v>1</v>
      </c>
      <c r="F381" s="1">
        <v>7</v>
      </c>
      <c r="G381" s="1" t="b">
        <v>1</v>
      </c>
      <c r="H381" s="1">
        <v>1</v>
      </c>
      <c r="I381" s="1">
        <v>2</v>
      </c>
      <c r="J381" s="1">
        <v>0.16</v>
      </c>
    </row>
    <row r="382" spans="1:10" ht="12.5" x14ac:dyDescent="0.25">
      <c r="A382" s="1">
        <v>381</v>
      </c>
      <c r="B382" s="2">
        <v>40560</v>
      </c>
      <c r="C382" s="1">
        <v>1</v>
      </c>
      <c r="D382" s="1">
        <v>0</v>
      </c>
      <c r="E382" s="1">
        <v>1</v>
      </c>
      <c r="F382" s="1">
        <v>8</v>
      </c>
      <c r="G382" s="1" t="b">
        <v>1</v>
      </c>
      <c r="H382" s="1">
        <v>1</v>
      </c>
      <c r="I382" s="1">
        <v>2</v>
      </c>
      <c r="J382" s="1">
        <v>0.16</v>
      </c>
    </row>
    <row r="383" spans="1:10" ht="12.5" x14ac:dyDescent="0.25">
      <c r="A383" s="1">
        <v>382</v>
      </c>
      <c r="B383" s="2">
        <v>40560</v>
      </c>
      <c r="C383" s="1">
        <v>1</v>
      </c>
      <c r="D383" s="1">
        <v>0</v>
      </c>
      <c r="E383" s="1">
        <v>1</v>
      </c>
      <c r="F383" s="1">
        <v>9</v>
      </c>
      <c r="G383" s="1" t="b">
        <v>1</v>
      </c>
      <c r="H383" s="1">
        <v>1</v>
      </c>
      <c r="I383" s="1">
        <v>2</v>
      </c>
      <c r="J383" s="1">
        <v>0.16</v>
      </c>
    </row>
    <row r="384" spans="1:10" ht="12.5" x14ac:dyDescent="0.25">
      <c r="A384" s="1">
        <v>383</v>
      </c>
      <c r="B384" s="2">
        <v>40560</v>
      </c>
      <c r="C384" s="1">
        <v>1</v>
      </c>
      <c r="D384" s="1">
        <v>0</v>
      </c>
      <c r="E384" s="1">
        <v>1</v>
      </c>
      <c r="F384" s="1">
        <v>10</v>
      </c>
      <c r="G384" s="1" t="b">
        <v>1</v>
      </c>
      <c r="H384" s="1">
        <v>1</v>
      </c>
      <c r="I384" s="1">
        <v>2</v>
      </c>
      <c r="J384" s="1">
        <v>0.16</v>
      </c>
    </row>
    <row r="385" spans="1:10" ht="12.5" x14ac:dyDescent="0.25">
      <c r="A385" s="1">
        <v>384</v>
      </c>
      <c r="B385" s="2">
        <v>40560</v>
      </c>
      <c r="C385" s="1">
        <v>1</v>
      </c>
      <c r="D385" s="1">
        <v>0</v>
      </c>
      <c r="E385" s="1">
        <v>1</v>
      </c>
      <c r="F385" s="1">
        <v>11</v>
      </c>
      <c r="G385" s="1" t="b">
        <v>1</v>
      </c>
      <c r="H385" s="1">
        <v>1</v>
      </c>
      <c r="I385" s="1">
        <v>2</v>
      </c>
      <c r="J385" s="1">
        <v>0.16</v>
      </c>
    </row>
    <row r="386" spans="1:10" ht="12.5" x14ac:dyDescent="0.25">
      <c r="A386" s="1">
        <v>385</v>
      </c>
      <c r="B386" s="2">
        <v>40560</v>
      </c>
      <c r="C386" s="1">
        <v>1</v>
      </c>
      <c r="D386" s="1">
        <v>0</v>
      </c>
      <c r="E386" s="1">
        <v>1</v>
      </c>
      <c r="F386" s="1">
        <v>12</v>
      </c>
      <c r="G386" s="1" t="b">
        <v>1</v>
      </c>
      <c r="H386" s="1">
        <v>1</v>
      </c>
      <c r="I386" s="1">
        <v>2</v>
      </c>
      <c r="J386" s="1">
        <v>0.18</v>
      </c>
    </row>
    <row r="387" spans="1:10" ht="12.5" x14ac:dyDescent="0.25">
      <c r="A387" s="1">
        <v>386</v>
      </c>
      <c r="B387" s="2">
        <v>40560</v>
      </c>
      <c r="C387" s="1">
        <v>1</v>
      </c>
      <c r="D387" s="1">
        <v>0</v>
      </c>
      <c r="E387" s="1">
        <v>1</v>
      </c>
      <c r="F387" s="1">
        <v>13</v>
      </c>
      <c r="G387" s="1" t="b">
        <v>1</v>
      </c>
      <c r="H387" s="1">
        <v>1</v>
      </c>
      <c r="I387" s="1">
        <v>2</v>
      </c>
      <c r="J387" s="1">
        <v>0.18</v>
      </c>
    </row>
    <row r="388" spans="1:10" ht="12.5" x14ac:dyDescent="0.25">
      <c r="A388" s="1">
        <v>387</v>
      </c>
      <c r="B388" s="2">
        <v>40560</v>
      </c>
      <c r="C388" s="1">
        <v>1</v>
      </c>
      <c r="D388" s="1">
        <v>0</v>
      </c>
      <c r="E388" s="1">
        <v>1</v>
      </c>
      <c r="F388" s="1">
        <v>14</v>
      </c>
      <c r="G388" s="1" t="b">
        <v>1</v>
      </c>
      <c r="H388" s="1">
        <v>1</v>
      </c>
      <c r="I388" s="1">
        <v>2</v>
      </c>
      <c r="J388" s="1">
        <v>0.18</v>
      </c>
    </row>
    <row r="389" spans="1:10" ht="12.5" x14ac:dyDescent="0.25">
      <c r="A389" s="1">
        <v>388</v>
      </c>
      <c r="B389" s="2">
        <v>40560</v>
      </c>
      <c r="C389" s="1">
        <v>1</v>
      </c>
      <c r="D389" s="1">
        <v>0</v>
      </c>
      <c r="E389" s="1">
        <v>1</v>
      </c>
      <c r="F389" s="1">
        <v>15</v>
      </c>
      <c r="G389" s="1" t="b">
        <v>1</v>
      </c>
      <c r="H389" s="1">
        <v>1</v>
      </c>
      <c r="I389" s="1">
        <v>2</v>
      </c>
      <c r="J389" s="1">
        <v>0.2</v>
      </c>
    </row>
    <row r="390" spans="1:10" ht="12.5" x14ac:dyDescent="0.25">
      <c r="A390" s="1">
        <v>389</v>
      </c>
      <c r="B390" s="2">
        <v>40560</v>
      </c>
      <c r="C390" s="1">
        <v>1</v>
      </c>
      <c r="D390" s="1">
        <v>0</v>
      </c>
      <c r="E390" s="1">
        <v>1</v>
      </c>
      <c r="F390" s="1">
        <v>16</v>
      </c>
      <c r="G390" s="1" t="b">
        <v>1</v>
      </c>
      <c r="H390" s="1">
        <v>1</v>
      </c>
      <c r="I390" s="1">
        <v>2</v>
      </c>
      <c r="J390" s="1">
        <v>0.2</v>
      </c>
    </row>
    <row r="391" spans="1:10" ht="12.5" x14ac:dyDescent="0.25">
      <c r="A391" s="1">
        <v>390</v>
      </c>
      <c r="B391" s="2">
        <v>40560</v>
      </c>
      <c r="C391" s="1">
        <v>1</v>
      </c>
      <c r="D391" s="1">
        <v>0</v>
      </c>
      <c r="E391" s="1">
        <v>1</v>
      </c>
      <c r="F391" s="1">
        <v>17</v>
      </c>
      <c r="G391" s="1" t="b">
        <v>1</v>
      </c>
      <c r="H391" s="1">
        <v>1</v>
      </c>
      <c r="I391" s="1">
        <v>1</v>
      </c>
      <c r="J391" s="1">
        <v>0.2</v>
      </c>
    </row>
    <row r="392" spans="1:10" ht="12.5" x14ac:dyDescent="0.25">
      <c r="A392" s="1">
        <v>391</v>
      </c>
      <c r="B392" s="2">
        <v>40560</v>
      </c>
      <c r="C392" s="1">
        <v>1</v>
      </c>
      <c r="D392" s="1">
        <v>0</v>
      </c>
      <c r="E392" s="1">
        <v>1</v>
      </c>
      <c r="F392" s="1">
        <v>18</v>
      </c>
      <c r="G392" s="1" t="b">
        <v>1</v>
      </c>
      <c r="H392" s="1">
        <v>1</v>
      </c>
      <c r="I392" s="1">
        <v>2</v>
      </c>
      <c r="J392" s="1">
        <v>0.18</v>
      </c>
    </row>
    <row r="393" spans="1:10" ht="12.5" x14ac:dyDescent="0.25">
      <c r="A393" s="1">
        <v>392</v>
      </c>
      <c r="B393" s="2">
        <v>40560</v>
      </c>
      <c r="C393" s="1">
        <v>1</v>
      </c>
      <c r="D393" s="1">
        <v>0</v>
      </c>
      <c r="E393" s="1">
        <v>1</v>
      </c>
      <c r="F393" s="1">
        <v>19</v>
      </c>
      <c r="G393" s="1" t="b">
        <v>1</v>
      </c>
      <c r="H393" s="1">
        <v>1</v>
      </c>
      <c r="I393" s="1">
        <v>3</v>
      </c>
      <c r="J393" s="1">
        <v>0.18</v>
      </c>
    </row>
    <row r="394" spans="1:10" ht="12.5" x14ac:dyDescent="0.25">
      <c r="A394" s="1">
        <v>393</v>
      </c>
      <c r="B394" s="2">
        <v>40560</v>
      </c>
      <c r="C394" s="1">
        <v>1</v>
      </c>
      <c r="D394" s="1">
        <v>0</v>
      </c>
      <c r="E394" s="1">
        <v>1</v>
      </c>
      <c r="F394" s="1">
        <v>20</v>
      </c>
      <c r="G394" s="1" t="b">
        <v>1</v>
      </c>
      <c r="H394" s="1">
        <v>1</v>
      </c>
      <c r="I394" s="1">
        <v>3</v>
      </c>
      <c r="J394" s="1">
        <v>0.16</v>
      </c>
    </row>
    <row r="395" spans="1:10" ht="12.5" x14ac:dyDescent="0.25">
      <c r="A395" s="1">
        <v>394</v>
      </c>
      <c r="B395" s="2">
        <v>40560</v>
      </c>
      <c r="C395" s="1">
        <v>1</v>
      </c>
      <c r="D395" s="1">
        <v>0</v>
      </c>
      <c r="E395" s="1">
        <v>1</v>
      </c>
      <c r="F395" s="1">
        <v>21</v>
      </c>
      <c r="G395" s="1" t="b">
        <v>1</v>
      </c>
      <c r="H395" s="1">
        <v>1</v>
      </c>
      <c r="I395" s="1">
        <v>3</v>
      </c>
      <c r="J395" s="1">
        <v>0.16</v>
      </c>
    </row>
    <row r="396" spans="1:10" ht="12.5" x14ac:dyDescent="0.25">
      <c r="A396" s="1">
        <v>395</v>
      </c>
      <c r="B396" s="2">
        <v>40560</v>
      </c>
      <c r="C396" s="1">
        <v>1</v>
      </c>
      <c r="D396" s="1">
        <v>0</v>
      </c>
      <c r="E396" s="1">
        <v>1</v>
      </c>
      <c r="F396" s="1">
        <v>22</v>
      </c>
      <c r="G396" s="1" t="b">
        <v>1</v>
      </c>
      <c r="H396" s="1">
        <v>1</v>
      </c>
      <c r="I396" s="1">
        <v>3</v>
      </c>
      <c r="J396" s="1">
        <v>0.14000000000000001</v>
      </c>
    </row>
    <row r="397" spans="1:10" ht="12.5" x14ac:dyDescent="0.25">
      <c r="A397" s="1">
        <v>396</v>
      </c>
      <c r="B397" s="2">
        <v>40560</v>
      </c>
      <c r="C397" s="1">
        <v>1</v>
      </c>
      <c r="D397" s="1">
        <v>0</v>
      </c>
      <c r="E397" s="1">
        <v>1</v>
      </c>
      <c r="F397" s="1">
        <v>23</v>
      </c>
      <c r="G397" s="1" t="b">
        <v>1</v>
      </c>
      <c r="H397" s="1">
        <v>1</v>
      </c>
      <c r="I397" s="1">
        <v>3</v>
      </c>
      <c r="J397" s="1">
        <v>0.16</v>
      </c>
    </row>
    <row r="398" spans="1:10" ht="12.5" x14ac:dyDescent="0.25">
      <c r="A398" s="1">
        <v>397</v>
      </c>
      <c r="B398" s="2">
        <v>40561</v>
      </c>
      <c r="C398" s="1">
        <v>1</v>
      </c>
      <c r="D398" s="1">
        <v>0</v>
      </c>
      <c r="E398" s="1">
        <v>1</v>
      </c>
      <c r="F398" s="1">
        <v>12</v>
      </c>
      <c r="G398" s="1" t="b">
        <v>0</v>
      </c>
      <c r="H398" s="1">
        <v>2</v>
      </c>
      <c r="I398" s="1">
        <v>2</v>
      </c>
      <c r="J398" s="1">
        <v>0.2</v>
      </c>
    </row>
    <row r="399" spans="1:10" ht="12.5" x14ac:dyDescent="0.25">
      <c r="A399" s="1">
        <v>398</v>
      </c>
      <c r="B399" s="2">
        <v>40561</v>
      </c>
      <c r="C399" s="1">
        <v>1</v>
      </c>
      <c r="D399" s="1">
        <v>0</v>
      </c>
      <c r="E399" s="1">
        <v>1</v>
      </c>
      <c r="F399" s="1">
        <v>13</v>
      </c>
      <c r="G399" s="1" t="b">
        <v>0</v>
      </c>
      <c r="H399" s="1">
        <v>2</v>
      </c>
      <c r="I399" s="1">
        <v>2</v>
      </c>
      <c r="J399" s="1">
        <v>0.2</v>
      </c>
    </row>
    <row r="400" spans="1:10" ht="12.5" x14ac:dyDescent="0.25">
      <c r="A400" s="1">
        <v>399</v>
      </c>
      <c r="B400" s="2">
        <v>40561</v>
      </c>
      <c r="C400" s="1">
        <v>1</v>
      </c>
      <c r="D400" s="1">
        <v>0</v>
      </c>
      <c r="E400" s="1">
        <v>1</v>
      </c>
      <c r="F400" s="1">
        <v>14</v>
      </c>
      <c r="G400" s="1" t="b">
        <v>0</v>
      </c>
      <c r="H400" s="1">
        <v>2</v>
      </c>
      <c r="I400" s="1">
        <v>2</v>
      </c>
      <c r="J400" s="1">
        <v>0.22</v>
      </c>
    </row>
    <row r="401" spans="1:10" ht="12.5" x14ac:dyDescent="0.25">
      <c r="A401" s="1">
        <v>400</v>
      </c>
      <c r="B401" s="2">
        <v>40561</v>
      </c>
      <c r="C401" s="1">
        <v>1</v>
      </c>
      <c r="D401" s="1">
        <v>0</v>
      </c>
      <c r="E401" s="1">
        <v>1</v>
      </c>
      <c r="F401" s="1">
        <v>15</v>
      </c>
      <c r="G401" s="1" t="b">
        <v>0</v>
      </c>
      <c r="H401" s="1">
        <v>2</v>
      </c>
      <c r="I401" s="1">
        <v>2</v>
      </c>
      <c r="J401" s="1">
        <v>0.22</v>
      </c>
    </row>
    <row r="402" spans="1:10" ht="12.5" x14ac:dyDescent="0.25">
      <c r="A402" s="1">
        <v>401</v>
      </c>
      <c r="B402" s="2">
        <v>40561</v>
      </c>
      <c r="C402" s="1">
        <v>1</v>
      </c>
      <c r="D402" s="1">
        <v>0</v>
      </c>
      <c r="E402" s="1">
        <v>1</v>
      </c>
      <c r="F402" s="1">
        <v>16</v>
      </c>
      <c r="G402" s="1" t="b">
        <v>0</v>
      </c>
      <c r="H402" s="1">
        <v>2</v>
      </c>
      <c r="I402" s="1">
        <v>2</v>
      </c>
      <c r="J402" s="1">
        <v>0.22</v>
      </c>
    </row>
    <row r="403" spans="1:10" ht="12.5" x14ac:dyDescent="0.25">
      <c r="A403" s="1">
        <v>402</v>
      </c>
      <c r="B403" s="2">
        <v>40561</v>
      </c>
      <c r="C403" s="1">
        <v>1</v>
      </c>
      <c r="D403" s="1">
        <v>0</v>
      </c>
      <c r="E403" s="1">
        <v>1</v>
      </c>
      <c r="F403" s="1">
        <v>17</v>
      </c>
      <c r="G403" s="1" t="b">
        <v>0</v>
      </c>
      <c r="H403" s="1">
        <v>2</v>
      </c>
      <c r="I403" s="1">
        <v>2</v>
      </c>
      <c r="J403" s="1">
        <v>0.22</v>
      </c>
    </row>
    <row r="404" spans="1:10" ht="12.5" x14ac:dyDescent="0.25">
      <c r="A404" s="1">
        <v>403</v>
      </c>
      <c r="B404" s="2">
        <v>40561</v>
      </c>
      <c r="C404" s="1">
        <v>1</v>
      </c>
      <c r="D404" s="1">
        <v>0</v>
      </c>
      <c r="E404" s="1">
        <v>1</v>
      </c>
      <c r="F404" s="1">
        <v>18</v>
      </c>
      <c r="G404" s="1" t="b">
        <v>0</v>
      </c>
      <c r="H404" s="1">
        <v>2</v>
      </c>
      <c r="I404" s="1">
        <v>2</v>
      </c>
      <c r="J404" s="1">
        <v>0.22</v>
      </c>
    </row>
    <row r="405" spans="1:10" ht="12.5" x14ac:dyDescent="0.25">
      <c r="A405" s="1">
        <v>404</v>
      </c>
      <c r="B405" s="2">
        <v>40561</v>
      </c>
      <c r="C405" s="1">
        <v>1</v>
      </c>
      <c r="D405" s="1">
        <v>0</v>
      </c>
      <c r="E405" s="1">
        <v>1</v>
      </c>
      <c r="F405" s="1">
        <v>19</v>
      </c>
      <c r="G405" s="1" t="b">
        <v>0</v>
      </c>
      <c r="H405" s="1">
        <v>2</v>
      </c>
      <c r="I405" s="1">
        <v>2</v>
      </c>
      <c r="J405" s="1">
        <v>0.22</v>
      </c>
    </row>
    <row r="406" spans="1:10" ht="12.5" x14ac:dyDescent="0.25">
      <c r="A406" s="1">
        <v>405</v>
      </c>
      <c r="B406" s="2">
        <v>40561</v>
      </c>
      <c r="C406" s="1">
        <v>1</v>
      </c>
      <c r="D406" s="1">
        <v>0</v>
      </c>
      <c r="E406" s="1">
        <v>1</v>
      </c>
      <c r="F406" s="1">
        <v>20</v>
      </c>
      <c r="G406" s="1" t="b">
        <v>0</v>
      </c>
      <c r="H406" s="1">
        <v>2</v>
      </c>
      <c r="I406" s="1">
        <v>2</v>
      </c>
      <c r="J406" s="1">
        <v>0.22</v>
      </c>
    </row>
    <row r="407" spans="1:10" ht="12.5" x14ac:dyDescent="0.25">
      <c r="A407" s="1">
        <v>406</v>
      </c>
      <c r="B407" s="2">
        <v>40561</v>
      </c>
      <c r="C407" s="1">
        <v>1</v>
      </c>
      <c r="D407" s="1">
        <v>0</v>
      </c>
      <c r="E407" s="1">
        <v>1</v>
      </c>
      <c r="F407" s="1">
        <v>21</v>
      </c>
      <c r="G407" s="1" t="b">
        <v>0</v>
      </c>
      <c r="H407" s="1">
        <v>2</v>
      </c>
      <c r="I407" s="1">
        <v>2</v>
      </c>
      <c r="J407" s="1">
        <v>0.22</v>
      </c>
    </row>
    <row r="408" spans="1:10" ht="12.5" x14ac:dyDescent="0.25">
      <c r="A408" s="1">
        <v>407</v>
      </c>
      <c r="B408" s="2">
        <v>40561</v>
      </c>
      <c r="C408" s="1">
        <v>1</v>
      </c>
      <c r="D408" s="1">
        <v>0</v>
      </c>
      <c r="E408" s="1">
        <v>1</v>
      </c>
      <c r="F408" s="1">
        <v>22</v>
      </c>
      <c r="G408" s="1" t="b">
        <v>0</v>
      </c>
      <c r="H408" s="1">
        <v>2</v>
      </c>
      <c r="I408" s="1">
        <v>2</v>
      </c>
      <c r="J408" s="1">
        <v>0.22</v>
      </c>
    </row>
    <row r="409" spans="1:10" ht="12.5" x14ac:dyDescent="0.25">
      <c r="A409" s="1">
        <v>408</v>
      </c>
      <c r="B409" s="2">
        <v>40561</v>
      </c>
      <c r="C409" s="1">
        <v>1</v>
      </c>
      <c r="D409" s="1">
        <v>0</v>
      </c>
      <c r="E409" s="1">
        <v>1</v>
      </c>
      <c r="F409" s="1">
        <v>23</v>
      </c>
      <c r="G409" s="1" t="b">
        <v>0</v>
      </c>
      <c r="H409" s="1">
        <v>2</v>
      </c>
      <c r="I409" s="1">
        <v>2</v>
      </c>
      <c r="J409" s="1">
        <v>0.22</v>
      </c>
    </row>
    <row r="410" spans="1:10" ht="12.5" x14ac:dyDescent="0.25">
      <c r="A410" s="1">
        <v>409</v>
      </c>
      <c r="B410" s="2">
        <v>40562</v>
      </c>
      <c r="C410" s="1">
        <v>1</v>
      </c>
      <c r="D410" s="1">
        <v>0</v>
      </c>
      <c r="E410" s="1">
        <v>1</v>
      </c>
      <c r="F410" s="1">
        <v>0</v>
      </c>
      <c r="G410" s="1" t="b">
        <v>0</v>
      </c>
      <c r="H410" s="1">
        <v>3</v>
      </c>
      <c r="I410" s="1">
        <v>2</v>
      </c>
      <c r="J410" s="1">
        <v>0.22</v>
      </c>
    </row>
    <row r="411" spans="1:10" ht="12.5" x14ac:dyDescent="0.25">
      <c r="A411" s="1">
        <v>410</v>
      </c>
      <c r="B411" s="2">
        <v>40562</v>
      </c>
      <c r="C411" s="1">
        <v>1</v>
      </c>
      <c r="D411" s="1">
        <v>0</v>
      </c>
      <c r="E411" s="1">
        <v>1</v>
      </c>
      <c r="F411" s="1">
        <v>1</v>
      </c>
      <c r="G411" s="1" t="b">
        <v>0</v>
      </c>
      <c r="H411" s="1">
        <v>3</v>
      </c>
      <c r="I411" s="1">
        <v>3</v>
      </c>
      <c r="J411" s="1">
        <v>0.22</v>
      </c>
    </row>
    <row r="412" spans="1:10" ht="12.5" x14ac:dyDescent="0.25">
      <c r="A412" s="1">
        <v>411</v>
      </c>
      <c r="B412" s="2">
        <v>40562</v>
      </c>
      <c r="C412" s="1">
        <v>1</v>
      </c>
      <c r="D412" s="1">
        <v>0</v>
      </c>
      <c r="E412" s="1">
        <v>1</v>
      </c>
      <c r="F412" s="1">
        <v>2</v>
      </c>
      <c r="G412" s="1" t="b">
        <v>0</v>
      </c>
      <c r="H412" s="1">
        <v>3</v>
      </c>
      <c r="I412" s="1">
        <v>3</v>
      </c>
      <c r="J412" s="1">
        <v>0.22</v>
      </c>
    </row>
    <row r="413" spans="1:10" ht="12.5" x14ac:dyDescent="0.25">
      <c r="A413" s="1">
        <v>412</v>
      </c>
      <c r="B413" s="2">
        <v>40562</v>
      </c>
      <c r="C413" s="1">
        <v>1</v>
      </c>
      <c r="D413" s="1">
        <v>0</v>
      </c>
      <c r="E413" s="1">
        <v>1</v>
      </c>
      <c r="F413" s="1">
        <v>4</v>
      </c>
      <c r="G413" s="1" t="b">
        <v>0</v>
      </c>
      <c r="H413" s="1">
        <v>3</v>
      </c>
      <c r="I413" s="1">
        <v>3</v>
      </c>
      <c r="J413" s="1">
        <v>0.22</v>
      </c>
    </row>
    <row r="414" spans="1:10" ht="12.5" x14ac:dyDescent="0.25">
      <c r="A414" s="1">
        <v>413</v>
      </c>
      <c r="B414" s="2">
        <v>40562</v>
      </c>
      <c r="C414" s="1">
        <v>1</v>
      </c>
      <c r="D414" s="1">
        <v>0</v>
      </c>
      <c r="E414" s="1">
        <v>1</v>
      </c>
      <c r="F414" s="1">
        <v>5</v>
      </c>
      <c r="G414" s="1" t="b">
        <v>0</v>
      </c>
      <c r="H414" s="1">
        <v>3</v>
      </c>
      <c r="I414" s="1">
        <v>2</v>
      </c>
      <c r="J414" s="1">
        <v>0.22</v>
      </c>
    </row>
    <row r="415" spans="1:10" ht="12.5" x14ac:dyDescent="0.25">
      <c r="A415" s="1">
        <v>414</v>
      </c>
      <c r="B415" s="2">
        <v>40562</v>
      </c>
      <c r="C415" s="1">
        <v>1</v>
      </c>
      <c r="D415" s="1">
        <v>0</v>
      </c>
      <c r="E415" s="1">
        <v>1</v>
      </c>
      <c r="F415" s="1">
        <v>6</v>
      </c>
      <c r="G415" s="1" t="b">
        <v>0</v>
      </c>
      <c r="H415" s="1">
        <v>3</v>
      </c>
      <c r="I415" s="1">
        <v>2</v>
      </c>
      <c r="J415" s="1">
        <v>0.22</v>
      </c>
    </row>
    <row r="416" spans="1:10" ht="12.5" x14ac:dyDescent="0.25">
      <c r="A416" s="1">
        <v>415</v>
      </c>
      <c r="B416" s="2">
        <v>40562</v>
      </c>
      <c r="C416" s="1">
        <v>1</v>
      </c>
      <c r="D416" s="1">
        <v>0</v>
      </c>
      <c r="E416" s="1">
        <v>1</v>
      </c>
      <c r="F416" s="1">
        <v>7</v>
      </c>
      <c r="G416" s="1" t="b">
        <v>0</v>
      </c>
      <c r="H416" s="1">
        <v>3</v>
      </c>
      <c r="I416" s="1">
        <v>2</v>
      </c>
      <c r="J416" s="1">
        <v>0.24</v>
      </c>
    </row>
    <row r="417" spans="1:10" ht="12.5" x14ac:dyDescent="0.25">
      <c r="A417" s="1">
        <v>416</v>
      </c>
      <c r="B417" s="2">
        <v>40562</v>
      </c>
      <c r="C417" s="1">
        <v>1</v>
      </c>
      <c r="D417" s="1">
        <v>0</v>
      </c>
      <c r="E417" s="1">
        <v>1</v>
      </c>
      <c r="F417" s="1">
        <v>8</v>
      </c>
      <c r="G417" s="1" t="b">
        <v>0</v>
      </c>
      <c r="H417" s="1">
        <v>3</v>
      </c>
      <c r="I417" s="1">
        <v>2</v>
      </c>
      <c r="J417" s="1">
        <v>0.24</v>
      </c>
    </row>
    <row r="418" spans="1:10" ht="12.5" x14ac:dyDescent="0.25">
      <c r="A418" s="1">
        <v>417</v>
      </c>
      <c r="B418" s="2">
        <v>40562</v>
      </c>
      <c r="C418" s="1">
        <v>1</v>
      </c>
      <c r="D418" s="1">
        <v>0</v>
      </c>
      <c r="E418" s="1">
        <v>1</v>
      </c>
      <c r="F418" s="1">
        <v>9</v>
      </c>
      <c r="G418" s="1" t="b">
        <v>0</v>
      </c>
      <c r="H418" s="1">
        <v>3</v>
      </c>
      <c r="I418" s="1">
        <v>2</v>
      </c>
      <c r="J418" s="1">
        <v>0.24</v>
      </c>
    </row>
    <row r="419" spans="1:10" ht="12.5" x14ac:dyDescent="0.25">
      <c r="A419" s="1">
        <v>418</v>
      </c>
      <c r="B419" s="2">
        <v>40562</v>
      </c>
      <c r="C419" s="1">
        <v>1</v>
      </c>
      <c r="D419" s="1">
        <v>0</v>
      </c>
      <c r="E419" s="1">
        <v>1</v>
      </c>
      <c r="F419" s="1">
        <v>10</v>
      </c>
      <c r="G419" s="1" t="b">
        <v>0</v>
      </c>
      <c r="H419" s="1">
        <v>3</v>
      </c>
      <c r="I419" s="1">
        <v>2</v>
      </c>
      <c r="J419" s="1">
        <v>0.26</v>
      </c>
    </row>
    <row r="420" spans="1:10" ht="12.5" x14ac:dyDescent="0.25">
      <c r="A420" s="1">
        <v>419</v>
      </c>
      <c r="B420" s="2">
        <v>40562</v>
      </c>
      <c r="C420" s="1">
        <v>1</v>
      </c>
      <c r="D420" s="1">
        <v>0</v>
      </c>
      <c r="E420" s="1">
        <v>1</v>
      </c>
      <c r="F420" s="1">
        <v>11</v>
      </c>
      <c r="G420" s="1" t="b">
        <v>0</v>
      </c>
      <c r="H420" s="1">
        <v>3</v>
      </c>
      <c r="I420" s="1">
        <v>2</v>
      </c>
      <c r="J420" s="1">
        <v>0.28000000000000003</v>
      </c>
    </row>
    <row r="421" spans="1:10" ht="12.5" x14ac:dyDescent="0.25">
      <c r="A421" s="1">
        <v>420</v>
      </c>
      <c r="B421" s="2">
        <v>40562</v>
      </c>
      <c r="C421" s="1">
        <v>1</v>
      </c>
      <c r="D421" s="1">
        <v>0</v>
      </c>
      <c r="E421" s="1">
        <v>1</v>
      </c>
      <c r="F421" s="1">
        <v>12</v>
      </c>
      <c r="G421" s="1" t="b">
        <v>0</v>
      </c>
      <c r="H421" s="1">
        <v>3</v>
      </c>
      <c r="I421" s="1">
        <v>2</v>
      </c>
      <c r="J421" s="1">
        <v>0.3</v>
      </c>
    </row>
    <row r="422" spans="1:10" ht="12.5" x14ac:dyDescent="0.25">
      <c r="A422" s="1">
        <v>421</v>
      </c>
      <c r="B422" s="2">
        <v>40562</v>
      </c>
      <c r="C422" s="1">
        <v>1</v>
      </c>
      <c r="D422" s="1">
        <v>0</v>
      </c>
      <c r="E422" s="1">
        <v>1</v>
      </c>
      <c r="F422" s="1">
        <v>13</v>
      </c>
      <c r="G422" s="1" t="b">
        <v>0</v>
      </c>
      <c r="H422" s="1">
        <v>3</v>
      </c>
      <c r="I422" s="1">
        <v>1</v>
      </c>
      <c r="J422" s="1">
        <v>0.4</v>
      </c>
    </row>
    <row r="423" spans="1:10" ht="12.5" x14ac:dyDescent="0.25">
      <c r="A423" s="1">
        <v>422</v>
      </c>
      <c r="B423" s="2">
        <v>40562</v>
      </c>
      <c r="C423" s="1">
        <v>1</v>
      </c>
      <c r="D423" s="1">
        <v>0</v>
      </c>
      <c r="E423" s="1">
        <v>1</v>
      </c>
      <c r="F423" s="1">
        <v>14</v>
      </c>
      <c r="G423" s="1" t="b">
        <v>0</v>
      </c>
      <c r="H423" s="1">
        <v>3</v>
      </c>
      <c r="I423" s="1">
        <v>1</v>
      </c>
      <c r="J423" s="1">
        <v>0.4</v>
      </c>
    </row>
    <row r="424" spans="1:10" ht="12.5" x14ac:dyDescent="0.25">
      <c r="A424" s="1">
        <v>423</v>
      </c>
      <c r="B424" s="2">
        <v>40562</v>
      </c>
      <c r="C424" s="1">
        <v>1</v>
      </c>
      <c r="D424" s="1">
        <v>0</v>
      </c>
      <c r="E424" s="1">
        <v>1</v>
      </c>
      <c r="F424" s="1">
        <v>15</v>
      </c>
      <c r="G424" s="1" t="b">
        <v>0</v>
      </c>
      <c r="H424" s="1">
        <v>3</v>
      </c>
      <c r="I424" s="1">
        <v>1</v>
      </c>
      <c r="J424" s="1">
        <v>0.4</v>
      </c>
    </row>
    <row r="425" spans="1:10" ht="12.5" x14ac:dyDescent="0.25">
      <c r="A425" s="1">
        <v>424</v>
      </c>
      <c r="B425" s="2">
        <v>40562</v>
      </c>
      <c r="C425" s="1">
        <v>1</v>
      </c>
      <c r="D425" s="1">
        <v>0</v>
      </c>
      <c r="E425" s="1">
        <v>1</v>
      </c>
      <c r="F425" s="1">
        <v>16</v>
      </c>
      <c r="G425" s="1" t="b">
        <v>0</v>
      </c>
      <c r="H425" s="1">
        <v>3</v>
      </c>
      <c r="I425" s="1">
        <v>1</v>
      </c>
      <c r="J425" s="1">
        <v>0.38</v>
      </c>
    </row>
    <row r="426" spans="1:10" ht="12.5" x14ac:dyDescent="0.25">
      <c r="A426" s="1">
        <v>425</v>
      </c>
      <c r="B426" s="2">
        <v>40562</v>
      </c>
      <c r="C426" s="1">
        <v>1</v>
      </c>
      <c r="D426" s="1">
        <v>0</v>
      </c>
      <c r="E426" s="1">
        <v>1</v>
      </c>
      <c r="F426" s="1">
        <v>17</v>
      </c>
      <c r="G426" s="1" t="b">
        <v>0</v>
      </c>
      <c r="H426" s="1">
        <v>3</v>
      </c>
      <c r="I426" s="1">
        <v>1</v>
      </c>
      <c r="J426" s="1">
        <v>0.36</v>
      </c>
    </row>
    <row r="427" spans="1:10" ht="12.5" x14ac:dyDescent="0.25">
      <c r="A427" s="1">
        <v>426</v>
      </c>
      <c r="B427" s="2">
        <v>40562</v>
      </c>
      <c r="C427" s="1">
        <v>1</v>
      </c>
      <c r="D427" s="1">
        <v>0</v>
      </c>
      <c r="E427" s="1">
        <v>1</v>
      </c>
      <c r="F427" s="1">
        <v>18</v>
      </c>
      <c r="G427" s="1" t="b">
        <v>0</v>
      </c>
      <c r="H427" s="1">
        <v>3</v>
      </c>
      <c r="I427" s="1">
        <v>1</v>
      </c>
      <c r="J427" s="1">
        <v>0.34</v>
      </c>
    </row>
    <row r="428" spans="1:10" ht="12.5" x14ac:dyDescent="0.25">
      <c r="A428" s="1">
        <v>427</v>
      </c>
      <c r="B428" s="2">
        <v>40562</v>
      </c>
      <c r="C428" s="1">
        <v>1</v>
      </c>
      <c r="D428" s="1">
        <v>0</v>
      </c>
      <c r="E428" s="1">
        <v>1</v>
      </c>
      <c r="F428" s="1">
        <v>19</v>
      </c>
      <c r="G428" s="1" t="b">
        <v>0</v>
      </c>
      <c r="H428" s="1">
        <v>3</v>
      </c>
      <c r="I428" s="1">
        <v>1</v>
      </c>
      <c r="J428" s="1">
        <v>0.32</v>
      </c>
    </row>
    <row r="429" spans="1:10" ht="12.5" x14ac:dyDescent="0.25">
      <c r="A429" s="1">
        <v>428</v>
      </c>
      <c r="B429" s="2">
        <v>40562</v>
      </c>
      <c r="C429" s="1">
        <v>1</v>
      </c>
      <c r="D429" s="1">
        <v>0</v>
      </c>
      <c r="E429" s="1">
        <v>1</v>
      </c>
      <c r="F429" s="1">
        <v>20</v>
      </c>
      <c r="G429" s="1" t="b">
        <v>0</v>
      </c>
      <c r="H429" s="1">
        <v>3</v>
      </c>
      <c r="I429" s="1">
        <v>1</v>
      </c>
      <c r="J429" s="1">
        <v>0.32</v>
      </c>
    </row>
    <row r="430" spans="1:10" ht="12.5" x14ac:dyDescent="0.25">
      <c r="A430" s="1">
        <v>429</v>
      </c>
      <c r="B430" s="2">
        <v>40562</v>
      </c>
      <c r="C430" s="1">
        <v>1</v>
      </c>
      <c r="D430" s="1">
        <v>0</v>
      </c>
      <c r="E430" s="1">
        <v>1</v>
      </c>
      <c r="F430" s="1">
        <v>21</v>
      </c>
      <c r="G430" s="1" t="b">
        <v>0</v>
      </c>
      <c r="H430" s="1">
        <v>3</v>
      </c>
      <c r="I430" s="1">
        <v>1</v>
      </c>
      <c r="J430" s="1">
        <v>0.32</v>
      </c>
    </row>
    <row r="431" spans="1:10" ht="12.5" x14ac:dyDescent="0.25">
      <c r="A431" s="1">
        <v>430</v>
      </c>
      <c r="B431" s="2">
        <v>40562</v>
      </c>
      <c r="C431" s="1">
        <v>1</v>
      </c>
      <c r="D431" s="1">
        <v>0</v>
      </c>
      <c r="E431" s="1">
        <v>1</v>
      </c>
      <c r="F431" s="1">
        <v>22</v>
      </c>
      <c r="G431" s="1" t="b">
        <v>0</v>
      </c>
      <c r="H431" s="1">
        <v>3</v>
      </c>
      <c r="I431" s="1">
        <v>1</v>
      </c>
      <c r="J431" s="1">
        <v>0.3</v>
      </c>
    </row>
    <row r="432" spans="1:10" ht="12.5" x14ac:dyDescent="0.25">
      <c r="A432" s="1">
        <v>431</v>
      </c>
      <c r="B432" s="2">
        <v>40562</v>
      </c>
      <c r="C432" s="1">
        <v>1</v>
      </c>
      <c r="D432" s="1">
        <v>0</v>
      </c>
      <c r="E432" s="1">
        <v>1</v>
      </c>
      <c r="F432" s="1">
        <v>23</v>
      </c>
      <c r="G432" s="1" t="b">
        <v>0</v>
      </c>
      <c r="H432" s="1">
        <v>3</v>
      </c>
      <c r="I432" s="1">
        <v>1</v>
      </c>
      <c r="J432" s="1">
        <v>0.3</v>
      </c>
    </row>
    <row r="433" spans="1:10" ht="12.5" x14ac:dyDescent="0.25">
      <c r="A433" s="1">
        <v>432</v>
      </c>
      <c r="B433" s="2">
        <v>40563</v>
      </c>
      <c r="C433" s="1">
        <v>1</v>
      </c>
      <c r="D433" s="1">
        <v>0</v>
      </c>
      <c r="E433" s="1">
        <v>1</v>
      </c>
      <c r="F433" s="1">
        <v>0</v>
      </c>
      <c r="G433" s="1" t="b">
        <v>0</v>
      </c>
      <c r="H433" s="1">
        <v>4</v>
      </c>
      <c r="I433" s="1">
        <v>1</v>
      </c>
      <c r="J433" s="1">
        <v>0.26</v>
      </c>
    </row>
    <row r="434" spans="1:10" ht="12.5" x14ac:dyDescent="0.25">
      <c r="A434" s="1">
        <v>433</v>
      </c>
      <c r="B434" s="2">
        <v>40563</v>
      </c>
      <c r="C434" s="1">
        <v>1</v>
      </c>
      <c r="D434" s="1">
        <v>0</v>
      </c>
      <c r="E434" s="1">
        <v>1</v>
      </c>
      <c r="F434" s="1">
        <v>1</v>
      </c>
      <c r="G434" s="1" t="b">
        <v>0</v>
      </c>
      <c r="H434" s="1">
        <v>4</v>
      </c>
      <c r="I434" s="1">
        <v>1</v>
      </c>
      <c r="J434" s="1">
        <v>0.26</v>
      </c>
    </row>
    <row r="435" spans="1:10" ht="12.5" x14ac:dyDescent="0.25">
      <c r="A435" s="1">
        <v>434</v>
      </c>
      <c r="B435" s="2">
        <v>40563</v>
      </c>
      <c r="C435" s="1">
        <v>1</v>
      </c>
      <c r="D435" s="1">
        <v>0</v>
      </c>
      <c r="E435" s="1">
        <v>1</v>
      </c>
      <c r="F435" s="1">
        <v>2</v>
      </c>
      <c r="G435" s="1" t="b">
        <v>0</v>
      </c>
      <c r="H435" s="1">
        <v>4</v>
      </c>
      <c r="I435" s="1">
        <v>1</v>
      </c>
      <c r="J435" s="1">
        <v>0.26</v>
      </c>
    </row>
    <row r="436" spans="1:10" ht="12.5" x14ac:dyDescent="0.25">
      <c r="A436" s="1">
        <v>435</v>
      </c>
      <c r="B436" s="2">
        <v>40563</v>
      </c>
      <c r="C436" s="1">
        <v>1</v>
      </c>
      <c r="D436" s="1">
        <v>0</v>
      </c>
      <c r="E436" s="1">
        <v>1</v>
      </c>
      <c r="F436" s="1">
        <v>3</v>
      </c>
      <c r="G436" s="1" t="b">
        <v>0</v>
      </c>
      <c r="H436" s="1">
        <v>4</v>
      </c>
      <c r="I436" s="1">
        <v>1</v>
      </c>
      <c r="J436" s="1">
        <v>0.26</v>
      </c>
    </row>
    <row r="437" spans="1:10" ht="12.5" x14ac:dyDescent="0.25">
      <c r="A437" s="1">
        <v>436</v>
      </c>
      <c r="B437" s="2">
        <v>40563</v>
      </c>
      <c r="C437" s="1">
        <v>1</v>
      </c>
      <c r="D437" s="1">
        <v>0</v>
      </c>
      <c r="E437" s="1">
        <v>1</v>
      </c>
      <c r="F437" s="1">
        <v>4</v>
      </c>
      <c r="G437" s="1" t="b">
        <v>0</v>
      </c>
      <c r="H437" s="1">
        <v>4</v>
      </c>
      <c r="I437" s="1">
        <v>1</v>
      </c>
      <c r="J437" s="1">
        <v>0.26</v>
      </c>
    </row>
    <row r="438" spans="1:10" ht="12.5" x14ac:dyDescent="0.25">
      <c r="A438" s="1">
        <v>437</v>
      </c>
      <c r="B438" s="2">
        <v>40563</v>
      </c>
      <c r="C438" s="1">
        <v>1</v>
      </c>
      <c r="D438" s="1">
        <v>0</v>
      </c>
      <c r="E438" s="1">
        <v>1</v>
      </c>
      <c r="F438" s="1">
        <v>5</v>
      </c>
      <c r="G438" s="1" t="b">
        <v>0</v>
      </c>
      <c r="H438" s="1">
        <v>4</v>
      </c>
      <c r="I438" s="1">
        <v>1</v>
      </c>
      <c r="J438" s="1">
        <v>0.24</v>
      </c>
    </row>
    <row r="439" spans="1:10" ht="12.5" x14ac:dyDescent="0.25">
      <c r="A439" s="1">
        <v>438</v>
      </c>
      <c r="B439" s="2">
        <v>40563</v>
      </c>
      <c r="C439" s="1">
        <v>1</v>
      </c>
      <c r="D439" s="1">
        <v>0</v>
      </c>
      <c r="E439" s="1">
        <v>1</v>
      </c>
      <c r="F439" s="1">
        <v>6</v>
      </c>
      <c r="G439" s="1" t="b">
        <v>0</v>
      </c>
      <c r="H439" s="1">
        <v>4</v>
      </c>
      <c r="I439" s="1">
        <v>1</v>
      </c>
      <c r="J439" s="1">
        <v>0.22</v>
      </c>
    </row>
    <row r="440" spans="1:10" ht="12.5" x14ac:dyDescent="0.25">
      <c r="A440" s="1">
        <v>439</v>
      </c>
      <c r="B440" s="2">
        <v>40563</v>
      </c>
      <c r="C440" s="1">
        <v>1</v>
      </c>
      <c r="D440" s="1">
        <v>0</v>
      </c>
      <c r="E440" s="1">
        <v>1</v>
      </c>
      <c r="F440" s="1">
        <v>7</v>
      </c>
      <c r="G440" s="1" t="b">
        <v>0</v>
      </c>
      <c r="H440" s="1">
        <v>4</v>
      </c>
      <c r="I440" s="1">
        <v>1</v>
      </c>
      <c r="J440" s="1">
        <v>0.22</v>
      </c>
    </row>
    <row r="441" spans="1:10" ht="12.5" x14ac:dyDescent="0.25">
      <c r="A441" s="1">
        <v>440</v>
      </c>
      <c r="B441" s="2">
        <v>40563</v>
      </c>
      <c r="C441" s="1">
        <v>1</v>
      </c>
      <c r="D441" s="1">
        <v>0</v>
      </c>
      <c r="E441" s="1">
        <v>1</v>
      </c>
      <c r="F441" s="1">
        <v>8</v>
      </c>
      <c r="G441" s="1" t="b">
        <v>0</v>
      </c>
      <c r="H441" s="1">
        <v>4</v>
      </c>
      <c r="I441" s="1">
        <v>1</v>
      </c>
      <c r="J441" s="1">
        <v>0.22</v>
      </c>
    </row>
    <row r="442" spans="1:10" ht="12.5" x14ac:dyDescent="0.25">
      <c r="A442" s="1">
        <v>441</v>
      </c>
      <c r="B442" s="2">
        <v>40563</v>
      </c>
      <c r="C442" s="1">
        <v>1</v>
      </c>
      <c r="D442" s="1">
        <v>0</v>
      </c>
      <c r="E442" s="1">
        <v>1</v>
      </c>
      <c r="F442" s="1">
        <v>9</v>
      </c>
      <c r="G442" s="1" t="b">
        <v>0</v>
      </c>
      <c r="H442" s="1">
        <v>4</v>
      </c>
      <c r="I442" s="1">
        <v>2</v>
      </c>
      <c r="J442" s="1">
        <v>0.24</v>
      </c>
    </row>
    <row r="443" spans="1:10" ht="12.5" x14ac:dyDescent="0.25">
      <c r="A443" s="1">
        <v>442</v>
      </c>
      <c r="B443" s="2">
        <v>40563</v>
      </c>
      <c r="C443" s="1">
        <v>1</v>
      </c>
      <c r="D443" s="1">
        <v>0</v>
      </c>
      <c r="E443" s="1">
        <v>1</v>
      </c>
      <c r="F443" s="1">
        <v>10</v>
      </c>
      <c r="G443" s="1" t="b">
        <v>0</v>
      </c>
      <c r="H443" s="1">
        <v>4</v>
      </c>
      <c r="I443" s="1">
        <v>1</v>
      </c>
      <c r="J443" s="1">
        <v>0.26</v>
      </c>
    </row>
    <row r="444" spans="1:10" ht="12.5" x14ac:dyDescent="0.25">
      <c r="A444" s="1">
        <v>443</v>
      </c>
      <c r="B444" s="2">
        <v>40563</v>
      </c>
      <c r="C444" s="1">
        <v>1</v>
      </c>
      <c r="D444" s="1">
        <v>0</v>
      </c>
      <c r="E444" s="1">
        <v>1</v>
      </c>
      <c r="F444" s="1">
        <v>11</v>
      </c>
      <c r="G444" s="1" t="b">
        <v>0</v>
      </c>
      <c r="H444" s="1">
        <v>4</v>
      </c>
      <c r="I444" s="1">
        <v>2</v>
      </c>
      <c r="J444" s="1">
        <v>0.28000000000000003</v>
      </c>
    </row>
    <row r="445" spans="1:10" ht="12.5" x14ac:dyDescent="0.25">
      <c r="A445" s="1">
        <v>444</v>
      </c>
      <c r="B445" s="2">
        <v>40563</v>
      </c>
      <c r="C445" s="1">
        <v>1</v>
      </c>
      <c r="D445" s="1">
        <v>0</v>
      </c>
      <c r="E445" s="1">
        <v>1</v>
      </c>
      <c r="F445" s="1">
        <v>12</v>
      </c>
      <c r="G445" s="1" t="b">
        <v>0</v>
      </c>
      <c r="H445" s="1">
        <v>4</v>
      </c>
      <c r="I445" s="1">
        <v>2</v>
      </c>
      <c r="J445" s="1">
        <v>0.3</v>
      </c>
    </row>
    <row r="446" spans="1:10" ht="12.5" x14ac:dyDescent="0.25">
      <c r="A446" s="1">
        <v>445</v>
      </c>
      <c r="B446" s="2">
        <v>40563</v>
      </c>
      <c r="C446" s="1">
        <v>1</v>
      </c>
      <c r="D446" s="1">
        <v>0</v>
      </c>
      <c r="E446" s="1">
        <v>1</v>
      </c>
      <c r="F446" s="1">
        <v>13</v>
      </c>
      <c r="G446" s="1" t="b">
        <v>0</v>
      </c>
      <c r="H446" s="1">
        <v>4</v>
      </c>
      <c r="I446" s="1">
        <v>2</v>
      </c>
      <c r="J446" s="1">
        <v>0.28000000000000003</v>
      </c>
    </row>
    <row r="447" spans="1:10" ht="12.5" x14ac:dyDescent="0.25">
      <c r="A447" s="1">
        <v>446</v>
      </c>
      <c r="B447" s="2">
        <v>40563</v>
      </c>
      <c r="C447" s="1">
        <v>1</v>
      </c>
      <c r="D447" s="1">
        <v>0</v>
      </c>
      <c r="E447" s="1">
        <v>1</v>
      </c>
      <c r="F447" s="1">
        <v>14</v>
      </c>
      <c r="G447" s="1" t="b">
        <v>0</v>
      </c>
      <c r="H447" s="1">
        <v>4</v>
      </c>
      <c r="I447" s="1">
        <v>2</v>
      </c>
      <c r="J447" s="1">
        <v>0.3</v>
      </c>
    </row>
    <row r="448" spans="1:10" ht="12.5" x14ac:dyDescent="0.25">
      <c r="A448" s="1">
        <v>447</v>
      </c>
      <c r="B448" s="2">
        <v>40563</v>
      </c>
      <c r="C448" s="1">
        <v>1</v>
      </c>
      <c r="D448" s="1">
        <v>0</v>
      </c>
      <c r="E448" s="1">
        <v>1</v>
      </c>
      <c r="F448" s="1">
        <v>15</v>
      </c>
      <c r="G448" s="1" t="b">
        <v>0</v>
      </c>
      <c r="H448" s="1">
        <v>4</v>
      </c>
      <c r="I448" s="1">
        <v>2</v>
      </c>
      <c r="J448" s="1">
        <v>0.32</v>
      </c>
    </row>
    <row r="449" spans="1:10" ht="12.5" x14ac:dyDescent="0.25">
      <c r="A449" s="1">
        <v>448</v>
      </c>
      <c r="B449" s="2">
        <v>40563</v>
      </c>
      <c r="C449" s="1">
        <v>1</v>
      </c>
      <c r="D449" s="1">
        <v>0</v>
      </c>
      <c r="E449" s="1">
        <v>1</v>
      </c>
      <c r="F449" s="1">
        <v>16</v>
      </c>
      <c r="G449" s="1" t="b">
        <v>0</v>
      </c>
      <c r="H449" s="1">
        <v>4</v>
      </c>
      <c r="I449" s="1">
        <v>2</v>
      </c>
      <c r="J449" s="1">
        <v>0.3</v>
      </c>
    </row>
    <row r="450" spans="1:10" ht="12.5" x14ac:dyDescent="0.25">
      <c r="A450" s="1">
        <v>449</v>
      </c>
      <c r="B450" s="2">
        <v>40563</v>
      </c>
      <c r="C450" s="1">
        <v>1</v>
      </c>
      <c r="D450" s="1">
        <v>0</v>
      </c>
      <c r="E450" s="1">
        <v>1</v>
      </c>
      <c r="F450" s="1">
        <v>17</v>
      </c>
      <c r="G450" s="1" t="b">
        <v>0</v>
      </c>
      <c r="H450" s="1">
        <v>4</v>
      </c>
      <c r="I450" s="1">
        <v>2</v>
      </c>
      <c r="J450" s="1">
        <v>0.3</v>
      </c>
    </row>
    <row r="451" spans="1:10" ht="12.5" x14ac:dyDescent="0.25">
      <c r="A451" s="1">
        <v>450</v>
      </c>
      <c r="B451" s="2">
        <v>40563</v>
      </c>
      <c r="C451" s="1">
        <v>1</v>
      </c>
      <c r="D451" s="1">
        <v>0</v>
      </c>
      <c r="E451" s="1">
        <v>1</v>
      </c>
      <c r="F451" s="1">
        <v>18</v>
      </c>
      <c r="G451" s="1" t="b">
        <v>0</v>
      </c>
      <c r="H451" s="1">
        <v>4</v>
      </c>
      <c r="I451" s="1">
        <v>2</v>
      </c>
      <c r="J451" s="1">
        <v>0.26</v>
      </c>
    </row>
    <row r="452" spans="1:10" ht="12.5" x14ac:dyDescent="0.25">
      <c r="A452" s="1">
        <v>451</v>
      </c>
      <c r="B452" s="2">
        <v>40563</v>
      </c>
      <c r="C452" s="1">
        <v>1</v>
      </c>
      <c r="D452" s="1">
        <v>0</v>
      </c>
      <c r="E452" s="1">
        <v>1</v>
      </c>
      <c r="F452" s="1">
        <v>19</v>
      </c>
      <c r="G452" s="1" t="b">
        <v>0</v>
      </c>
      <c r="H452" s="1">
        <v>4</v>
      </c>
      <c r="I452" s="1">
        <v>1</v>
      </c>
      <c r="J452" s="1">
        <v>0.26</v>
      </c>
    </row>
    <row r="453" spans="1:10" ht="12.5" x14ac:dyDescent="0.25">
      <c r="A453" s="1">
        <v>452</v>
      </c>
      <c r="B453" s="2">
        <v>40563</v>
      </c>
      <c r="C453" s="1">
        <v>1</v>
      </c>
      <c r="D453" s="1">
        <v>0</v>
      </c>
      <c r="E453" s="1">
        <v>1</v>
      </c>
      <c r="F453" s="1">
        <v>20</v>
      </c>
      <c r="G453" s="1" t="b">
        <v>0</v>
      </c>
      <c r="H453" s="1">
        <v>4</v>
      </c>
      <c r="I453" s="1">
        <v>2</v>
      </c>
      <c r="J453" s="1">
        <v>0.26</v>
      </c>
    </row>
    <row r="454" spans="1:10" ht="12.5" x14ac:dyDescent="0.25">
      <c r="A454" s="1">
        <v>453</v>
      </c>
      <c r="B454" s="2">
        <v>40563</v>
      </c>
      <c r="C454" s="1">
        <v>1</v>
      </c>
      <c r="D454" s="1">
        <v>0</v>
      </c>
      <c r="E454" s="1">
        <v>1</v>
      </c>
      <c r="F454" s="1">
        <v>21</v>
      </c>
      <c r="G454" s="1" t="b">
        <v>0</v>
      </c>
      <c r="H454" s="1">
        <v>4</v>
      </c>
      <c r="I454" s="1">
        <v>2</v>
      </c>
      <c r="J454" s="1">
        <v>0.24</v>
      </c>
    </row>
    <row r="455" spans="1:10" ht="12.5" x14ac:dyDescent="0.25">
      <c r="A455" s="1">
        <v>454</v>
      </c>
      <c r="B455" s="2">
        <v>40563</v>
      </c>
      <c r="C455" s="1">
        <v>1</v>
      </c>
      <c r="D455" s="1">
        <v>0</v>
      </c>
      <c r="E455" s="1">
        <v>1</v>
      </c>
      <c r="F455" s="1">
        <v>22</v>
      </c>
      <c r="G455" s="1" t="b">
        <v>0</v>
      </c>
      <c r="H455" s="1">
        <v>4</v>
      </c>
      <c r="I455" s="1">
        <v>2</v>
      </c>
      <c r="J455" s="1">
        <v>0.24</v>
      </c>
    </row>
    <row r="456" spans="1:10" ht="12.5" x14ac:dyDescent="0.25">
      <c r="A456" s="1">
        <v>455</v>
      </c>
      <c r="B456" s="2">
        <v>40563</v>
      </c>
      <c r="C456" s="1">
        <v>1</v>
      </c>
      <c r="D456" s="1">
        <v>0</v>
      </c>
      <c r="E456" s="1">
        <v>1</v>
      </c>
      <c r="F456" s="1">
        <v>23</v>
      </c>
      <c r="G456" s="1" t="b">
        <v>0</v>
      </c>
      <c r="H456" s="1">
        <v>4</v>
      </c>
      <c r="I456" s="1">
        <v>2</v>
      </c>
      <c r="J456" s="1">
        <v>0.24</v>
      </c>
    </row>
    <row r="457" spans="1:10" ht="12.5" x14ac:dyDescent="0.25">
      <c r="A457" s="1">
        <v>456</v>
      </c>
      <c r="B457" s="2">
        <v>40564</v>
      </c>
      <c r="C457" s="1">
        <v>1</v>
      </c>
      <c r="D457" s="1">
        <v>0</v>
      </c>
      <c r="E457" s="1">
        <v>1</v>
      </c>
      <c r="F457" s="1">
        <v>0</v>
      </c>
      <c r="G457" s="1" t="b">
        <v>0</v>
      </c>
      <c r="H457" s="1">
        <v>5</v>
      </c>
      <c r="I457" s="1">
        <v>2</v>
      </c>
      <c r="J457" s="1">
        <v>0.24</v>
      </c>
    </row>
    <row r="458" spans="1:10" ht="12.5" x14ac:dyDescent="0.25">
      <c r="A458" s="1">
        <v>457</v>
      </c>
      <c r="B458" s="2">
        <v>40564</v>
      </c>
      <c r="C458" s="1">
        <v>1</v>
      </c>
      <c r="D458" s="1">
        <v>0</v>
      </c>
      <c r="E458" s="1">
        <v>1</v>
      </c>
      <c r="F458" s="1">
        <v>1</v>
      </c>
      <c r="G458" s="1" t="b">
        <v>0</v>
      </c>
      <c r="H458" s="1">
        <v>5</v>
      </c>
      <c r="I458" s="1">
        <v>2</v>
      </c>
      <c r="J458" s="1">
        <v>0.24</v>
      </c>
    </row>
    <row r="459" spans="1:10" ht="12.5" x14ac:dyDescent="0.25">
      <c r="A459" s="1">
        <v>458</v>
      </c>
      <c r="B459" s="2">
        <v>40564</v>
      </c>
      <c r="C459" s="1">
        <v>1</v>
      </c>
      <c r="D459" s="1">
        <v>0</v>
      </c>
      <c r="E459" s="1">
        <v>1</v>
      </c>
      <c r="F459" s="1">
        <v>2</v>
      </c>
      <c r="G459" s="1" t="b">
        <v>0</v>
      </c>
      <c r="H459" s="1">
        <v>5</v>
      </c>
      <c r="I459" s="1">
        <v>3</v>
      </c>
      <c r="J459" s="1">
        <v>0.24</v>
      </c>
    </row>
    <row r="460" spans="1:10" ht="12.5" x14ac:dyDescent="0.25">
      <c r="A460" s="1">
        <v>459</v>
      </c>
      <c r="B460" s="2">
        <v>40564</v>
      </c>
      <c r="C460" s="1">
        <v>1</v>
      </c>
      <c r="D460" s="1">
        <v>0</v>
      </c>
      <c r="E460" s="1">
        <v>1</v>
      </c>
      <c r="F460" s="1">
        <v>3</v>
      </c>
      <c r="G460" s="1" t="b">
        <v>0</v>
      </c>
      <c r="H460" s="1">
        <v>5</v>
      </c>
      <c r="I460" s="1">
        <v>3</v>
      </c>
      <c r="J460" s="1">
        <v>0.22</v>
      </c>
    </row>
    <row r="461" spans="1:10" ht="12.5" x14ac:dyDescent="0.25">
      <c r="A461" s="1">
        <v>460</v>
      </c>
      <c r="B461" s="2">
        <v>40564</v>
      </c>
      <c r="C461" s="1">
        <v>1</v>
      </c>
      <c r="D461" s="1">
        <v>0</v>
      </c>
      <c r="E461" s="1">
        <v>1</v>
      </c>
      <c r="F461" s="1">
        <v>4</v>
      </c>
      <c r="G461" s="1" t="b">
        <v>0</v>
      </c>
      <c r="H461" s="1">
        <v>5</v>
      </c>
      <c r="I461" s="1">
        <v>2</v>
      </c>
      <c r="J461" s="1">
        <v>0.22</v>
      </c>
    </row>
    <row r="462" spans="1:10" ht="12.5" x14ac:dyDescent="0.25">
      <c r="A462" s="1">
        <v>461</v>
      </c>
      <c r="B462" s="2">
        <v>40564</v>
      </c>
      <c r="C462" s="1">
        <v>1</v>
      </c>
      <c r="D462" s="1">
        <v>0</v>
      </c>
      <c r="E462" s="1">
        <v>1</v>
      </c>
      <c r="F462" s="1">
        <v>5</v>
      </c>
      <c r="G462" s="1" t="b">
        <v>0</v>
      </c>
      <c r="H462" s="1">
        <v>5</v>
      </c>
      <c r="I462" s="1">
        <v>1</v>
      </c>
      <c r="J462" s="1">
        <v>0.24</v>
      </c>
    </row>
    <row r="463" spans="1:10" ht="12.5" x14ac:dyDescent="0.25">
      <c r="A463" s="1">
        <v>462</v>
      </c>
      <c r="B463" s="2">
        <v>40564</v>
      </c>
      <c r="C463" s="1">
        <v>1</v>
      </c>
      <c r="D463" s="1">
        <v>0</v>
      </c>
      <c r="E463" s="1">
        <v>1</v>
      </c>
      <c r="F463" s="1">
        <v>6</v>
      </c>
      <c r="G463" s="1" t="b">
        <v>0</v>
      </c>
      <c r="H463" s="1">
        <v>5</v>
      </c>
      <c r="I463" s="1">
        <v>1</v>
      </c>
      <c r="J463" s="1">
        <v>0.22</v>
      </c>
    </row>
    <row r="464" spans="1:10" ht="12.5" x14ac:dyDescent="0.25">
      <c r="A464" s="1">
        <v>463</v>
      </c>
      <c r="B464" s="2">
        <v>40564</v>
      </c>
      <c r="C464" s="1">
        <v>1</v>
      </c>
      <c r="D464" s="1">
        <v>0</v>
      </c>
      <c r="E464" s="1">
        <v>1</v>
      </c>
      <c r="F464" s="1">
        <v>7</v>
      </c>
      <c r="G464" s="1" t="b">
        <v>0</v>
      </c>
      <c r="H464" s="1">
        <v>5</v>
      </c>
      <c r="I464" s="1">
        <v>1</v>
      </c>
      <c r="J464" s="1">
        <v>0.2</v>
      </c>
    </row>
    <row r="465" spans="1:10" ht="12.5" x14ac:dyDescent="0.25">
      <c r="A465" s="1">
        <v>464</v>
      </c>
      <c r="B465" s="2">
        <v>40564</v>
      </c>
      <c r="C465" s="1">
        <v>1</v>
      </c>
      <c r="D465" s="1">
        <v>0</v>
      </c>
      <c r="E465" s="1">
        <v>1</v>
      </c>
      <c r="F465" s="1">
        <v>8</v>
      </c>
      <c r="G465" s="1" t="b">
        <v>0</v>
      </c>
      <c r="H465" s="1">
        <v>5</v>
      </c>
      <c r="I465" s="1">
        <v>1</v>
      </c>
      <c r="J465" s="1">
        <v>0.2</v>
      </c>
    </row>
    <row r="466" spans="1:10" ht="12.5" x14ac:dyDescent="0.25">
      <c r="A466" s="1">
        <v>465</v>
      </c>
      <c r="B466" s="2">
        <v>40564</v>
      </c>
      <c r="C466" s="1">
        <v>1</v>
      </c>
      <c r="D466" s="1">
        <v>0</v>
      </c>
      <c r="E466" s="1">
        <v>1</v>
      </c>
      <c r="F466" s="1">
        <v>9</v>
      </c>
      <c r="G466" s="1" t="b">
        <v>0</v>
      </c>
      <c r="H466" s="1">
        <v>5</v>
      </c>
      <c r="I466" s="1">
        <v>1</v>
      </c>
      <c r="J466" s="1">
        <v>0.2</v>
      </c>
    </row>
    <row r="467" spans="1:10" ht="12.5" x14ac:dyDescent="0.25">
      <c r="A467" s="1">
        <v>466</v>
      </c>
      <c r="B467" s="2">
        <v>40564</v>
      </c>
      <c r="C467" s="1">
        <v>1</v>
      </c>
      <c r="D467" s="1">
        <v>0</v>
      </c>
      <c r="E467" s="1">
        <v>1</v>
      </c>
      <c r="F467" s="1">
        <v>10</v>
      </c>
      <c r="G467" s="1" t="b">
        <v>0</v>
      </c>
      <c r="H467" s="1">
        <v>5</v>
      </c>
      <c r="I467" s="1">
        <v>1</v>
      </c>
      <c r="J467" s="1">
        <v>0.2</v>
      </c>
    </row>
    <row r="468" spans="1:10" ht="12.5" x14ac:dyDescent="0.25">
      <c r="A468" s="1">
        <v>467</v>
      </c>
      <c r="B468" s="2">
        <v>40564</v>
      </c>
      <c r="C468" s="1">
        <v>1</v>
      </c>
      <c r="D468" s="1">
        <v>0</v>
      </c>
      <c r="E468" s="1">
        <v>1</v>
      </c>
      <c r="F468" s="1">
        <v>11</v>
      </c>
      <c r="G468" s="1" t="b">
        <v>0</v>
      </c>
      <c r="H468" s="1">
        <v>5</v>
      </c>
      <c r="I468" s="1">
        <v>1</v>
      </c>
      <c r="J468" s="1">
        <v>0.22</v>
      </c>
    </row>
    <row r="469" spans="1:10" ht="12.5" x14ac:dyDescent="0.25">
      <c r="A469" s="1">
        <v>468</v>
      </c>
      <c r="B469" s="2">
        <v>40564</v>
      </c>
      <c r="C469" s="1">
        <v>1</v>
      </c>
      <c r="D469" s="1">
        <v>0</v>
      </c>
      <c r="E469" s="1">
        <v>1</v>
      </c>
      <c r="F469" s="1">
        <v>12</v>
      </c>
      <c r="G469" s="1" t="b">
        <v>0</v>
      </c>
      <c r="H469" s="1">
        <v>5</v>
      </c>
      <c r="I469" s="1">
        <v>1</v>
      </c>
      <c r="J469" s="1">
        <v>0.22</v>
      </c>
    </row>
    <row r="470" spans="1:10" ht="12.5" x14ac:dyDescent="0.25">
      <c r="A470" s="1">
        <v>469</v>
      </c>
      <c r="B470" s="2">
        <v>40564</v>
      </c>
      <c r="C470" s="1">
        <v>1</v>
      </c>
      <c r="D470" s="1">
        <v>0</v>
      </c>
      <c r="E470" s="1">
        <v>1</v>
      </c>
      <c r="F470" s="1">
        <v>13</v>
      </c>
      <c r="G470" s="1" t="b">
        <v>0</v>
      </c>
      <c r="H470" s="1">
        <v>5</v>
      </c>
      <c r="I470" s="1">
        <v>1</v>
      </c>
      <c r="J470" s="1">
        <v>0.2</v>
      </c>
    </row>
    <row r="471" spans="1:10" ht="12.5" x14ac:dyDescent="0.25">
      <c r="A471" s="1">
        <v>470</v>
      </c>
      <c r="B471" s="2">
        <v>40564</v>
      </c>
      <c r="C471" s="1">
        <v>1</v>
      </c>
      <c r="D471" s="1">
        <v>0</v>
      </c>
      <c r="E471" s="1">
        <v>1</v>
      </c>
      <c r="F471" s="1">
        <v>14</v>
      </c>
      <c r="G471" s="1" t="b">
        <v>0</v>
      </c>
      <c r="H471" s="1">
        <v>5</v>
      </c>
      <c r="I471" s="1">
        <v>1</v>
      </c>
      <c r="J471" s="1">
        <v>0.2</v>
      </c>
    </row>
    <row r="472" spans="1:10" ht="12.5" x14ac:dyDescent="0.25">
      <c r="A472" s="1">
        <v>471</v>
      </c>
      <c r="B472" s="2">
        <v>40564</v>
      </c>
      <c r="C472" s="1">
        <v>1</v>
      </c>
      <c r="D472" s="1">
        <v>0</v>
      </c>
      <c r="E472" s="1">
        <v>1</v>
      </c>
      <c r="F472" s="1">
        <v>15</v>
      </c>
      <c r="G472" s="1" t="b">
        <v>0</v>
      </c>
      <c r="H472" s="1">
        <v>5</v>
      </c>
      <c r="I472" s="1">
        <v>1</v>
      </c>
      <c r="J472" s="1">
        <v>0.16</v>
      </c>
    </row>
    <row r="473" spans="1:10" ht="12.5" x14ac:dyDescent="0.25">
      <c r="A473" s="1">
        <v>472</v>
      </c>
      <c r="B473" s="2">
        <v>40564</v>
      </c>
      <c r="C473" s="1">
        <v>1</v>
      </c>
      <c r="D473" s="1">
        <v>0</v>
      </c>
      <c r="E473" s="1">
        <v>1</v>
      </c>
      <c r="F473" s="1">
        <v>16</v>
      </c>
      <c r="G473" s="1" t="b">
        <v>0</v>
      </c>
      <c r="H473" s="1">
        <v>5</v>
      </c>
      <c r="I473" s="1">
        <v>1</v>
      </c>
      <c r="J473" s="1">
        <v>0.16</v>
      </c>
    </row>
    <row r="474" spans="1:10" ht="12.5" x14ac:dyDescent="0.25">
      <c r="A474" s="1">
        <v>473</v>
      </c>
      <c r="B474" s="2">
        <v>40564</v>
      </c>
      <c r="C474" s="1">
        <v>1</v>
      </c>
      <c r="D474" s="1">
        <v>0</v>
      </c>
      <c r="E474" s="1">
        <v>1</v>
      </c>
      <c r="F474" s="1">
        <v>17</v>
      </c>
      <c r="G474" s="1" t="b">
        <v>0</v>
      </c>
      <c r="H474" s="1">
        <v>5</v>
      </c>
      <c r="I474" s="1">
        <v>1</v>
      </c>
      <c r="J474" s="1">
        <v>0.14000000000000001</v>
      </c>
    </row>
    <row r="475" spans="1:10" ht="12.5" x14ac:dyDescent="0.25">
      <c r="A475" s="1">
        <v>474</v>
      </c>
      <c r="B475" s="2">
        <v>40564</v>
      </c>
      <c r="C475" s="1">
        <v>1</v>
      </c>
      <c r="D475" s="1">
        <v>0</v>
      </c>
      <c r="E475" s="1">
        <v>1</v>
      </c>
      <c r="F475" s="1">
        <v>18</v>
      </c>
      <c r="G475" s="1" t="b">
        <v>0</v>
      </c>
      <c r="H475" s="1">
        <v>5</v>
      </c>
      <c r="I475" s="1">
        <v>1</v>
      </c>
      <c r="J475" s="1">
        <v>0.12</v>
      </c>
    </row>
    <row r="476" spans="1:10" ht="12.5" x14ac:dyDescent="0.25">
      <c r="A476" s="1">
        <v>475</v>
      </c>
      <c r="B476" s="2">
        <v>40564</v>
      </c>
      <c r="C476" s="1">
        <v>1</v>
      </c>
      <c r="D476" s="1">
        <v>0</v>
      </c>
      <c r="E476" s="1">
        <v>1</v>
      </c>
      <c r="F476" s="1">
        <v>19</v>
      </c>
      <c r="G476" s="1" t="b">
        <v>0</v>
      </c>
      <c r="H476" s="1">
        <v>5</v>
      </c>
      <c r="I476" s="1">
        <v>1</v>
      </c>
      <c r="J476" s="1">
        <v>0.12</v>
      </c>
    </row>
    <row r="477" spans="1:10" ht="12.5" x14ac:dyDescent="0.25">
      <c r="A477" s="1">
        <v>476</v>
      </c>
      <c r="B477" s="2">
        <v>40564</v>
      </c>
      <c r="C477" s="1">
        <v>1</v>
      </c>
      <c r="D477" s="1">
        <v>0</v>
      </c>
      <c r="E477" s="1">
        <v>1</v>
      </c>
      <c r="F477" s="1">
        <v>20</v>
      </c>
      <c r="G477" s="1" t="b">
        <v>0</v>
      </c>
      <c r="H477" s="1">
        <v>5</v>
      </c>
      <c r="I477" s="1">
        <v>1</v>
      </c>
      <c r="J477" s="1">
        <v>0.1</v>
      </c>
    </row>
    <row r="478" spans="1:10" ht="12.5" x14ac:dyDescent="0.25">
      <c r="A478" s="1">
        <v>477</v>
      </c>
      <c r="B478" s="2">
        <v>40564</v>
      </c>
      <c r="C478" s="1">
        <v>1</v>
      </c>
      <c r="D478" s="1">
        <v>0</v>
      </c>
      <c r="E478" s="1">
        <v>1</v>
      </c>
      <c r="F478" s="1">
        <v>21</v>
      </c>
      <c r="G478" s="1" t="b">
        <v>0</v>
      </c>
      <c r="H478" s="1">
        <v>5</v>
      </c>
      <c r="I478" s="1">
        <v>1</v>
      </c>
      <c r="J478" s="1">
        <v>0.08</v>
      </c>
    </row>
    <row r="479" spans="1:10" ht="12.5" x14ac:dyDescent="0.25">
      <c r="A479" s="1">
        <v>478</v>
      </c>
      <c r="B479" s="2">
        <v>40564</v>
      </c>
      <c r="C479" s="1">
        <v>1</v>
      </c>
      <c r="D479" s="1">
        <v>0</v>
      </c>
      <c r="E479" s="1">
        <v>1</v>
      </c>
      <c r="F479" s="1">
        <v>22</v>
      </c>
      <c r="G479" s="1" t="b">
        <v>0</v>
      </c>
      <c r="H479" s="1">
        <v>5</v>
      </c>
      <c r="I479" s="1">
        <v>1</v>
      </c>
      <c r="J479" s="1">
        <v>0.06</v>
      </c>
    </row>
    <row r="480" spans="1:10" ht="12.5" x14ac:dyDescent="0.25">
      <c r="A480" s="1">
        <v>479</v>
      </c>
      <c r="B480" s="2">
        <v>40564</v>
      </c>
      <c r="C480" s="1">
        <v>1</v>
      </c>
      <c r="D480" s="1">
        <v>0</v>
      </c>
      <c r="E480" s="1">
        <v>1</v>
      </c>
      <c r="F480" s="1">
        <v>23</v>
      </c>
      <c r="G480" s="1" t="b">
        <v>0</v>
      </c>
      <c r="H480" s="1">
        <v>5</v>
      </c>
      <c r="I480" s="1">
        <v>1</v>
      </c>
      <c r="J480" s="1">
        <v>0.06</v>
      </c>
    </row>
    <row r="481" spans="1:10" ht="12.5" x14ac:dyDescent="0.25">
      <c r="A481" s="1">
        <v>480</v>
      </c>
      <c r="B481" s="2">
        <v>40565</v>
      </c>
      <c r="C481" s="1">
        <v>1</v>
      </c>
      <c r="D481" s="1">
        <v>0</v>
      </c>
      <c r="E481" s="1">
        <v>1</v>
      </c>
      <c r="F481" s="1">
        <v>0</v>
      </c>
      <c r="G481" s="1" t="b">
        <v>0</v>
      </c>
      <c r="H481" s="1">
        <v>6</v>
      </c>
      <c r="I481" s="1">
        <v>1</v>
      </c>
      <c r="J481" s="1">
        <v>0.04</v>
      </c>
    </row>
    <row r="482" spans="1:10" ht="12.5" x14ac:dyDescent="0.25">
      <c r="A482" s="1">
        <v>481</v>
      </c>
      <c r="B482" s="2">
        <v>40565</v>
      </c>
      <c r="C482" s="1">
        <v>1</v>
      </c>
      <c r="D482" s="1">
        <v>0</v>
      </c>
      <c r="E482" s="1">
        <v>1</v>
      </c>
      <c r="F482" s="1">
        <v>1</v>
      </c>
      <c r="G482" s="1" t="b">
        <v>0</v>
      </c>
      <c r="H482" s="1">
        <v>6</v>
      </c>
      <c r="I482" s="1">
        <v>2</v>
      </c>
      <c r="J482" s="1">
        <v>0.04</v>
      </c>
    </row>
    <row r="483" spans="1:10" ht="12.5" x14ac:dyDescent="0.25">
      <c r="A483" s="1">
        <v>482</v>
      </c>
      <c r="B483" s="2">
        <v>40565</v>
      </c>
      <c r="C483" s="1">
        <v>1</v>
      </c>
      <c r="D483" s="1">
        <v>0</v>
      </c>
      <c r="E483" s="1">
        <v>1</v>
      </c>
      <c r="F483" s="1">
        <v>2</v>
      </c>
      <c r="G483" s="1" t="b">
        <v>0</v>
      </c>
      <c r="H483" s="1">
        <v>6</v>
      </c>
      <c r="I483" s="1">
        <v>2</v>
      </c>
      <c r="J483" s="1">
        <v>0.04</v>
      </c>
    </row>
    <row r="484" spans="1:10" ht="12.5" x14ac:dyDescent="0.25">
      <c r="A484" s="1">
        <v>483</v>
      </c>
      <c r="B484" s="2">
        <v>40565</v>
      </c>
      <c r="C484" s="1">
        <v>1</v>
      </c>
      <c r="D484" s="1">
        <v>0</v>
      </c>
      <c r="E484" s="1">
        <v>1</v>
      </c>
      <c r="F484" s="1">
        <v>3</v>
      </c>
      <c r="G484" s="1" t="b">
        <v>0</v>
      </c>
      <c r="H484" s="1">
        <v>6</v>
      </c>
      <c r="I484" s="1">
        <v>2</v>
      </c>
      <c r="J484" s="1">
        <v>0.04</v>
      </c>
    </row>
    <row r="485" spans="1:10" ht="12.5" x14ac:dyDescent="0.25">
      <c r="A485" s="1">
        <v>484</v>
      </c>
      <c r="B485" s="2">
        <v>40565</v>
      </c>
      <c r="C485" s="1">
        <v>1</v>
      </c>
      <c r="D485" s="1">
        <v>0</v>
      </c>
      <c r="E485" s="1">
        <v>1</v>
      </c>
      <c r="F485" s="1">
        <v>4</v>
      </c>
      <c r="G485" s="1" t="b">
        <v>0</v>
      </c>
      <c r="H485" s="1">
        <v>6</v>
      </c>
      <c r="I485" s="1">
        <v>2</v>
      </c>
      <c r="J485" s="1">
        <v>0.02</v>
      </c>
    </row>
    <row r="486" spans="1:10" ht="12.5" x14ac:dyDescent="0.25">
      <c r="A486" s="1">
        <v>485</v>
      </c>
      <c r="B486" s="2">
        <v>40565</v>
      </c>
      <c r="C486" s="1">
        <v>1</v>
      </c>
      <c r="D486" s="1">
        <v>0</v>
      </c>
      <c r="E486" s="1">
        <v>1</v>
      </c>
      <c r="F486" s="1">
        <v>6</v>
      </c>
      <c r="G486" s="1" t="b">
        <v>0</v>
      </c>
      <c r="H486" s="1">
        <v>6</v>
      </c>
      <c r="I486" s="1">
        <v>2</v>
      </c>
      <c r="J486" s="1">
        <v>0.02</v>
      </c>
    </row>
    <row r="487" spans="1:10" ht="12.5" x14ac:dyDescent="0.25">
      <c r="A487" s="1">
        <v>486</v>
      </c>
      <c r="B487" s="2">
        <v>40565</v>
      </c>
      <c r="C487" s="1">
        <v>1</v>
      </c>
      <c r="D487" s="1">
        <v>0</v>
      </c>
      <c r="E487" s="1">
        <v>1</v>
      </c>
      <c r="F487" s="1">
        <v>7</v>
      </c>
      <c r="G487" s="1" t="b">
        <v>0</v>
      </c>
      <c r="H487" s="1">
        <v>6</v>
      </c>
      <c r="I487" s="1">
        <v>1</v>
      </c>
      <c r="J487" s="1">
        <v>0.02</v>
      </c>
    </row>
    <row r="488" spans="1:10" ht="12.5" x14ac:dyDescent="0.25">
      <c r="A488" s="1">
        <v>487</v>
      </c>
      <c r="B488" s="2">
        <v>40565</v>
      </c>
      <c r="C488" s="1">
        <v>1</v>
      </c>
      <c r="D488" s="1">
        <v>0</v>
      </c>
      <c r="E488" s="1">
        <v>1</v>
      </c>
      <c r="F488" s="1">
        <v>8</v>
      </c>
      <c r="G488" s="1" t="b">
        <v>0</v>
      </c>
      <c r="H488" s="1">
        <v>6</v>
      </c>
      <c r="I488" s="1">
        <v>1</v>
      </c>
      <c r="J488" s="1">
        <v>0.02</v>
      </c>
    </row>
    <row r="489" spans="1:10" ht="12.5" x14ac:dyDescent="0.25">
      <c r="A489" s="1">
        <v>488</v>
      </c>
      <c r="B489" s="2">
        <v>40565</v>
      </c>
      <c r="C489" s="1">
        <v>1</v>
      </c>
      <c r="D489" s="1">
        <v>0</v>
      </c>
      <c r="E489" s="1">
        <v>1</v>
      </c>
      <c r="F489" s="1">
        <v>9</v>
      </c>
      <c r="G489" s="1" t="b">
        <v>0</v>
      </c>
      <c r="H489" s="1">
        <v>6</v>
      </c>
      <c r="I489" s="1">
        <v>1</v>
      </c>
      <c r="J489" s="1">
        <v>0.04</v>
      </c>
    </row>
    <row r="490" spans="1:10" ht="12.5" x14ac:dyDescent="0.25">
      <c r="A490" s="1">
        <v>489</v>
      </c>
      <c r="B490" s="2">
        <v>40565</v>
      </c>
      <c r="C490" s="1">
        <v>1</v>
      </c>
      <c r="D490" s="1">
        <v>0</v>
      </c>
      <c r="E490" s="1">
        <v>1</v>
      </c>
      <c r="F490" s="1">
        <v>10</v>
      </c>
      <c r="G490" s="1" t="b">
        <v>0</v>
      </c>
      <c r="H490" s="1">
        <v>6</v>
      </c>
      <c r="I490" s="1">
        <v>2</v>
      </c>
      <c r="J490" s="1">
        <v>0.04</v>
      </c>
    </row>
    <row r="491" spans="1:10" ht="12.5" x14ac:dyDescent="0.25">
      <c r="A491" s="1">
        <v>490</v>
      </c>
      <c r="B491" s="2">
        <v>40565</v>
      </c>
      <c r="C491" s="1">
        <v>1</v>
      </c>
      <c r="D491" s="1">
        <v>0</v>
      </c>
      <c r="E491" s="1">
        <v>1</v>
      </c>
      <c r="F491" s="1">
        <v>11</v>
      </c>
      <c r="G491" s="1" t="b">
        <v>0</v>
      </c>
      <c r="H491" s="1">
        <v>6</v>
      </c>
      <c r="I491" s="1">
        <v>2</v>
      </c>
      <c r="J491" s="1">
        <v>0.06</v>
      </c>
    </row>
    <row r="492" spans="1:10" ht="12.5" x14ac:dyDescent="0.25">
      <c r="A492" s="1">
        <v>491</v>
      </c>
      <c r="B492" s="2">
        <v>40565</v>
      </c>
      <c r="C492" s="1">
        <v>1</v>
      </c>
      <c r="D492" s="1">
        <v>0</v>
      </c>
      <c r="E492" s="1">
        <v>1</v>
      </c>
      <c r="F492" s="1">
        <v>12</v>
      </c>
      <c r="G492" s="1" t="b">
        <v>0</v>
      </c>
      <c r="H492" s="1">
        <v>6</v>
      </c>
      <c r="I492" s="1">
        <v>2</v>
      </c>
      <c r="J492" s="1">
        <v>0.06</v>
      </c>
    </row>
    <row r="493" spans="1:10" ht="12.5" x14ac:dyDescent="0.25">
      <c r="A493" s="1">
        <v>492</v>
      </c>
      <c r="B493" s="2">
        <v>40565</v>
      </c>
      <c r="C493" s="1">
        <v>1</v>
      </c>
      <c r="D493" s="1">
        <v>0</v>
      </c>
      <c r="E493" s="1">
        <v>1</v>
      </c>
      <c r="F493" s="1">
        <v>13</v>
      </c>
      <c r="G493" s="1" t="b">
        <v>0</v>
      </c>
      <c r="H493" s="1">
        <v>6</v>
      </c>
      <c r="I493" s="1">
        <v>1</v>
      </c>
      <c r="J493" s="1">
        <v>0.08</v>
      </c>
    </row>
    <row r="494" spans="1:10" ht="12.5" x14ac:dyDescent="0.25">
      <c r="A494" s="1">
        <v>493</v>
      </c>
      <c r="B494" s="2">
        <v>40565</v>
      </c>
      <c r="C494" s="1">
        <v>1</v>
      </c>
      <c r="D494" s="1">
        <v>0</v>
      </c>
      <c r="E494" s="1">
        <v>1</v>
      </c>
      <c r="F494" s="1">
        <v>14</v>
      </c>
      <c r="G494" s="1" t="b">
        <v>0</v>
      </c>
      <c r="H494" s="1">
        <v>6</v>
      </c>
      <c r="I494" s="1">
        <v>1</v>
      </c>
      <c r="J494" s="1">
        <v>0.1</v>
      </c>
    </row>
    <row r="495" spans="1:10" ht="12.5" x14ac:dyDescent="0.25">
      <c r="A495" s="1">
        <v>494</v>
      </c>
      <c r="B495" s="2">
        <v>40565</v>
      </c>
      <c r="C495" s="1">
        <v>1</v>
      </c>
      <c r="D495" s="1">
        <v>0</v>
      </c>
      <c r="E495" s="1">
        <v>1</v>
      </c>
      <c r="F495" s="1">
        <v>15</v>
      </c>
      <c r="G495" s="1" t="b">
        <v>0</v>
      </c>
      <c r="H495" s="1">
        <v>6</v>
      </c>
      <c r="I495" s="1">
        <v>1</v>
      </c>
      <c r="J495" s="1">
        <v>0.12</v>
      </c>
    </row>
    <row r="496" spans="1:10" ht="12.5" x14ac:dyDescent="0.25">
      <c r="A496" s="1">
        <v>495</v>
      </c>
      <c r="B496" s="2">
        <v>40565</v>
      </c>
      <c r="C496" s="1">
        <v>1</v>
      </c>
      <c r="D496" s="1">
        <v>0</v>
      </c>
      <c r="E496" s="1">
        <v>1</v>
      </c>
      <c r="F496" s="1">
        <v>16</v>
      </c>
      <c r="G496" s="1" t="b">
        <v>0</v>
      </c>
      <c r="H496" s="1">
        <v>6</v>
      </c>
      <c r="I496" s="1">
        <v>1</v>
      </c>
      <c r="J496" s="1">
        <v>0.12</v>
      </c>
    </row>
    <row r="497" spans="1:10" ht="12.5" x14ac:dyDescent="0.25">
      <c r="A497" s="1">
        <v>496</v>
      </c>
      <c r="B497" s="2">
        <v>40565</v>
      </c>
      <c r="C497" s="1">
        <v>1</v>
      </c>
      <c r="D497" s="1">
        <v>0</v>
      </c>
      <c r="E497" s="1">
        <v>1</v>
      </c>
      <c r="F497" s="1">
        <v>17</v>
      </c>
      <c r="G497" s="1" t="b">
        <v>0</v>
      </c>
      <c r="H497" s="1">
        <v>6</v>
      </c>
      <c r="I497" s="1">
        <v>1</v>
      </c>
      <c r="J497" s="1">
        <v>0.12</v>
      </c>
    </row>
    <row r="498" spans="1:10" ht="12.5" x14ac:dyDescent="0.25">
      <c r="A498" s="1">
        <v>497</v>
      </c>
      <c r="B498" s="2">
        <v>40565</v>
      </c>
      <c r="C498" s="1">
        <v>1</v>
      </c>
      <c r="D498" s="1">
        <v>0</v>
      </c>
      <c r="E498" s="1">
        <v>1</v>
      </c>
      <c r="F498" s="1">
        <v>18</v>
      </c>
      <c r="G498" s="1" t="b">
        <v>0</v>
      </c>
      <c r="H498" s="1">
        <v>6</v>
      </c>
      <c r="I498" s="1">
        <v>1</v>
      </c>
      <c r="J498" s="1">
        <v>0.08</v>
      </c>
    </row>
    <row r="499" spans="1:10" ht="12.5" x14ac:dyDescent="0.25">
      <c r="A499" s="1">
        <v>498</v>
      </c>
      <c r="B499" s="2">
        <v>40565</v>
      </c>
      <c r="C499" s="1">
        <v>1</v>
      </c>
      <c r="D499" s="1">
        <v>0</v>
      </c>
      <c r="E499" s="1">
        <v>1</v>
      </c>
      <c r="F499" s="1">
        <v>19</v>
      </c>
      <c r="G499" s="1" t="b">
        <v>0</v>
      </c>
      <c r="H499" s="1">
        <v>6</v>
      </c>
      <c r="I499" s="1">
        <v>1</v>
      </c>
      <c r="J499" s="1">
        <v>0.08</v>
      </c>
    </row>
    <row r="500" spans="1:10" ht="12.5" x14ac:dyDescent="0.25">
      <c r="A500" s="1">
        <v>499</v>
      </c>
      <c r="B500" s="2">
        <v>40565</v>
      </c>
      <c r="C500" s="1">
        <v>1</v>
      </c>
      <c r="D500" s="1">
        <v>0</v>
      </c>
      <c r="E500" s="1">
        <v>1</v>
      </c>
      <c r="F500" s="1">
        <v>20</v>
      </c>
      <c r="G500" s="1" t="b">
        <v>0</v>
      </c>
      <c r="H500" s="1">
        <v>6</v>
      </c>
      <c r="I500" s="1">
        <v>1</v>
      </c>
      <c r="J500" s="1">
        <v>0.06</v>
      </c>
    </row>
    <row r="501" spans="1:10" ht="12.5" x14ac:dyDescent="0.25">
      <c r="A501" s="1">
        <v>500</v>
      </c>
      <c r="B501" s="2">
        <v>40565</v>
      </c>
      <c r="C501" s="1">
        <v>1</v>
      </c>
      <c r="D501" s="1">
        <v>0</v>
      </c>
      <c r="E501" s="1">
        <v>1</v>
      </c>
      <c r="F501" s="1">
        <v>21</v>
      </c>
      <c r="G501" s="1" t="b">
        <v>0</v>
      </c>
      <c r="H501" s="1">
        <v>6</v>
      </c>
      <c r="I501" s="1">
        <v>1</v>
      </c>
      <c r="J501" s="1">
        <v>0.06</v>
      </c>
    </row>
    <row r="502" spans="1:10" ht="12.5" x14ac:dyDescent="0.25">
      <c r="A502" s="1">
        <v>501</v>
      </c>
      <c r="B502" s="2">
        <v>40565</v>
      </c>
      <c r="C502" s="1">
        <v>1</v>
      </c>
      <c r="D502" s="1">
        <v>0</v>
      </c>
      <c r="E502" s="1">
        <v>1</v>
      </c>
      <c r="F502" s="1">
        <v>22</v>
      </c>
      <c r="G502" s="1" t="b">
        <v>0</v>
      </c>
      <c r="H502" s="1">
        <v>6</v>
      </c>
      <c r="I502" s="1">
        <v>1</v>
      </c>
      <c r="J502" s="1">
        <v>0.06</v>
      </c>
    </row>
    <row r="503" spans="1:10" ht="12.5" x14ac:dyDescent="0.25">
      <c r="A503" s="1">
        <v>502</v>
      </c>
      <c r="B503" s="2">
        <v>40565</v>
      </c>
      <c r="C503" s="1">
        <v>1</v>
      </c>
      <c r="D503" s="1">
        <v>0</v>
      </c>
      <c r="E503" s="1">
        <v>1</v>
      </c>
      <c r="F503" s="1">
        <v>23</v>
      </c>
      <c r="G503" s="1" t="b">
        <v>0</v>
      </c>
      <c r="H503" s="1">
        <v>6</v>
      </c>
      <c r="I503" s="1">
        <v>1</v>
      </c>
      <c r="J503" s="1">
        <v>0.04</v>
      </c>
    </row>
    <row r="504" spans="1:10" ht="12.5" x14ac:dyDescent="0.25">
      <c r="A504" s="1">
        <v>503</v>
      </c>
      <c r="B504" s="2">
        <v>40566</v>
      </c>
      <c r="C504" s="1">
        <v>1</v>
      </c>
      <c r="D504" s="1">
        <v>0</v>
      </c>
      <c r="E504" s="1">
        <v>1</v>
      </c>
      <c r="F504" s="1">
        <v>0</v>
      </c>
      <c r="G504" s="1" t="b">
        <v>0</v>
      </c>
      <c r="H504" s="1">
        <v>0</v>
      </c>
      <c r="I504" s="1">
        <v>1</v>
      </c>
      <c r="J504" s="1">
        <v>0.04</v>
      </c>
    </row>
    <row r="505" spans="1:10" ht="12.5" x14ac:dyDescent="0.25">
      <c r="A505" s="1">
        <v>504</v>
      </c>
      <c r="B505" s="2">
        <v>40566</v>
      </c>
      <c r="C505" s="1">
        <v>1</v>
      </c>
      <c r="D505" s="1">
        <v>0</v>
      </c>
      <c r="E505" s="1">
        <v>1</v>
      </c>
      <c r="F505" s="1">
        <v>1</v>
      </c>
      <c r="G505" s="1" t="b">
        <v>0</v>
      </c>
      <c r="H505" s="1">
        <v>0</v>
      </c>
      <c r="I505" s="1">
        <v>1</v>
      </c>
      <c r="J505" s="1">
        <v>0.04</v>
      </c>
    </row>
    <row r="506" spans="1:10" ht="12.5" x14ac:dyDescent="0.25">
      <c r="A506" s="1">
        <v>505</v>
      </c>
      <c r="B506" s="2">
        <v>40566</v>
      </c>
      <c r="C506" s="1">
        <v>1</v>
      </c>
      <c r="D506" s="1">
        <v>0</v>
      </c>
      <c r="E506" s="1">
        <v>1</v>
      </c>
      <c r="F506" s="1">
        <v>2</v>
      </c>
      <c r="G506" s="1" t="b">
        <v>0</v>
      </c>
      <c r="H506" s="1">
        <v>0</v>
      </c>
      <c r="I506" s="1">
        <v>1</v>
      </c>
      <c r="J506" s="1">
        <v>0.02</v>
      </c>
    </row>
    <row r="507" spans="1:10" ht="12.5" x14ac:dyDescent="0.25">
      <c r="A507" s="1">
        <v>506</v>
      </c>
      <c r="B507" s="2">
        <v>40566</v>
      </c>
      <c r="C507" s="1">
        <v>1</v>
      </c>
      <c r="D507" s="1">
        <v>0</v>
      </c>
      <c r="E507" s="1">
        <v>1</v>
      </c>
      <c r="F507" s="1">
        <v>3</v>
      </c>
      <c r="G507" s="1" t="b">
        <v>0</v>
      </c>
      <c r="H507" s="1">
        <v>0</v>
      </c>
      <c r="I507" s="1">
        <v>1</v>
      </c>
      <c r="J507" s="1">
        <v>0.02</v>
      </c>
    </row>
    <row r="508" spans="1:10" ht="12.5" x14ac:dyDescent="0.25">
      <c r="A508" s="1">
        <v>507</v>
      </c>
      <c r="B508" s="2">
        <v>40566</v>
      </c>
      <c r="C508" s="1">
        <v>1</v>
      </c>
      <c r="D508" s="1">
        <v>0</v>
      </c>
      <c r="E508" s="1">
        <v>1</v>
      </c>
      <c r="F508" s="1">
        <v>5</v>
      </c>
      <c r="G508" s="1" t="b">
        <v>0</v>
      </c>
      <c r="H508" s="1">
        <v>0</v>
      </c>
      <c r="I508" s="1">
        <v>2</v>
      </c>
      <c r="J508" s="1">
        <v>0.04</v>
      </c>
    </row>
    <row r="509" spans="1:10" ht="12.5" x14ac:dyDescent="0.25">
      <c r="A509" s="1">
        <v>508</v>
      </c>
      <c r="B509" s="2">
        <v>40566</v>
      </c>
      <c r="C509" s="1">
        <v>1</v>
      </c>
      <c r="D509" s="1">
        <v>0</v>
      </c>
      <c r="E509" s="1">
        <v>1</v>
      </c>
      <c r="F509" s="1">
        <v>6</v>
      </c>
      <c r="G509" s="1" t="b">
        <v>0</v>
      </c>
      <c r="H509" s="1">
        <v>0</v>
      </c>
      <c r="I509" s="1">
        <v>2</v>
      </c>
      <c r="J509" s="1">
        <v>0.04</v>
      </c>
    </row>
    <row r="510" spans="1:10" ht="12.5" x14ac:dyDescent="0.25">
      <c r="A510" s="1">
        <v>509</v>
      </c>
      <c r="B510" s="2">
        <v>40566</v>
      </c>
      <c r="C510" s="1">
        <v>1</v>
      </c>
      <c r="D510" s="1">
        <v>0</v>
      </c>
      <c r="E510" s="1">
        <v>1</v>
      </c>
      <c r="F510" s="1">
        <v>7</v>
      </c>
      <c r="G510" s="1" t="b">
        <v>0</v>
      </c>
      <c r="H510" s="1">
        <v>0</v>
      </c>
      <c r="I510" s="1">
        <v>1</v>
      </c>
      <c r="J510" s="1">
        <v>0.08</v>
      </c>
    </row>
    <row r="511" spans="1:10" ht="12.5" x14ac:dyDescent="0.25">
      <c r="A511" s="1">
        <v>510</v>
      </c>
      <c r="B511" s="2">
        <v>40566</v>
      </c>
      <c r="C511" s="1">
        <v>1</v>
      </c>
      <c r="D511" s="1">
        <v>0</v>
      </c>
      <c r="E511" s="1">
        <v>1</v>
      </c>
      <c r="F511" s="1">
        <v>8</v>
      </c>
      <c r="G511" s="1" t="b">
        <v>0</v>
      </c>
      <c r="H511" s="1">
        <v>0</v>
      </c>
      <c r="I511" s="1">
        <v>1</v>
      </c>
      <c r="J511" s="1">
        <v>0.06</v>
      </c>
    </row>
    <row r="512" spans="1:10" ht="12.5" x14ac:dyDescent="0.25">
      <c r="A512" s="1">
        <v>511</v>
      </c>
      <c r="B512" s="2">
        <v>40566</v>
      </c>
      <c r="C512" s="1">
        <v>1</v>
      </c>
      <c r="D512" s="1">
        <v>0</v>
      </c>
      <c r="E512" s="1">
        <v>1</v>
      </c>
      <c r="F512" s="1">
        <v>9</v>
      </c>
      <c r="G512" s="1" t="b">
        <v>0</v>
      </c>
      <c r="H512" s="1">
        <v>0</v>
      </c>
      <c r="I512" s="1">
        <v>1</v>
      </c>
      <c r="J512" s="1">
        <v>0.1</v>
      </c>
    </row>
    <row r="513" spans="1:10" ht="12.5" x14ac:dyDescent="0.25">
      <c r="A513" s="1">
        <v>512</v>
      </c>
      <c r="B513" s="2">
        <v>40566</v>
      </c>
      <c r="C513" s="1">
        <v>1</v>
      </c>
      <c r="D513" s="1">
        <v>0</v>
      </c>
      <c r="E513" s="1">
        <v>1</v>
      </c>
      <c r="F513" s="1">
        <v>10</v>
      </c>
      <c r="G513" s="1" t="b">
        <v>0</v>
      </c>
      <c r="H513" s="1">
        <v>0</v>
      </c>
      <c r="I513" s="1">
        <v>1</v>
      </c>
      <c r="J513" s="1">
        <v>0.14000000000000001</v>
      </c>
    </row>
    <row r="514" spans="1:10" ht="12.5" x14ac:dyDescent="0.25">
      <c r="A514" s="1">
        <v>513</v>
      </c>
      <c r="B514" s="2">
        <v>40566</v>
      </c>
      <c r="C514" s="1">
        <v>1</v>
      </c>
      <c r="D514" s="1">
        <v>0</v>
      </c>
      <c r="E514" s="1">
        <v>1</v>
      </c>
      <c r="F514" s="1">
        <v>11</v>
      </c>
      <c r="G514" s="1" t="b">
        <v>0</v>
      </c>
      <c r="H514" s="1">
        <v>0</v>
      </c>
      <c r="I514" s="1">
        <v>1</v>
      </c>
      <c r="J514" s="1">
        <v>0.14000000000000001</v>
      </c>
    </row>
    <row r="515" spans="1:10" ht="12.5" x14ac:dyDescent="0.25">
      <c r="A515" s="1">
        <v>514</v>
      </c>
      <c r="B515" s="2">
        <v>40566</v>
      </c>
      <c r="C515" s="1">
        <v>1</v>
      </c>
      <c r="D515" s="1">
        <v>0</v>
      </c>
      <c r="E515" s="1">
        <v>1</v>
      </c>
      <c r="F515" s="1">
        <v>12</v>
      </c>
      <c r="G515" s="1" t="b">
        <v>0</v>
      </c>
      <c r="H515" s="1">
        <v>0</v>
      </c>
      <c r="I515" s="1">
        <v>1</v>
      </c>
      <c r="J515" s="1">
        <v>0.16</v>
      </c>
    </row>
    <row r="516" spans="1:10" ht="12.5" x14ac:dyDescent="0.25">
      <c r="A516" s="1">
        <v>515</v>
      </c>
      <c r="B516" s="2">
        <v>40566</v>
      </c>
      <c r="C516" s="1">
        <v>1</v>
      </c>
      <c r="D516" s="1">
        <v>0</v>
      </c>
      <c r="E516" s="1">
        <v>1</v>
      </c>
      <c r="F516" s="1">
        <v>13</v>
      </c>
      <c r="G516" s="1" t="b">
        <v>0</v>
      </c>
      <c r="H516" s="1">
        <v>0</v>
      </c>
      <c r="I516" s="1">
        <v>1</v>
      </c>
      <c r="J516" s="1">
        <v>0.14000000000000001</v>
      </c>
    </row>
    <row r="517" spans="1:10" ht="12.5" x14ac:dyDescent="0.25">
      <c r="A517" s="1">
        <v>516</v>
      </c>
      <c r="B517" s="2">
        <v>40566</v>
      </c>
      <c r="C517" s="1">
        <v>1</v>
      </c>
      <c r="D517" s="1">
        <v>0</v>
      </c>
      <c r="E517" s="1">
        <v>1</v>
      </c>
      <c r="F517" s="1">
        <v>14</v>
      </c>
      <c r="G517" s="1" t="b">
        <v>0</v>
      </c>
      <c r="H517" s="1">
        <v>0</v>
      </c>
      <c r="I517" s="1">
        <v>1</v>
      </c>
      <c r="J517" s="1">
        <v>0.16</v>
      </c>
    </row>
    <row r="518" spans="1:10" ht="12.5" x14ac:dyDescent="0.25">
      <c r="A518" s="1">
        <v>517</v>
      </c>
      <c r="B518" s="2">
        <v>40566</v>
      </c>
      <c r="C518" s="1">
        <v>1</v>
      </c>
      <c r="D518" s="1">
        <v>0</v>
      </c>
      <c r="E518" s="1">
        <v>1</v>
      </c>
      <c r="F518" s="1">
        <v>15</v>
      </c>
      <c r="G518" s="1" t="b">
        <v>0</v>
      </c>
      <c r="H518" s="1">
        <v>0</v>
      </c>
      <c r="I518" s="1">
        <v>1</v>
      </c>
      <c r="J518" s="1">
        <v>0.16</v>
      </c>
    </row>
    <row r="519" spans="1:10" ht="12.5" x14ac:dyDescent="0.25">
      <c r="A519" s="1">
        <v>518</v>
      </c>
      <c r="B519" s="2">
        <v>40566</v>
      </c>
      <c r="C519" s="1">
        <v>1</v>
      </c>
      <c r="D519" s="1">
        <v>0</v>
      </c>
      <c r="E519" s="1">
        <v>1</v>
      </c>
      <c r="F519" s="1">
        <v>16</v>
      </c>
      <c r="G519" s="1" t="b">
        <v>0</v>
      </c>
      <c r="H519" s="1">
        <v>0</v>
      </c>
      <c r="I519" s="1">
        <v>1</v>
      </c>
      <c r="J519" s="1">
        <v>0.16</v>
      </c>
    </row>
    <row r="520" spans="1:10" ht="12.5" x14ac:dyDescent="0.25">
      <c r="A520" s="1">
        <v>519</v>
      </c>
      <c r="B520" s="2">
        <v>40566</v>
      </c>
      <c r="C520" s="1">
        <v>1</v>
      </c>
      <c r="D520" s="1">
        <v>0</v>
      </c>
      <c r="E520" s="1">
        <v>1</v>
      </c>
      <c r="F520" s="1">
        <v>17</v>
      </c>
      <c r="G520" s="1" t="b">
        <v>0</v>
      </c>
      <c r="H520" s="1">
        <v>0</v>
      </c>
      <c r="I520" s="1">
        <v>1</v>
      </c>
      <c r="J520" s="1">
        <v>0.14000000000000001</v>
      </c>
    </row>
    <row r="521" spans="1:10" ht="12.5" x14ac:dyDescent="0.25">
      <c r="A521" s="1">
        <v>520</v>
      </c>
      <c r="B521" s="2">
        <v>40566</v>
      </c>
      <c r="C521" s="1">
        <v>1</v>
      </c>
      <c r="D521" s="1">
        <v>0</v>
      </c>
      <c r="E521" s="1">
        <v>1</v>
      </c>
      <c r="F521" s="1">
        <v>18</v>
      </c>
      <c r="G521" s="1" t="b">
        <v>0</v>
      </c>
      <c r="H521" s="1">
        <v>0</v>
      </c>
      <c r="I521" s="1">
        <v>1</v>
      </c>
      <c r="J521" s="1">
        <v>0.12</v>
      </c>
    </row>
    <row r="522" spans="1:10" ht="12.5" x14ac:dyDescent="0.25">
      <c r="A522" s="1">
        <v>521</v>
      </c>
      <c r="B522" s="2">
        <v>40566</v>
      </c>
      <c r="C522" s="1">
        <v>1</v>
      </c>
      <c r="D522" s="1">
        <v>0</v>
      </c>
      <c r="E522" s="1">
        <v>1</v>
      </c>
      <c r="F522" s="1">
        <v>19</v>
      </c>
      <c r="G522" s="1" t="b">
        <v>0</v>
      </c>
      <c r="H522" s="1">
        <v>0</v>
      </c>
      <c r="I522" s="1">
        <v>1</v>
      </c>
      <c r="J522" s="1">
        <v>0.12</v>
      </c>
    </row>
    <row r="523" spans="1:10" ht="12.5" x14ac:dyDescent="0.25">
      <c r="A523" s="1">
        <v>522</v>
      </c>
      <c r="B523" s="2">
        <v>40566</v>
      </c>
      <c r="C523" s="1">
        <v>1</v>
      </c>
      <c r="D523" s="1">
        <v>0</v>
      </c>
      <c r="E523" s="1">
        <v>1</v>
      </c>
      <c r="F523" s="1">
        <v>20</v>
      </c>
      <c r="G523" s="1" t="b">
        <v>0</v>
      </c>
      <c r="H523" s="1">
        <v>0</v>
      </c>
      <c r="I523" s="1">
        <v>1</v>
      </c>
      <c r="J523" s="1">
        <v>0.1</v>
      </c>
    </row>
    <row r="524" spans="1:10" ht="12.5" x14ac:dyDescent="0.25">
      <c r="A524" s="1">
        <v>523</v>
      </c>
      <c r="B524" s="2">
        <v>40566</v>
      </c>
      <c r="C524" s="1">
        <v>1</v>
      </c>
      <c r="D524" s="1">
        <v>0</v>
      </c>
      <c r="E524" s="1">
        <v>1</v>
      </c>
      <c r="F524" s="1">
        <v>21</v>
      </c>
      <c r="G524" s="1" t="b">
        <v>0</v>
      </c>
      <c r="H524" s="1">
        <v>0</v>
      </c>
      <c r="I524" s="1">
        <v>1</v>
      </c>
      <c r="J524" s="1">
        <v>0.1</v>
      </c>
    </row>
    <row r="525" spans="1:10" ht="12.5" x14ac:dyDescent="0.25">
      <c r="A525" s="1">
        <v>524</v>
      </c>
      <c r="B525" s="2">
        <v>40566</v>
      </c>
      <c r="C525" s="1">
        <v>1</v>
      </c>
      <c r="D525" s="1">
        <v>0</v>
      </c>
      <c r="E525" s="1">
        <v>1</v>
      </c>
      <c r="F525" s="1">
        <v>22</v>
      </c>
      <c r="G525" s="1" t="b">
        <v>0</v>
      </c>
      <c r="H525" s="1">
        <v>0</v>
      </c>
      <c r="I525" s="1">
        <v>1</v>
      </c>
      <c r="J525" s="1">
        <v>0.08</v>
      </c>
    </row>
    <row r="526" spans="1:10" ht="12.5" x14ac:dyDescent="0.25">
      <c r="A526" s="1">
        <v>525</v>
      </c>
      <c r="B526" s="2">
        <v>40566</v>
      </c>
      <c r="C526" s="1">
        <v>1</v>
      </c>
      <c r="D526" s="1">
        <v>0</v>
      </c>
      <c r="E526" s="1">
        <v>1</v>
      </c>
      <c r="F526" s="1">
        <v>23</v>
      </c>
      <c r="G526" s="1" t="b">
        <v>0</v>
      </c>
      <c r="H526" s="1">
        <v>0</v>
      </c>
      <c r="I526" s="1">
        <v>1</v>
      </c>
      <c r="J526" s="1">
        <v>0.06</v>
      </c>
    </row>
    <row r="527" spans="1:10" ht="12.5" x14ac:dyDescent="0.25">
      <c r="A527" s="1">
        <v>526</v>
      </c>
      <c r="B527" s="2">
        <v>40567</v>
      </c>
      <c r="C527" s="1">
        <v>1</v>
      </c>
      <c r="D527" s="1">
        <v>0</v>
      </c>
      <c r="E527" s="1">
        <v>1</v>
      </c>
      <c r="F527" s="1">
        <v>0</v>
      </c>
      <c r="G527" s="1" t="b">
        <v>0</v>
      </c>
      <c r="H527" s="1">
        <v>1</v>
      </c>
      <c r="I527" s="1">
        <v>1</v>
      </c>
      <c r="J527" s="1">
        <v>0.06</v>
      </c>
    </row>
    <row r="528" spans="1:10" ht="12.5" x14ac:dyDescent="0.25">
      <c r="A528" s="1">
        <v>527</v>
      </c>
      <c r="B528" s="2">
        <v>40567</v>
      </c>
      <c r="C528" s="1">
        <v>1</v>
      </c>
      <c r="D528" s="1">
        <v>0</v>
      </c>
      <c r="E528" s="1">
        <v>1</v>
      </c>
      <c r="F528" s="1">
        <v>1</v>
      </c>
      <c r="G528" s="1" t="b">
        <v>0</v>
      </c>
      <c r="H528" s="1">
        <v>1</v>
      </c>
      <c r="I528" s="1">
        <v>1</v>
      </c>
      <c r="J528" s="1">
        <v>0.04</v>
      </c>
    </row>
    <row r="529" spans="1:10" ht="12.5" x14ac:dyDescent="0.25">
      <c r="A529" s="1">
        <v>528</v>
      </c>
      <c r="B529" s="2">
        <v>40567</v>
      </c>
      <c r="C529" s="1">
        <v>1</v>
      </c>
      <c r="D529" s="1">
        <v>0</v>
      </c>
      <c r="E529" s="1">
        <v>1</v>
      </c>
      <c r="F529" s="1">
        <v>3</v>
      </c>
      <c r="G529" s="1" t="b">
        <v>0</v>
      </c>
      <c r="H529" s="1">
        <v>1</v>
      </c>
      <c r="I529" s="1">
        <v>1</v>
      </c>
      <c r="J529" s="1">
        <v>0.04</v>
      </c>
    </row>
    <row r="530" spans="1:10" ht="12.5" x14ac:dyDescent="0.25">
      <c r="A530" s="1">
        <v>529</v>
      </c>
      <c r="B530" s="2">
        <v>40567</v>
      </c>
      <c r="C530" s="1">
        <v>1</v>
      </c>
      <c r="D530" s="1">
        <v>0</v>
      </c>
      <c r="E530" s="1">
        <v>1</v>
      </c>
      <c r="F530" s="1">
        <v>4</v>
      </c>
      <c r="G530" s="1" t="b">
        <v>0</v>
      </c>
      <c r="H530" s="1">
        <v>1</v>
      </c>
      <c r="I530" s="1">
        <v>1</v>
      </c>
      <c r="J530" s="1">
        <v>0.02</v>
      </c>
    </row>
    <row r="531" spans="1:10" ht="12.5" x14ac:dyDescent="0.25">
      <c r="A531" s="1">
        <v>530</v>
      </c>
      <c r="B531" s="2">
        <v>40567</v>
      </c>
      <c r="C531" s="1">
        <v>1</v>
      </c>
      <c r="D531" s="1">
        <v>0</v>
      </c>
      <c r="E531" s="1">
        <v>1</v>
      </c>
      <c r="F531" s="1">
        <v>5</v>
      </c>
      <c r="G531" s="1" t="b">
        <v>0</v>
      </c>
      <c r="H531" s="1">
        <v>1</v>
      </c>
      <c r="I531" s="1">
        <v>1</v>
      </c>
      <c r="J531" s="1">
        <v>0.02</v>
      </c>
    </row>
    <row r="532" spans="1:10" ht="12.5" x14ac:dyDescent="0.25">
      <c r="A532" s="1">
        <v>531</v>
      </c>
      <c r="B532" s="2">
        <v>40567</v>
      </c>
      <c r="C532" s="1">
        <v>1</v>
      </c>
      <c r="D532" s="1">
        <v>0</v>
      </c>
      <c r="E532" s="1">
        <v>1</v>
      </c>
      <c r="F532" s="1">
        <v>6</v>
      </c>
      <c r="G532" s="1" t="b">
        <v>0</v>
      </c>
      <c r="H532" s="1">
        <v>1</v>
      </c>
      <c r="I532" s="1">
        <v>1</v>
      </c>
      <c r="J532" s="1">
        <v>0.02</v>
      </c>
    </row>
    <row r="533" spans="1:10" ht="12.5" x14ac:dyDescent="0.25">
      <c r="A533" s="1">
        <v>532</v>
      </c>
      <c r="B533" s="2">
        <v>40567</v>
      </c>
      <c r="C533" s="1">
        <v>1</v>
      </c>
      <c r="D533" s="1">
        <v>0</v>
      </c>
      <c r="E533" s="1">
        <v>1</v>
      </c>
      <c r="F533" s="1">
        <v>7</v>
      </c>
      <c r="G533" s="1" t="b">
        <v>0</v>
      </c>
      <c r="H533" s="1">
        <v>1</v>
      </c>
      <c r="I533" s="1">
        <v>1</v>
      </c>
      <c r="J533" s="1">
        <v>0.02</v>
      </c>
    </row>
    <row r="534" spans="1:10" ht="12.5" x14ac:dyDescent="0.25">
      <c r="A534" s="1">
        <v>533</v>
      </c>
      <c r="B534" s="2">
        <v>40567</v>
      </c>
      <c r="C534" s="1">
        <v>1</v>
      </c>
      <c r="D534" s="1">
        <v>0</v>
      </c>
      <c r="E534" s="1">
        <v>1</v>
      </c>
      <c r="F534" s="1">
        <v>8</v>
      </c>
      <c r="G534" s="1" t="b">
        <v>0</v>
      </c>
      <c r="H534" s="1">
        <v>1</v>
      </c>
      <c r="I534" s="1">
        <v>1</v>
      </c>
      <c r="J534" s="1">
        <v>0.04</v>
      </c>
    </row>
    <row r="535" spans="1:10" ht="12.5" x14ac:dyDescent="0.25">
      <c r="A535" s="1">
        <v>534</v>
      </c>
      <c r="B535" s="2">
        <v>40567</v>
      </c>
      <c r="C535" s="1">
        <v>1</v>
      </c>
      <c r="D535" s="1">
        <v>0</v>
      </c>
      <c r="E535" s="1">
        <v>1</v>
      </c>
      <c r="F535" s="1">
        <v>9</v>
      </c>
      <c r="G535" s="1" t="b">
        <v>0</v>
      </c>
      <c r="H535" s="1">
        <v>1</v>
      </c>
      <c r="I535" s="1">
        <v>1</v>
      </c>
      <c r="J535" s="1">
        <v>0.06</v>
      </c>
    </row>
    <row r="536" spans="1:10" ht="12.5" x14ac:dyDescent="0.25">
      <c r="A536" s="1">
        <v>535</v>
      </c>
      <c r="B536" s="2">
        <v>40567</v>
      </c>
      <c r="C536" s="1">
        <v>1</v>
      </c>
      <c r="D536" s="1">
        <v>0</v>
      </c>
      <c r="E536" s="1">
        <v>1</v>
      </c>
      <c r="F536" s="1">
        <v>10</v>
      </c>
      <c r="G536" s="1" t="b">
        <v>0</v>
      </c>
      <c r="H536" s="1">
        <v>1</v>
      </c>
      <c r="I536" s="1">
        <v>1</v>
      </c>
      <c r="J536" s="1">
        <v>0.1</v>
      </c>
    </row>
    <row r="537" spans="1:10" ht="12.5" x14ac:dyDescent="0.25">
      <c r="A537" s="1">
        <v>536</v>
      </c>
      <c r="B537" s="2">
        <v>40567</v>
      </c>
      <c r="C537" s="1">
        <v>1</v>
      </c>
      <c r="D537" s="1">
        <v>0</v>
      </c>
      <c r="E537" s="1">
        <v>1</v>
      </c>
      <c r="F537" s="1">
        <v>11</v>
      </c>
      <c r="G537" s="1" t="b">
        <v>0</v>
      </c>
      <c r="H537" s="1">
        <v>1</v>
      </c>
      <c r="I537" s="1">
        <v>1</v>
      </c>
      <c r="J537" s="1">
        <v>0.1</v>
      </c>
    </row>
    <row r="538" spans="1:10" ht="12.5" x14ac:dyDescent="0.25">
      <c r="A538" s="1">
        <v>537</v>
      </c>
      <c r="B538" s="2">
        <v>40567</v>
      </c>
      <c r="C538" s="1">
        <v>1</v>
      </c>
      <c r="D538" s="1">
        <v>0</v>
      </c>
      <c r="E538" s="1">
        <v>1</v>
      </c>
      <c r="F538" s="1">
        <v>12</v>
      </c>
      <c r="G538" s="1" t="b">
        <v>0</v>
      </c>
      <c r="H538" s="1">
        <v>1</v>
      </c>
      <c r="I538" s="1">
        <v>2</v>
      </c>
      <c r="J538" s="1">
        <v>0.12</v>
      </c>
    </row>
    <row r="539" spans="1:10" ht="12.5" x14ac:dyDescent="0.25">
      <c r="A539" s="1">
        <v>538</v>
      </c>
      <c r="B539" s="2">
        <v>40567</v>
      </c>
      <c r="C539" s="1">
        <v>1</v>
      </c>
      <c r="D539" s="1">
        <v>0</v>
      </c>
      <c r="E539" s="1">
        <v>1</v>
      </c>
      <c r="F539" s="1">
        <v>13</v>
      </c>
      <c r="G539" s="1" t="b">
        <v>0</v>
      </c>
      <c r="H539" s="1">
        <v>1</v>
      </c>
      <c r="I539" s="1">
        <v>2</v>
      </c>
      <c r="J539" s="1">
        <v>0.14000000000000001</v>
      </c>
    </row>
    <row r="540" spans="1:10" ht="12.5" x14ac:dyDescent="0.25">
      <c r="A540" s="1">
        <v>539</v>
      </c>
      <c r="B540" s="2">
        <v>40567</v>
      </c>
      <c r="C540" s="1">
        <v>1</v>
      </c>
      <c r="D540" s="1">
        <v>0</v>
      </c>
      <c r="E540" s="1">
        <v>1</v>
      </c>
      <c r="F540" s="1">
        <v>14</v>
      </c>
      <c r="G540" s="1" t="b">
        <v>0</v>
      </c>
      <c r="H540" s="1">
        <v>1</v>
      </c>
      <c r="I540" s="1">
        <v>2</v>
      </c>
      <c r="J540" s="1">
        <v>0.14000000000000001</v>
      </c>
    </row>
    <row r="541" spans="1:10" ht="12.5" x14ac:dyDescent="0.25">
      <c r="A541" s="1">
        <v>540</v>
      </c>
      <c r="B541" s="2">
        <v>40567</v>
      </c>
      <c r="C541" s="1">
        <v>1</v>
      </c>
      <c r="D541" s="1">
        <v>0</v>
      </c>
      <c r="E541" s="1">
        <v>1</v>
      </c>
      <c r="F541" s="1">
        <v>15</v>
      </c>
      <c r="G541" s="1" t="b">
        <v>0</v>
      </c>
      <c r="H541" s="1">
        <v>1</v>
      </c>
      <c r="I541" s="1">
        <v>1</v>
      </c>
      <c r="J541" s="1">
        <v>0.16</v>
      </c>
    </row>
    <row r="542" spans="1:10" ht="12.5" x14ac:dyDescent="0.25">
      <c r="A542" s="1">
        <v>541</v>
      </c>
      <c r="B542" s="2">
        <v>40567</v>
      </c>
      <c r="C542" s="1">
        <v>1</v>
      </c>
      <c r="D542" s="1">
        <v>0</v>
      </c>
      <c r="E542" s="1">
        <v>1</v>
      </c>
      <c r="F542" s="1">
        <v>16</v>
      </c>
      <c r="G542" s="1" t="b">
        <v>0</v>
      </c>
      <c r="H542" s="1">
        <v>1</v>
      </c>
      <c r="I542" s="1">
        <v>1</v>
      </c>
      <c r="J542" s="1">
        <v>0.16</v>
      </c>
    </row>
    <row r="543" spans="1:10" ht="12.5" x14ac:dyDescent="0.25">
      <c r="A543" s="1">
        <v>542</v>
      </c>
      <c r="B543" s="2">
        <v>40567</v>
      </c>
      <c r="C543" s="1">
        <v>1</v>
      </c>
      <c r="D543" s="1">
        <v>0</v>
      </c>
      <c r="E543" s="1">
        <v>1</v>
      </c>
      <c r="F543" s="1">
        <v>17</v>
      </c>
      <c r="G543" s="1" t="b">
        <v>0</v>
      </c>
      <c r="H543" s="1">
        <v>1</v>
      </c>
      <c r="I543" s="1">
        <v>1</v>
      </c>
      <c r="J543" s="1">
        <v>0.14000000000000001</v>
      </c>
    </row>
    <row r="544" spans="1:10" ht="12.5" x14ac:dyDescent="0.25">
      <c r="A544" s="1">
        <v>543</v>
      </c>
      <c r="B544" s="2">
        <v>40567</v>
      </c>
      <c r="C544" s="1">
        <v>1</v>
      </c>
      <c r="D544" s="1">
        <v>0</v>
      </c>
      <c r="E544" s="1">
        <v>1</v>
      </c>
      <c r="F544" s="1">
        <v>18</v>
      </c>
      <c r="G544" s="1" t="b">
        <v>0</v>
      </c>
      <c r="H544" s="1">
        <v>1</v>
      </c>
      <c r="I544" s="1">
        <v>1</v>
      </c>
      <c r="J544" s="1">
        <v>0.14000000000000001</v>
      </c>
    </row>
    <row r="545" spans="1:10" ht="12.5" x14ac:dyDescent="0.25">
      <c r="A545" s="1">
        <v>544</v>
      </c>
      <c r="B545" s="2">
        <v>40567</v>
      </c>
      <c r="C545" s="1">
        <v>1</v>
      </c>
      <c r="D545" s="1">
        <v>0</v>
      </c>
      <c r="E545" s="1">
        <v>1</v>
      </c>
      <c r="F545" s="1">
        <v>19</v>
      </c>
      <c r="G545" s="1" t="b">
        <v>0</v>
      </c>
      <c r="H545" s="1">
        <v>1</v>
      </c>
      <c r="I545" s="1">
        <v>1</v>
      </c>
      <c r="J545" s="1">
        <v>0.14000000000000001</v>
      </c>
    </row>
    <row r="546" spans="1:10" ht="12.5" x14ac:dyDescent="0.25">
      <c r="A546" s="1">
        <v>545</v>
      </c>
      <c r="B546" s="2">
        <v>40567</v>
      </c>
      <c r="C546" s="1">
        <v>1</v>
      </c>
      <c r="D546" s="1">
        <v>0</v>
      </c>
      <c r="E546" s="1">
        <v>1</v>
      </c>
      <c r="F546" s="1">
        <v>20</v>
      </c>
      <c r="G546" s="1" t="b">
        <v>0</v>
      </c>
      <c r="H546" s="1">
        <v>1</v>
      </c>
      <c r="I546" s="1">
        <v>1</v>
      </c>
      <c r="J546" s="1">
        <v>0.14000000000000001</v>
      </c>
    </row>
    <row r="547" spans="1:10" ht="12.5" x14ac:dyDescent="0.25">
      <c r="A547" s="1">
        <v>546</v>
      </c>
      <c r="B547" s="2">
        <v>40567</v>
      </c>
      <c r="C547" s="1">
        <v>1</v>
      </c>
      <c r="D547" s="1">
        <v>0</v>
      </c>
      <c r="E547" s="1">
        <v>1</v>
      </c>
      <c r="F547" s="1">
        <v>21</v>
      </c>
      <c r="G547" s="1" t="b">
        <v>0</v>
      </c>
      <c r="H547" s="1">
        <v>1</v>
      </c>
      <c r="I547" s="1">
        <v>1</v>
      </c>
      <c r="J547" s="1">
        <v>0.14000000000000001</v>
      </c>
    </row>
    <row r="548" spans="1:10" ht="12.5" x14ac:dyDescent="0.25">
      <c r="A548" s="1">
        <v>547</v>
      </c>
      <c r="B548" s="2">
        <v>40567</v>
      </c>
      <c r="C548" s="1">
        <v>1</v>
      </c>
      <c r="D548" s="1">
        <v>0</v>
      </c>
      <c r="E548" s="1">
        <v>1</v>
      </c>
      <c r="F548" s="1">
        <v>22</v>
      </c>
      <c r="G548" s="1" t="b">
        <v>0</v>
      </c>
      <c r="H548" s="1">
        <v>1</v>
      </c>
      <c r="I548" s="1">
        <v>2</v>
      </c>
      <c r="J548" s="1">
        <v>0.14000000000000001</v>
      </c>
    </row>
    <row r="549" spans="1:10" ht="12.5" x14ac:dyDescent="0.25">
      <c r="A549" s="1">
        <v>548</v>
      </c>
      <c r="B549" s="2">
        <v>40567</v>
      </c>
      <c r="C549" s="1">
        <v>1</v>
      </c>
      <c r="D549" s="1">
        <v>0</v>
      </c>
      <c r="E549" s="1">
        <v>1</v>
      </c>
      <c r="F549" s="1">
        <v>23</v>
      </c>
      <c r="G549" s="1" t="b">
        <v>0</v>
      </c>
      <c r="H549" s="1">
        <v>1</v>
      </c>
      <c r="I549" s="1">
        <v>2</v>
      </c>
      <c r="J549" s="1">
        <v>0.16</v>
      </c>
    </row>
    <row r="550" spans="1:10" ht="12.5" x14ac:dyDescent="0.25">
      <c r="A550" s="1">
        <v>549</v>
      </c>
      <c r="B550" s="2">
        <v>40568</v>
      </c>
      <c r="C550" s="1">
        <v>1</v>
      </c>
      <c r="D550" s="1">
        <v>0</v>
      </c>
      <c r="E550" s="1">
        <v>1</v>
      </c>
      <c r="F550" s="1">
        <v>0</v>
      </c>
      <c r="G550" s="1" t="b">
        <v>0</v>
      </c>
      <c r="H550" s="1">
        <v>2</v>
      </c>
      <c r="I550" s="1">
        <v>2</v>
      </c>
      <c r="J550" s="1">
        <v>0.16</v>
      </c>
    </row>
    <row r="551" spans="1:10" ht="12.5" x14ac:dyDescent="0.25">
      <c r="A551" s="1">
        <v>550</v>
      </c>
      <c r="B551" s="2">
        <v>40568</v>
      </c>
      <c r="C551" s="1">
        <v>1</v>
      </c>
      <c r="D551" s="1">
        <v>0</v>
      </c>
      <c r="E551" s="1">
        <v>1</v>
      </c>
      <c r="F551" s="1">
        <v>1</v>
      </c>
      <c r="G551" s="1" t="b">
        <v>0</v>
      </c>
      <c r="H551" s="1">
        <v>2</v>
      </c>
      <c r="I551" s="1">
        <v>2</v>
      </c>
      <c r="J551" s="1">
        <v>0.16</v>
      </c>
    </row>
    <row r="552" spans="1:10" ht="12.5" x14ac:dyDescent="0.25">
      <c r="A552" s="1">
        <v>551</v>
      </c>
      <c r="B552" s="2">
        <v>40568</v>
      </c>
      <c r="C552" s="1">
        <v>1</v>
      </c>
      <c r="D552" s="1">
        <v>0</v>
      </c>
      <c r="E552" s="1">
        <v>1</v>
      </c>
      <c r="F552" s="1">
        <v>2</v>
      </c>
      <c r="G552" s="1" t="b">
        <v>0</v>
      </c>
      <c r="H552" s="1">
        <v>2</v>
      </c>
      <c r="I552" s="1">
        <v>1</v>
      </c>
      <c r="J552" s="1">
        <v>0.16</v>
      </c>
    </row>
    <row r="553" spans="1:10" ht="12.5" x14ac:dyDescent="0.25">
      <c r="A553" s="1">
        <v>552</v>
      </c>
      <c r="B553" s="2">
        <v>40568</v>
      </c>
      <c r="C553" s="1">
        <v>1</v>
      </c>
      <c r="D553" s="1">
        <v>0</v>
      </c>
      <c r="E553" s="1">
        <v>1</v>
      </c>
      <c r="F553" s="1">
        <v>4</v>
      </c>
      <c r="G553" s="1" t="b">
        <v>0</v>
      </c>
      <c r="H553" s="1">
        <v>2</v>
      </c>
      <c r="I553" s="1">
        <v>1</v>
      </c>
      <c r="J553" s="1">
        <v>0.14000000000000001</v>
      </c>
    </row>
    <row r="554" spans="1:10" ht="12.5" x14ac:dyDescent="0.25">
      <c r="A554" s="1">
        <v>553</v>
      </c>
      <c r="B554" s="2">
        <v>40568</v>
      </c>
      <c r="C554" s="1">
        <v>1</v>
      </c>
      <c r="D554" s="1">
        <v>0</v>
      </c>
      <c r="E554" s="1">
        <v>1</v>
      </c>
      <c r="F554" s="1">
        <v>5</v>
      </c>
      <c r="G554" s="1" t="b">
        <v>0</v>
      </c>
      <c r="H554" s="1">
        <v>2</v>
      </c>
      <c r="I554" s="1">
        <v>1</v>
      </c>
      <c r="J554" s="1">
        <v>0.14000000000000001</v>
      </c>
    </row>
    <row r="555" spans="1:10" ht="12.5" x14ac:dyDescent="0.25">
      <c r="A555" s="1">
        <v>554</v>
      </c>
      <c r="B555" s="2">
        <v>40568</v>
      </c>
      <c r="C555" s="1">
        <v>1</v>
      </c>
      <c r="D555" s="1">
        <v>0</v>
      </c>
      <c r="E555" s="1">
        <v>1</v>
      </c>
      <c r="F555" s="1">
        <v>6</v>
      </c>
      <c r="G555" s="1" t="b">
        <v>0</v>
      </c>
      <c r="H555" s="1">
        <v>2</v>
      </c>
      <c r="I555" s="1">
        <v>1</v>
      </c>
      <c r="J555" s="1">
        <v>0.16</v>
      </c>
    </row>
    <row r="556" spans="1:10" ht="12.5" x14ac:dyDescent="0.25">
      <c r="A556" s="1">
        <v>555</v>
      </c>
      <c r="B556" s="2">
        <v>40568</v>
      </c>
      <c r="C556" s="1">
        <v>1</v>
      </c>
      <c r="D556" s="1">
        <v>0</v>
      </c>
      <c r="E556" s="1">
        <v>1</v>
      </c>
      <c r="F556" s="1">
        <v>7</v>
      </c>
      <c r="G556" s="1" t="b">
        <v>0</v>
      </c>
      <c r="H556" s="1">
        <v>2</v>
      </c>
      <c r="I556" s="1">
        <v>1</v>
      </c>
      <c r="J556" s="1">
        <v>0.16</v>
      </c>
    </row>
    <row r="557" spans="1:10" ht="12.5" x14ac:dyDescent="0.25">
      <c r="A557" s="1">
        <v>556</v>
      </c>
      <c r="B557" s="2">
        <v>40568</v>
      </c>
      <c r="C557" s="1">
        <v>1</v>
      </c>
      <c r="D557" s="1">
        <v>0</v>
      </c>
      <c r="E557" s="1">
        <v>1</v>
      </c>
      <c r="F557" s="1">
        <v>8</v>
      </c>
      <c r="G557" s="1" t="b">
        <v>0</v>
      </c>
      <c r="H557" s="1">
        <v>2</v>
      </c>
      <c r="I557" s="1">
        <v>2</v>
      </c>
      <c r="J557" s="1">
        <v>0.16</v>
      </c>
    </row>
    <row r="558" spans="1:10" ht="12.5" x14ac:dyDescent="0.25">
      <c r="A558" s="1">
        <v>557</v>
      </c>
      <c r="B558" s="2">
        <v>40568</v>
      </c>
      <c r="C558" s="1">
        <v>1</v>
      </c>
      <c r="D558" s="1">
        <v>0</v>
      </c>
      <c r="E558" s="1">
        <v>1</v>
      </c>
      <c r="F558" s="1">
        <v>9</v>
      </c>
      <c r="G558" s="1" t="b">
        <v>0</v>
      </c>
      <c r="H558" s="1">
        <v>2</v>
      </c>
      <c r="I558" s="1">
        <v>2</v>
      </c>
      <c r="J558" s="1">
        <v>0.2</v>
      </c>
    </row>
    <row r="559" spans="1:10" ht="12.5" x14ac:dyDescent="0.25">
      <c r="A559" s="1">
        <v>558</v>
      </c>
      <c r="B559" s="2">
        <v>40568</v>
      </c>
      <c r="C559" s="1">
        <v>1</v>
      </c>
      <c r="D559" s="1">
        <v>0</v>
      </c>
      <c r="E559" s="1">
        <v>1</v>
      </c>
      <c r="F559" s="1">
        <v>10</v>
      </c>
      <c r="G559" s="1" t="b">
        <v>0</v>
      </c>
      <c r="H559" s="1">
        <v>2</v>
      </c>
      <c r="I559" s="1">
        <v>2</v>
      </c>
      <c r="J559" s="1">
        <v>0.22</v>
      </c>
    </row>
    <row r="560" spans="1:10" ht="12.5" x14ac:dyDescent="0.25">
      <c r="A560" s="1">
        <v>559</v>
      </c>
      <c r="B560" s="2">
        <v>40568</v>
      </c>
      <c r="C560" s="1">
        <v>1</v>
      </c>
      <c r="D560" s="1">
        <v>0</v>
      </c>
      <c r="E560" s="1">
        <v>1</v>
      </c>
      <c r="F560" s="1">
        <v>11</v>
      </c>
      <c r="G560" s="1" t="b">
        <v>0</v>
      </c>
      <c r="H560" s="1">
        <v>2</v>
      </c>
      <c r="I560" s="1">
        <v>2</v>
      </c>
      <c r="J560" s="1">
        <v>0.24</v>
      </c>
    </row>
    <row r="561" spans="1:10" ht="12.5" x14ac:dyDescent="0.25">
      <c r="A561" s="1">
        <v>560</v>
      </c>
      <c r="B561" s="2">
        <v>40568</v>
      </c>
      <c r="C561" s="1">
        <v>1</v>
      </c>
      <c r="D561" s="1">
        <v>0</v>
      </c>
      <c r="E561" s="1">
        <v>1</v>
      </c>
      <c r="F561" s="1">
        <v>12</v>
      </c>
      <c r="G561" s="1" t="b">
        <v>0</v>
      </c>
      <c r="H561" s="1">
        <v>2</v>
      </c>
      <c r="I561" s="1">
        <v>2</v>
      </c>
      <c r="J561" s="1">
        <v>0.26</v>
      </c>
    </row>
    <row r="562" spans="1:10" ht="12.5" x14ac:dyDescent="0.25">
      <c r="A562" s="1">
        <v>561</v>
      </c>
      <c r="B562" s="2">
        <v>40568</v>
      </c>
      <c r="C562" s="1">
        <v>1</v>
      </c>
      <c r="D562" s="1">
        <v>0</v>
      </c>
      <c r="E562" s="1">
        <v>1</v>
      </c>
      <c r="F562" s="1">
        <v>13</v>
      </c>
      <c r="G562" s="1" t="b">
        <v>0</v>
      </c>
      <c r="H562" s="1">
        <v>2</v>
      </c>
      <c r="I562" s="1">
        <v>2</v>
      </c>
      <c r="J562" s="1">
        <v>0.26</v>
      </c>
    </row>
    <row r="563" spans="1:10" ht="12.5" x14ac:dyDescent="0.25">
      <c r="A563" s="1">
        <v>562</v>
      </c>
      <c r="B563" s="2">
        <v>40568</v>
      </c>
      <c r="C563" s="1">
        <v>1</v>
      </c>
      <c r="D563" s="1">
        <v>0</v>
      </c>
      <c r="E563" s="1">
        <v>1</v>
      </c>
      <c r="F563" s="1">
        <v>14</v>
      </c>
      <c r="G563" s="1" t="b">
        <v>0</v>
      </c>
      <c r="H563" s="1">
        <v>2</v>
      </c>
      <c r="I563" s="1">
        <v>2</v>
      </c>
      <c r="J563" s="1">
        <v>0.3</v>
      </c>
    </row>
    <row r="564" spans="1:10" ht="12.5" x14ac:dyDescent="0.25">
      <c r="A564" s="1">
        <v>563</v>
      </c>
      <c r="B564" s="2">
        <v>40568</v>
      </c>
      <c r="C564" s="1">
        <v>1</v>
      </c>
      <c r="D564" s="1">
        <v>0</v>
      </c>
      <c r="E564" s="1">
        <v>1</v>
      </c>
      <c r="F564" s="1">
        <v>15</v>
      </c>
      <c r="G564" s="1" t="b">
        <v>0</v>
      </c>
      <c r="H564" s="1">
        <v>2</v>
      </c>
      <c r="I564" s="1">
        <v>2</v>
      </c>
      <c r="J564" s="1">
        <v>0.32</v>
      </c>
    </row>
    <row r="565" spans="1:10" ht="12.5" x14ac:dyDescent="0.25">
      <c r="A565" s="1">
        <v>564</v>
      </c>
      <c r="B565" s="2">
        <v>40568</v>
      </c>
      <c r="C565" s="1">
        <v>1</v>
      </c>
      <c r="D565" s="1">
        <v>0</v>
      </c>
      <c r="E565" s="1">
        <v>1</v>
      </c>
      <c r="F565" s="1">
        <v>16</v>
      </c>
      <c r="G565" s="1" t="b">
        <v>0</v>
      </c>
      <c r="H565" s="1">
        <v>2</v>
      </c>
      <c r="I565" s="1">
        <v>2</v>
      </c>
      <c r="J565" s="1">
        <v>0.32</v>
      </c>
    </row>
    <row r="566" spans="1:10" ht="12.5" x14ac:dyDescent="0.25">
      <c r="A566" s="1">
        <v>565</v>
      </c>
      <c r="B566" s="2">
        <v>40568</v>
      </c>
      <c r="C566" s="1">
        <v>1</v>
      </c>
      <c r="D566" s="1">
        <v>0</v>
      </c>
      <c r="E566" s="1">
        <v>1</v>
      </c>
      <c r="F566" s="1">
        <v>17</v>
      </c>
      <c r="G566" s="1" t="b">
        <v>0</v>
      </c>
      <c r="H566" s="1">
        <v>2</v>
      </c>
      <c r="I566" s="1">
        <v>1</v>
      </c>
      <c r="J566" s="1">
        <v>0.3</v>
      </c>
    </row>
    <row r="567" spans="1:10" ht="12.5" x14ac:dyDescent="0.25">
      <c r="A567" s="1">
        <v>566</v>
      </c>
      <c r="B567" s="2">
        <v>40568</v>
      </c>
      <c r="C567" s="1">
        <v>1</v>
      </c>
      <c r="D567" s="1">
        <v>0</v>
      </c>
      <c r="E567" s="1">
        <v>1</v>
      </c>
      <c r="F567" s="1">
        <v>18</v>
      </c>
      <c r="G567" s="1" t="b">
        <v>0</v>
      </c>
      <c r="H567" s="1">
        <v>2</v>
      </c>
      <c r="I567" s="1">
        <v>2</v>
      </c>
      <c r="J567" s="1">
        <v>0.3</v>
      </c>
    </row>
    <row r="568" spans="1:10" ht="12.5" x14ac:dyDescent="0.25">
      <c r="A568" s="1">
        <v>567</v>
      </c>
      <c r="B568" s="2">
        <v>40568</v>
      </c>
      <c r="C568" s="1">
        <v>1</v>
      </c>
      <c r="D568" s="1">
        <v>0</v>
      </c>
      <c r="E568" s="1">
        <v>1</v>
      </c>
      <c r="F568" s="1">
        <v>19</v>
      </c>
      <c r="G568" s="1" t="b">
        <v>0</v>
      </c>
      <c r="H568" s="1">
        <v>2</v>
      </c>
      <c r="I568" s="1">
        <v>2</v>
      </c>
      <c r="J568" s="1">
        <v>0.26</v>
      </c>
    </row>
    <row r="569" spans="1:10" ht="12.5" x14ac:dyDescent="0.25">
      <c r="A569" s="1">
        <v>568</v>
      </c>
      <c r="B569" s="2">
        <v>40568</v>
      </c>
      <c r="C569" s="1">
        <v>1</v>
      </c>
      <c r="D569" s="1">
        <v>0</v>
      </c>
      <c r="E569" s="1">
        <v>1</v>
      </c>
      <c r="F569" s="1">
        <v>20</v>
      </c>
      <c r="G569" s="1" t="b">
        <v>0</v>
      </c>
      <c r="H569" s="1">
        <v>2</v>
      </c>
      <c r="I569" s="1">
        <v>1</v>
      </c>
      <c r="J569" s="1">
        <v>0.24</v>
      </c>
    </row>
    <row r="570" spans="1:10" ht="12.5" x14ac:dyDescent="0.25">
      <c r="A570" s="1">
        <v>569</v>
      </c>
      <c r="B570" s="2">
        <v>40568</v>
      </c>
      <c r="C570" s="1">
        <v>1</v>
      </c>
      <c r="D570" s="1">
        <v>0</v>
      </c>
      <c r="E570" s="1">
        <v>1</v>
      </c>
      <c r="F570" s="1">
        <v>21</v>
      </c>
      <c r="G570" s="1" t="b">
        <v>0</v>
      </c>
      <c r="H570" s="1">
        <v>2</v>
      </c>
      <c r="I570" s="1">
        <v>1</v>
      </c>
      <c r="J570" s="1">
        <v>0.24</v>
      </c>
    </row>
    <row r="571" spans="1:10" ht="12.5" x14ac:dyDescent="0.25">
      <c r="A571" s="1">
        <v>570</v>
      </c>
      <c r="B571" s="2">
        <v>40568</v>
      </c>
      <c r="C571" s="1">
        <v>1</v>
      </c>
      <c r="D571" s="1">
        <v>0</v>
      </c>
      <c r="E571" s="1">
        <v>1</v>
      </c>
      <c r="F571" s="1">
        <v>22</v>
      </c>
      <c r="G571" s="1" t="b">
        <v>0</v>
      </c>
      <c r="H571" s="1">
        <v>2</v>
      </c>
      <c r="I571" s="1">
        <v>1</v>
      </c>
      <c r="J571" s="1">
        <v>0.22</v>
      </c>
    </row>
    <row r="572" spans="1:10" ht="12.5" x14ac:dyDescent="0.25">
      <c r="A572" s="1">
        <v>571</v>
      </c>
      <c r="B572" s="2">
        <v>40568</v>
      </c>
      <c r="C572" s="1">
        <v>1</v>
      </c>
      <c r="D572" s="1">
        <v>0</v>
      </c>
      <c r="E572" s="1">
        <v>1</v>
      </c>
      <c r="F572" s="1">
        <v>23</v>
      </c>
      <c r="G572" s="1" t="b">
        <v>0</v>
      </c>
      <c r="H572" s="1">
        <v>2</v>
      </c>
      <c r="I572" s="1">
        <v>2</v>
      </c>
      <c r="J572" s="1">
        <v>0.22</v>
      </c>
    </row>
    <row r="573" spans="1:10" ht="12.5" x14ac:dyDescent="0.25">
      <c r="A573" s="1">
        <v>572</v>
      </c>
      <c r="B573" s="2">
        <v>40569</v>
      </c>
      <c r="C573" s="1">
        <v>1</v>
      </c>
      <c r="D573" s="1">
        <v>0</v>
      </c>
      <c r="E573" s="1">
        <v>1</v>
      </c>
      <c r="F573" s="1">
        <v>0</v>
      </c>
      <c r="G573" s="1" t="b">
        <v>0</v>
      </c>
      <c r="H573" s="1">
        <v>3</v>
      </c>
      <c r="I573" s="1">
        <v>2</v>
      </c>
      <c r="J573" s="1">
        <v>0.22</v>
      </c>
    </row>
    <row r="574" spans="1:10" ht="12.5" x14ac:dyDescent="0.25">
      <c r="A574" s="1">
        <v>573</v>
      </c>
      <c r="B574" s="2">
        <v>40569</v>
      </c>
      <c r="C574" s="1">
        <v>1</v>
      </c>
      <c r="D574" s="1">
        <v>0</v>
      </c>
      <c r="E574" s="1">
        <v>1</v>
      </c>
      <c r="F574" s="1">
        <v>1</v>
      </c>
      <c r="G574" s="1" t="b">
        <v>0</v>
      </c>
      <c r="H574" s="1">
        <v>3</v>
      </c>
      <c r="I574" s="1">
        <v>2</v>
      </c>
      <c r="J574" s="1">
        <v>0.24</v>
      </c>
    </row>
    <row r="575" spans="1:10" ht="12.5" x14ac:dyDescent="0.25">
      <c r="A575" s="1">
        <v>574</v>
      </c>
      <c r="B575" s="2">
        <v>40569</v>
      </c>
      <c r="C575" s="1">
        <v>1</v>
      </c>
      <c r="D575" s="1">
        <v>0</v>
      </c>
      <c r="E575" s="1">
        <v>1</v>
      </c>
      <c r="F575" s="1">
        <v>2</v>
      </c>
      <c r="G575" s="1" t="b">
        <v>0</v>
      </c>
      <c r="H575" s="1">
        <v>3</v>
      </c>
      <c r="I575" s="1">
        <v>3</v>
      </c>
      <c r="J575" s="1">
        <v>0.22</v>
      </c>
    </row>
    <row r="576" spans="1:10" ht="12.5" x14ac:dyDescent="0.25">
      <c r="A576" s="1">
        <v>575</v>
      </c>
      <c r="B576" s="2">
        <v>40569</v>
      </c>
      <c r="C576" s="1">
        <v>1</v>
      </c>
      <c r="D576" s="1">
        <v>0</v>
      </c>
      <c r="E576" s="1">
        <v>1</v>
      </c>
      <c r="F576" s="1">
        <v>5</v>
      </c>
      <c r="G576" s="1" t="b">
        <v>0</v>
      </c>
      <c r="H576" s="1">
        <v>3</v>
      </c>
      <c r="I576" s="1">
        <v>3</v>
      </c>
      <c r="J576" s="1">
        <v>0.2</v>
      </c>
    </row>
    <row r="577" spans="1:10" ht="12.5" x14ac:dyDescent="0.25">
      <c r="A577" s="1">
        <v>576</v>
      </c>
      <c r="B577" s="2">
        <v>40569</v>
      </c>
      <c r="C577" s="1">
        <v>1</v>
      </c>
      <c r="D577" s="1">
        <v>0</v>
      </c>
      <c r="E577" s="1">
        <v>1</v>
      </c>
      <c r="F577" s="1">
        <v>6</v>
      </c>
      <c r="G577" s="1" t="b">
        <v>0</v>
      </c>
      <c r="H577" s="1">
        <v>3</v>
      </c>
      <c r="I577" s="1">
        <v>3</v>
      </c>
      <c r="J577" s="1">
        <v>0.2</v>
      </c>
    </row>
    <row r="578" spans="1:10" ht="12.5" x14ac:dyDescent="0.25">
      <c r="A578" s="1">
        <v>577</v>
      </c>
      <c r="B578" s="2">
        <v>40569</v>
      </c>
      <c r="C578" s="1">
        <v>1</v>
      </c>
      <c r="D578" s="1">
        <v>0</v>
      </c>
      <c r="E578" s="1">
        <v>1</v>
      </c>
      <c r="F578" s="1">
        <v>7</v>
      </c>
      <c r="G578" s="1" t="b">
        <v>0</v>
      </c>
      <c r="H578" s="1">
        <v>3</v>
      </c>
      <c r="I578" s="1">
        <v>3</v>
      </c>
      <c r="J578" s="1">
        <v>0.22</v>
      </c>
    </row>
    <row r="579" spans="1:10" ht="12.5" x14ac:dyDescent="0.25">
      <c r="A579" s="1">
        <v>578</v>
      </c>
      <c r="B579" s="2">
        <v>40569</v>
      </c>
      <c r="C579" s="1">
        <v>1</v>
      </c>
      <c r="D579" s="1">
        <v>0</v>
      </c>
      <c r="E579" s="1">
        <v>1</v>
      </c>
      <c r="F579" s="1">
        <v>8</v>
      </c>
      <c r="G579" s="1" t="b">
        <v>0</v>
      </c>
      <c r="H579" s="1">
        <v>3</v>
      </c>
      <c r="I579" s="1">
        <v>3</v>
      </c>
      <c r="J579" s="1">
        <v>0.22</v>
      </c>
    </row>
    <row r="580" spans="1:10" ht="12.5" x14ac:dyDescent="0.25">
      <c r="A580" s="1">
        <v>579</v>
      </c>
      <c r="B580" s="2">
        <v>40569</v>
      </c>
      <c r="C580" s="1">
        <v>1</v>
      </c>
      <c r="D580" s="1">
        <v>0</v>
      </c>
      <c r="E580" s="1">
        <v>1</v>
      </c>
      <c r="F580" s="1">
        <v>9</v>
      </c>
      <c r="G580" s="1" t="b">
        <v>0</v>
      </c>
      <c r="H580" s="1">
        <v>3</v>
      </c>
      <c r="I580" s="1">
        <v>3</v>
      </c>
      <c r="J580" s="1">
        <v>0.22</v>
      </c>
    </row>
    <row r="581" spans="1:10" ht="12.5" x14ac:dyDescent="0.25">
      <c r="A581" s="1">
        <v>580</v>
      </c>
      <c r="B581" s="2">
        <v>40569</v>
      </c>
      <c r="C581" s="1">
        <v>1</v>
      </c>
      <c r="D581" s="1">
        <v>0</v>
      </c>
      <c r="E581" s="1">
        <v>1</v>
      </c>
      <c r="F581" s="1">
        <v>10</v>
      </c>
      <c r="G581" s="1" t="b">
        <v>0</v>
      </c>
      <c r="H581" s="1">
        <v>3</v>
      </c>
      <c r="I581" s="1">
        <v>3</v>
      </c>
      <c r="J581" s="1">
        <v>0.22</v>
      </c>
    </row>
    <row r="582" spans="1:10" ht="12.5" x14ac:dyDescent="0.25">
      <c r="A582" s="1">
        <v>581</v>
      </c>
      <c r="B582" s="2">
        <v>40569</v>
      </c>
      <c r="C582" s="1">
        <v>1</v>
      </c>
      <c r="D582" s="1">
        <v>0</v>
      </c>
      <c r="E582" s="1">
        <v>1</v>
      </c>
      <c r="F582" s="1">
        <v>11</v>
      </c>
      <c r="G582" s="1" t="b">
        <v>0</v>
      </c>
      <c r="H582" s="1">
        <v>3</v>
      </c>
      <c r="I582" s="1">
        <v>3</v>
      </c>
      <c r="J582" s="1">
        <v>0.22</v>
      </c>
    </row>
    <row r="583" spans="1:10" ht="12.5" x14ac:dyDescent="0.25">
      <c r="A583" s="1">
        <v>582</v>
      </c>
      <c r="B583" s="2">
        <v>40569</v>
      </c>
      <c r="C583" s="1">
        <v>1</v>
      </c>
      <c r="D583" s="1">
        <v>0</v>
      </c>
      <c r="E583" s="1">
        <v>1</v>
      </c>
      <c r="F583" s="1">
        <v>12</v>
      </c>
      <c r="G583" s="1" t="b">
        <v>0</v>
      </c>
      <c r="H583" s="1">
        <v>3</v>
      </c>
      <c r="I583" s="1">
        <v>3</v>
      </c>
      <c r="J583" s="1">
        <v>0.22</v>
      </c>
    </row>
    <row r="584" spans="1:10" ht="12.5" x14ac:dyDescent="0.25">
      <c r="A584" s="1">
        <v>583</v>
      </c>
      <c r="B584" s="2">
        <v>40569</v>
      </c>
      <c r="C584" s="1">
        <v>1</v>
      </c>
      <c r="D584" s="1">
        <v>0</v>
      </c>
      <c r="E584" s="1">
        <v>1</v>
      </c>
      <c r="F584" s="1">
        <v>13</v>
      </c>
      <c r="G584" s="1" t="b">
        <v>0</v>
      </c>
      <c r="H584" s="1">
        <v>3</v>
      </c>
      <c r="I584" s="1">
        <v>3</v>
      </c>
      <c r="J584" s="1">
        <v>0.22</v>
      </c>
    </row>
    <row r="585" spans="1:10" ht="12.5" x14ac:dyDescent="0.25">
      <c r="A585" s="1">
        <v>584</v>
      </c>
      <c r="B585" s="2">
        <v>40569</v>
      </c>
      <c r="C585" s="1">
        <v>1</v>
      </c>
      <c r="D585" s="1">
        <v>0</v>
      </c>
      <c r="E585" s="1">
        <v>1</v>
      </c>
      <c r="F585" s="1">
        <v>14</v>
      </c>
      <c r="G585" s="1" t="b">
        <v>0</v>
      </c>
      <c r="H585" s="1">
        <v>3</v>
      </c>
      <c r="I585" s="1">
        <v>3</v>
      </c>
      <c r="J585" s="1">
        <v>0.22</v>
      </c>
    </row>
    <row r="586" spans="1:10" ht="12.5" x14ac:dyDescent="0.25">
      <c r="A586" s="1">
        <v>585</v>
      </c>
      <c r="B586" s="2">
        <v>40569</v>
      </c>
      <c r="C586" s="1">
        <v>1</v>
      </c>
      <c r="D586" s="1">
        <v>0</v>
      </c>
      <c r="E586" s="1">
        <v>1</v>
      </c>
      <c r="F586" s="1">
        <v>15</v>
      </c>
      <c r="G586" s="1" t="b">
        <v>0</v>
      </c>
      <c r="H586" s="1">
        <v>3</v>
      </c>
      <c r="I586" s="1">
        <v>3</v>
      </c>
      <c r="J586" s="1">
        <v>0.22</v>
      </c>
    </row>
    <row r="587" spans="1:10" ht="12.5" x14ac:dyDescent="0.25">
      <c r="A587" s="1">
        <v>586</v>
      </c>
      <c r="B587" s="2">
        <v>40569</v>
      </c>
      <c r="C587" s="1">
        <v>1</v>
      </c>
      <c r="D587" s="1">
        <v>0</v>
      </c>
      <c r="E587" s="1">
        <v>1</v>
      </c>
      <c r="F587" s="1">
        <v>16</v>
      </c>
      <c r="G587" s="1" t="b">
        <v>0</v>
      </c>
      <c r="H587" s="1">
        <v>3</v>
      </c>
      <c r="I587" s="1">
        <v>4</v>
      </c>
      <c r="J587" s="1">
        <v>0.22</v>
      </c>
    </row>
    <row r="588" spans="1:10" ht="12.5" x14ac:dyDescent="0.25">
      <c r="A588" s="1">
        <v>587</v>
      </c>
      <c r="B588" s="2">
        <v>40569</v>
      </c>
      <c r="C588" s="1">
        <v>1</v>
      </c>
      <c r="D588" s="1">
        <v>0</v>
      </c>
      <c r="E588" s="1">
        <v>1</v>
      </c>
      <c r="F588" s="1">
        <v>17</v>
      </c>
      <c r="G588" s="1" t="b">
        <v>0</v>
      </c>
      <c r="H588" s="1">
        <v>3</v>
      </c>
      <c r="I588" s="1">
        <v>3</v>
      </c>
      <c r="J588" s="1">
        <v>0.2</v>
      </c>
    </row>
    <row r="589" spans="1:10" ht="12.5" x14ac:dyDescent="0.25">
      <c r="A589" s="1">
        <v>588</v>
      </c>
      <c r="B589" s="2">
        <v>40570</v>
      </c>
      <c r="C589" s="1">
        <v>1</v>
      </c>
      <c r="D589" s="1">
        <v>0</v>
      </c>
      <c r="E589" s="1">
        <v>1</v>
      </c>
      <c r="F589" s="1">
        <v>16</v>
      </c>
      <c r="G589" s="1" t="b">
        <v>0</v>
      </c>
      <c r="H589" s="1">
        <v>4</v>
      </c>
      <c r="I589" s="1">
        <v>1</v>
      </c>
      <c r="J589" s="1">
        <v>0.22</v>
      </c>
    </row>
    <row r="590" spans="1:10" ht="12.5" x14ac:dyDescent="0.25">
      <c r="A590" s="1">
        <v>589</v>
      </c>
      <c r="B590" s="2">
        <v>40570</v>
      </c>
      <c r="C590" s="1">
        <v>1</v>
      </c>
      <c r="D590" s="1">
        <v>0</v>
      </c>
      <c r="E590" s="1">
        <v>1</v>
      </c>
      <c r="F590" s="1">
        <v>17</v>
      </c>
      <c r="G590" s="1" t="b">
        <v>0</v>
      </c>
      <c r="H590" s="1">
        <v>4</v>
      </c>
      <c r="I590" s="1">
        <v>1</v>
      </c>
      <c r="J590" s="1">
        <v>0.22</v>
      </c>
    </row>
    <row r="591" spans="1:10" ht="12.5" x14ac:dyDescent="0.25">
      <c r="A591" s="1">
        <v>590</v>
      </c>
      <c r="B591" s="2">
        <v>40570</v>
      </c>
      <c r="C591" s="1">
        <v>1</v>
      </c>
      <c r="D591" s="1">
        <v>0</v>
      </c>
      <c r="E591" s="1">
        <v>1</v>
      </c>
      <c r="F591" s="1">
        <v>18</v>
      </c>
      <c r="G591" s="1" t="b">
        <v>0</v>
      </c>
      <c r="H591" s="1">
        <v>4</v>
      </c>
      <c r="I591" s="1">
        <v>1</v>
      </c>
      <c r="J591" s="1">
        <v>0.2</v>
      </c>
    </row>
    <row r="592" spans="1:10" ht="12.5" x14ac:dyDescent="0.25">
      <c r="A592" s="1">
        <v>591</v>
      </c>
      <c r="B592" s="2">
        <v>40570</v>
      </c>
      <c r="C592" s="1">
        <v>1</v>
      </c>
      <c r="D592" s="1">
        <v>0</v>
      </c>
      <c r="E592" s="1">
        <v>1</v>
      </c>
      <c r="F592" s="1">
        <v>19</v>
      </c>
      <c r="G592" s="1" t="b">
        <v>0</v>
      </c>
      <c r="H592" s="1">
        <v>4</v>
      </c>
      <c r="I592" s="1">
        <v>1</v>
      </c>
      <c r="J592" s="1">
        <v>0.2</v>
      </c>
    </row>
    <row r="593" spans="1:10" ht="12.5" x14ac:dyDescent="0.25">
      <c r="A593" s="1">
        <v>592</v>
      </c>
      <c r="B593" s="2">
        <v>40570</v>
      </c>
      <c r="C593" s="1">
        <v>1</v>
      </c>
      <c r="D593" s="1">
        <v>0</v>
      </c>
      <c r="E593" s="1">
        <v>1</v>
      </c>
      <c r="F593" s="1">
        <v>20</v>
      </c>
      <c r="G593" s="1" t="b">
        <v>0</v>
      </c>
      <c r="H593" s="1">
        <v>4</v>
      </c>
      <c r="I593" s="1">
        <v>1</v>
      </c>
      <c r="J593" s="1">
        <v>0.18</v>
      </c>
    </row>
    <row r="594" spans="1:10" ht="12.5" x14ac:dyDescent="0.25">
      <c r="A594" s="1">
        <v>593</v>
      </c>
      <c r="B594" s="2">
        <v>40570</v>
      </c>
      <c r="C594" s="1">
        <v>1</v>
      </c>
      <c r="D594" s="1">
        <v>0</v>
      </c>
      <c r="E594" s="1">
        <v>1</v>
      </c>
      <c r="F594" s="1">
        <v>21</v>
      </c>
      <c r="G594" s="1" t="b">
        <v>0</v>
      </c>
      <c r="H594" s="1">
        <v>4</v>
      </c>
      <c r="I594" s="1">
        <v>1</v>
      </c>
      <c r="J594" s="1">
        <v>0.18</v>
      </c>
    </row>
    <row r="595" spans="1:10" ht="12.5" x14ac:dyDescent="0.25">
      <c r="A595" s="1">
        <v>594</v>
      </c>
      <c r="B595" s="2">
        <v>40570</v>
      </c>
      <c r="C595" s="1">
        <v>1</v>
      </c>
      <c r="D595" s="1">
        <v>0</v>
      </c>
      <c r="E595" s="1">
        <v>1</v>
      </c>
      <c r="F595" s="1">
        <v>22</v>
      </c>
      <c r="G595" s="1" t="b">
        <v>0</v>
      </c>
      <c r="H595" s="1">
        <v>4</v>
      </c>
      <c r="I595" s="1">
        <v>1</v>
      </c>
      <c r="J595" s="1">
        <v>0.18</v>
      </c>
    </row>
    <row r="596" spans="1:10" ht="12.5" x14ac:dyDescent="0.25">
      <c r="A596" s="1">
        <v>595</v>
      </c>
      <c r="B596" s="2">
        <v>40570</v>
      </c>
      <c r="C596" s="1">
        <v>1</v>
      </c>
      <c r="D596" s="1">
        <v>0</v>
      </c>
      <c r="E596" s="1">
        <v>1</v>
      </c>
      <c r="F596" s="1">
        <v>23</v>
      </c>
      <c r="G596" s="1" t="b">
        <v>0</v>
      </c>
      <c r="H596" s="1">
        <v>4</v>
      </c>
      <c r="I596" s="1">
        <v>1</v>
      </c>
      <c r="J596" s="1">
        <v>0.18</v>
      </c>
    </row>
    <row r="597" spans="1:10" ht="12.5" x14ac:dyDescent="0.25">
      <c r="A597" s="1">
        <v>596</v>
      </c>
      <c r="B597" s="2">
        <v>40571</v>
      </c>
      <c r="C597" s="1">
        <v>1</v>
      </c>
      <c r="D597" s="1">
        <v>0</v>
      </c>
      <c r="E597" s="1">
        <v>1</v>
      </c>
      <c r="F597" s="1">
        <v>0</v>
      </c>
      <c r="G597" s="1" t="b">
        <v>0</v>
      </c>
      <c r="H597" s="1">
        <v>5</v>
      </c>
      <c r="I597" s="1">
        <v>2</v>
      </c>
      <c r="J597" s="1">
        <v>0.2</v>
      </c>
    </row>
    <row r="598" spans="1:10" ht="12.5" x14ac:dyDescent="0.25">
      <c r="A598" s="1">
        <v>597</v>
      </c>
      <c r="B598" s="2">
        <v>40571</v>
      </c>
      <c r="C598" s="1">
        <v>1</v>
      </c>
      <c r="D598" s="1">
        <v>0</v>
      </c>
      <c r="E598" s="1">
        <v>1</v>
      </c>
      <c r="F598" s="1">
        <v>1</v>
      </c>
      <c r="G598" s="1" t="b">
        <v>0</v>
      </c>
      <c r="H598" s="1">
        <v>5</v>
      </c>
      <c r="I598" s="1">
        <v>2</v>
      </c>
      <c r="J598" s="1">
        <v>0.2</v>
      </c>
    </row>
    <row r="599" spans="1:10" ht="12.5" x14ac:dyDescent="0.25">
      <c r="A599" s="1">
        <v>598</v>
      </c>
      <c r="B599" s="2">
        <v>40571</v>
      </c>
      <c r="C599" s="1">
        <v>1</v>
      </c>
      <c r="D599" s="1">
        <v>0</v>
      </c>
      <c r="E599" s="1">
        <v>1</v>
      </c>
      <c r="F599" s="1">
        <v>2</v>
      </c>
      <c r="G599" s="1" t="b">
        <v>0</v>
      </c>
      <c r="H599" s="1">
        <v>5</v>
      </c>
      <c r="I599" s="1">
        <v>2</v>
      </c>
      <c r="J599" s="1">
        <v>0.2</v>
      </c>
    </row>
    <row r="600" spans="1:10" ht="12.5" x14ac:dyDescent="0.25">
      <c r="A600" s="1">
        <v>599</v>
      </c>
      <c r="B600" s="2">
        <v>40571</v>
      </c>
      <c r="C600" s="1">
        <v>1</v>
      </c>
      <c r="D600" s="1">
        <v>0</v>
      </c>
      <c r="E600" s="1">
        <v>1</v>
      </c>
      <c r="F600" s="1">
        <v>3</v>
      </c>
      <c r="G600" s="1" t="b">
        <v>0</v>
      </c>
      <c r="H600" s="1">
        <v>5</v>
      </c>
      <c r="I600" s="1">
        <v>2</v>
      </c>
      <c r="J600" s="1">
        <v>0.2</v>
      </c>
    </row>
    <row r="601" spans="1:10" ht="12.5" x14ac:dyDescent="0.25">
      <c r="A601" s="1">
        <v>600</v>
      </c>
      <c r="B601" s="2">
        <v>40571</v>
      </c>
      <c r="C601" s="1">
        <v>1</v>
      </c>
      <c r="D601" s="1">
        <v>0</v>
      </c>
      <c r="E601" s="1">
        <v>1</v>
      </c>
      <c r="F601" s="1">
        <v>5</v>
      </c>
      <c r="G601" s="1" t="b">
        <v>0</v>
      </c>
      <c r="H601" s="1">
        <v>5</v>
      </c>
      <c r="I601" s="1">
        <v>2</v>
      </c>
      <c r="J601" s="1">
        <v>0.18</v>
      </c>
    </row>
    <row r="602" spans="1:10" ht="12.5" x14ac:dyDescent="0.25">
      <c r="A602" s="1">
        <v>601</v>
      </c>
      <c r="B602" s="2">
        <v>40571</v>
      </c>
      <c r="C602" s="1">
        <v>1</v>
      </c>
      <c r="D602" s="1">
        <v>0</v>
      </c>
      <c r="E602" s="1">
        <v>1</v>
      </c>
      <c r="F602" s="1">
        <v>6</v>
      </c>
      <c r="G602" s="1" t="b">
        <v>0</v>
      </c>
      <c r="H602" s="1">
        <v>5</v>
      </c>
      <c r="I602" s="1">
        <v>2</v>
      </c>
      <c r="J602" s="1">
        <v>0.18</v>
      </c>
    </row>
    <row r="603" spans="1:10" ht="12.5" x14ac:dyDescent="0.25">
      <c r="A603" s="1">
        <v>602</v>
      </c>
      <c r="B603" s="2">
        <v>40571</v>
      </c>
      <c r="C603" s="1">
        <v>1</v>
      </c>
      <c r="D603" s="1">
        <v>0</v>
      </c>
      <c r="E603" s="1">
        <v>1</v>
      </c>
      <c r="F603" s="1">
        <v>7</v>
      </c>
      <c r="G603" s="1" t="b">
        <v>0</v>
      </c>
      <c r="H603" s="1">
        <v>5</v>
      </c>
      <c r="I603" s="1">
        <v>2</v>
      </c>
      <c r="J603" s="1">
        <v>0.16</v>
      </c>
    </row>
    <row r="604" spans="1:10" ht="12.5" x14ac:dyDescent="0.25">
      <c r="A604" s="1">
        <v>603</v>
      </c>
      <c r="B604" s="2">
        <v>40571</v>
      </c>
      <c r="C604" s="1">
        <v>1</v>
      </c>
      <c r="D604" s="1">
        <v>0</v>
      </c>
      <c r="E604" s="1">
        <v>1</v>
      </c>
      <c r="F604" s="1">
        <v>8</v>
      </c>
      <c r="G604" s="1" t="b">
        <v>0</v>
      </c>
      <c r="H604" s="1">
        <v>5</v>
      </c>
      <c r="I604" s="1">
        <v>2</v>
      </c>
      <c r="J604" s="1">
        <v>0.16</v>
      </c>
    </row>
    <row r="605" spans="1:10" ht="12.5" x14ac:dyDescent="0.25">
      <c r="A605" s="1">
        <v>604</v>
      </c>
      <c r="B605" s="2">
        <v>40571</v>
      </c>
      <c r="C605" s="1">
        <v>1</v>
      </c>
      <c r="D605" s="1">
        <v>0</v>
      </c>
      <c r="E605" s="1">
        <v>1</v>
      </c>
      <c r="F605" s="1">
        <v>9</v>
      </c>
      <c r="G605" s="1" t="b">
        <v>0</v>
      </c>
      <c r="H605" s="1">
        <v>5</v>
      </c>
      <c r="I605" s="1">
        <v>3</v>
      </c>
      <c r="J605" s="1">
        <v>0.18</v>
      </c>
    </row>
    <row r="606" spans="1:10" ht="12.5" x14ac:dyDescent="0.25">
      <c r="A606" s="1">
        <v>605</v>
      </c>
      <c r="B606" s="2">
        <v>40571</v>
      </c>
      <c r="C606" s="1">
        <v>1</v>
      </c>
      <c r="D606" s="1">
        <v>0</v>
      </c>
      <c r="E606" s="1">
        <v>1</v>
      </c>
      <c r="F606" s="1">
        <v>10</v>
      </c>
      <c r="G606" s="1" t="b">
        <v>0</v>
      </c>
      <c r="H606" s="1">
        <v>5</v>
      </c>
      <c r="I606" s="1">
        <v>3</v>
      </c>
      <c r="J606" s="1">
        <v>0.18</v>
      </c>
    </row>
    <row r="607" spans="1:10" ht="12.5" x14ac:dyDescent="0.25">
      <c r="A607" s="1">
        <v>606</v>
      </c>
      <c r="B607" s="2">
        <v>40571</v>
      </c>
      <c r="C607" s="1">
        <v>1</v>
      </c>
      <c r="D607" s="1">
        <v>0</v>
      </c>
      <c r="E607" s="1">
        <v>1</v>
      </c>
      <c r="F607" s="1">
        <v>11</v>
      </c>
      <c r="G607" s="1" t="b">
        <v>0</v>
      </c>
      <c r="H607" s="1">
        <v>5</v>
      </c>
      <c r="I607" s="1">
        <v>3</v>
      </c>
      <c r="J607" s="1">
        <v>0.18</v>
      </c>
    </row>
    <row r="608" spans="1:10" ht="12.5" x14ac:dyDescent="0.25">
      <c r="A608" s="1">
        <v>607</v>
      </c>
      <c r="B608" s="2">
        <v>40571</v>
      </c>
      <c r="C608" s="1">
        <v>1</v>
      </c>
      <c r="D608" s="1">
        <v>0</v>
      </c>
      <c r="E608" s="1">
        <v>1</v>
      </c>
      <c r="F608" s="1">
        <v>12</v>
      </c>
      <c r="G608" s="1" t="b">
        <v>0</v>
      </c>
      <c r="H608" s="1">
        <v>5</v>
      </c>
      <c r="I608" s="1">
        <v>3</v>
      </c>
      <c r="J608" s="1">
        <v>0.18</v>
      </c>
    </row>
    <row r="609" spans="1:10" ht="12.5" x14ac:dyDescent="0.25">
      <c r="A609" s="1">
        <v>608</v>
      </c>
      <c r="B609" s="2">
        <v>40571</v>
      </c>
      <c r="C609" s="1">
        <v>1</v>
      </c>
      <c r="D609" s="1">
        <v>0</v>
      </c>
      <c r="E609" s="1">
        <v>1</v>
      </c>
      <c r="F609" s="1">
        <v>13</v>
      </c>
      <c r="G609" s="1" t="b">
        <v>0</v>
      </c>
      <c r="H609" s="1">
        <v>5</v>
      </c>
      <c r="I609" s="1">
        <v>3</v>
      </c>
      <c r="J609" s="1">
        <v>0.18</v>
      </c>
    </row>
    <row r="610" spans="1:10" ht="12.5" x14ac:dyDescent="0.25">
      <c r="A610" s="1">
        <v>609</v>
      </c>
      <c r="B610" s="2">
        <v>40571</v>
      </c>
      <c r="C610" s="1">
        <v>1</v>
      </c>
      <c r="D610" s="1">
        <v>0</v>
      </c>
      <c r="E610" s="1">
        <v>1</v>
      </c>
      <c r="F610" s="1">
        <v>14</v>
      </c>
      <c r="G610" s="1" t="b">
        <v>0</v>
      </c>
      <c r="H610" s="1">
        <v>5</v>
      </c>
      <c r="I610" s="1">
        <v>3</v>
      </c>
      <c r="J610" s="1">
        <v>0.22</v>
      </c>
    </row>
    <row r="611" spans="1:10" ht="12.5" x14ac:dyDescent="0.25">
      <c r="A611" s="1">
        <v>610</v>
      </c>
      <c r="B611" s="2">
        <v>40571</v>
      </c>
      <c r="C611" s="1">
        <v>1</v>
      </c>
      <c r="D611" s="1">
        <v>0</v>
      </c>
      <c r="E611" s="1">
        <v>1</v>
      </c>
      <c r="F611" s="1">
        <v>15</v>
      </c>
      <c r="G611" s="1" t="b">
        <v>0</v>
      </c>
      <c r="H611" s="1">
        <v>5</v>
      </c>
      <c r="I611" s="1">
        <v>2</v>
      </c>
      <c r="J611" s="1">
        <v>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43CCC-8EFD-485F-9A4A-453082433227}">
  <sheetPr>
    <tabColor rgb="FFFF0000"/>
  </sheetPr>
  <dimension ref="A1:K1000"/>
  <sheetViews>
    <sheetView workbookViewId="0">
      <selection activeCell="L21" sqref="L21"/>
    </sheetView>
  </sheetViews>
  <sheetFormatPr defaultColWidth="14.453125" defaultRowHeight="12.5" x14ac:dyDescent="0.25"/>
  <cols>
    <col min="1" max="1" width="14" customWidth="1"/>
    <col min="2" max="2" width="9.08984375" customWidth="1"/>
    <col min="3" max="4" width="8.7265625" customWidth="1"/>
    <col min="5" max="5" width="13" customWidth="1"/>
    <col min="6" max="6" width="8.81640625" customWidth="1"/>
    <col min="7" max="7" width="12.08984375" customWidth="1"/>
    <col min="8" max="8" width="5.7265625" customWidth="1"/>
    <col min="9" max="10" width="8.7265625" customWidth="1"/>
    <col min="11" max="11" width="17.26953125" customWidth="1"/>
    <col min="12" max="26" width="8.7265625" customWidth="1"/>
  </cols>
  <sheetData>
    <row r="1" spans="1:11" ht="14" x14ac:dyDescent="0.3">
      <c r="A1" s="3" t="s">
        <v>10</v>
      </c>
      <c r="B1" s="3" t="s">
        <v>0</v>
      </c>
      <c r="C1" s="3" t="s">
        <v>11</v>
      </c>
      <c r="D1" s="3" t="s">
        <v>12</v>
      </c>
      <c r="E1" s="3" t="s">
        <v>13</v>
      </c>
      <c r="F1" s="3" t="s">
        <v>14</v>
      </c>
      <c r="G1" s="3" t="s">
        <v>15</v>
      </c>
      <c r="H1" s="3" t="s">
        <v>16</v>
      </c>
    </row>
    <row r="2" spans="1:11" ht="14" x14ac:dyDescent="0.3">
      <c r="A2" s="3">
        <v>0</v>
      </c>
      <c r="B2" s="3">
        <v>1</v>
      </c>
      <c r="C2" s="3">
        <v>0.28789999999999999</v>
      </c>
      <c r="D2" s="3">
        <v>0.81</v>
      </c>
      <c r="E2" s="3">
        <v>0</v>
      </c>
      <c r="F2" s="3">
        <v>3</v>
      </c>
      <c r="G2" s="3">
        <v>13</v>
      </c>
      <c r="H2" s="3">
        <v>16</v>
      </c>
    </row>
    <row r="3" spans="1:11" ht="14" x14ac:dyDescent="0.3">
      <c r="A3" s="3">
        <v>1</v>
      </c>
      <c r="B3" s="3">
        <v>2</v>
      </c>
      <c r="C3" s="3">
        <v>0.2727</v>
      </c>
      <c r="D3" s="3">
        <v>0.8</v>
      </c>
      <c r="E3" s="3">
        <v>0</v>
      </c>
      <c r="F3" s="3">
        <v>8</v>
      </c>
      <c r="G3" s="3">
        <v>32</v>
      </c>
      <c r="H3" s="3">
        <v>40</v>
      </c>
    </row>
    <row r="4" spans="1:11" ht="14" x14ac:dyDescent="0.3">
      <c r="A4" s="3">
        <v>2</v>
      </c>
      <c r="B4" s="3">
        <v>3</v>
      </c>
      <c r="C4" s="3">
        <v>0.2727</v>
      </c>
      <c r="D4" s="3">
        <v>0.8</v>
      </c>
      <c r="E4" s="3">
        <v>0</v>
      </c>
      <c r="F4" s="3">
        <v>5</v>
      </c>
      <c r="G4" s="3">
        <v>27</v>
      </c>
      <c r="H4" s="3">
        <v>32</v>
      </c>
    </row>
    <row r="5" spans="1:11" ht="14" x14ac:dyDescent="0.3">
      <c r="A5" s="3">
        <v>3</v>
      </c>
      <c r="B5" s="3">
        <v>4</v>
      </c>
      <c r="C5" s="3">
        <v>0.28789999999999999</v>
      </c>
      <c r="D5" s="3">
        <v>0.75</v>
      </c>
      <c r="E5" s="3">
        <v>0</v>
      </c>
      <c r="F5" s="3">
        <v>3</v>
      </c>
      <c r="G5" s="3">
        <v>10</v>
      </c>
      <c r="H5" s="3">
        <v>13</v>
      </c>
    </row>
    <row r="6" spans="1:11" ht="14" x14ac:dyDescent="0.3">
      <c r="A6" s="3">
        <v>4</v>
      </c>
      <c r="B6" s="3">
        <v>5</v>
      </c>
      <c r="C6" s="3">
        <v>0.28789999999999999</v>
      </c>
      <c r="D6" s="3">
        <v>0.75</v>
      </c>
      <c r="E6" s="3">
        <v>0</v>
      </c>
      <c r="F6" s="3">
        <v>0</v>
      </c>
      <c r="G6" s="3">
        <v>1</v>
      </c>
      <c r="H6" s="3">
        <v>1</v>
      </c>
    </row>
    <row r="7" spans="1:11" ht="14" x14ac:dyDescent="0.3">
      <c r="A7" s="3">
        <v>5</v>
      </c>
      <c r="B7" s="3">
        <v>6</v>
      </c>
      <c r="C7" s="3">
        <v>0.2576</v>
      </c>
      <c r="D7" s="3">
        <v>0.75</v>
      </c>
      <c r="E7" s="3">
        <v>8.9599999999999999E-2</v>
      </c>
      <c r="F7" s="3">
        <v>0</v>
      </c>
      <c r="G7" s="3">
        <v>1</v>
      </c>
      <c r="H7" s="3">
        <v>1</v>
      </c>
    </row>
    <row r="8" spans="1:11" ht="14" x14ac:dyDescent="0.3">
      <c r="A8" s="3">
        <v>6</v>
      </c>
      <c r="B8" s="3">
        <v>7</v>
      </c>
      <c r="C8" s="3">
        <v>0.2727</v>
      </c>
      <c r="D8" s="3">
        <v>0.8</v>
      </c>
      <c r="E8" s="3">
        <v>0</v>
      </c>
      <c r="F8" s="3">
        <v>2</v>
      </c>
      <c r="G8" s="3">
        <v>0</v>
      </c>
      <c r="H8" s="3">
        <v>2</v>
      </c>
    </row>
    <row r="9" spans="1:11" ht="14" x14ac:dyDescent="0.3">
      <c r="A9" s="3">
        <v>7</v>
      </c>
      <c r="B9" s="3">
        <v>8</v>
      </c>
      <c r="C9" s="3">
        <v>0.2576</v>
      </c>
      <c r="D9" s="3">
        <v>0.86</v>
      </c>
      <c r="E9" s="3">
        <v>0</v>
      </c>
      <c r="F9" s="3">
        <v>1</v>
      </c>
      <c r="G9" s="3">
        <v>2</v>
      </c>
      <c r="H9" s="3">
        <v>3</v>
      </c>
    </row>
    <row r="10" spans="1:11" ht="14" x14ac:dyDescent="0.3">
      <c r="A10" s="3">
        <v>8</v>
      </c>
      <c r="B10" s="3">
        <v>9</v>
      </c>
      <c r="C10">
        <v>0.199934891</v>
      </c>
      <c r="D10" s="3">
        <v>0.75</v>
      </c>
      <c r="E10" s="3">
        <v>0</v>
      </c>
      <c r="F10" s="3">
        <v>1</v>
      </c>
      <c r="G10" s="3">
        <v>7</v>
      </c>
      <c r="H10" s="3">
        <v>8</v>
      </c>
    </row>
    <row r="11" spans="1:11" ht="14" x14ac:dyDescent="0.3">
      <c r="A11" s="3">
        <v>9</v>
      </c>
      <c r="B11" s="3">
        <v>10</v>
      </c>
      <c r="C11" s="3">
        <v>0.34849999999999998</v>
      </c>
      <c r="D11" s="3">
        <v>0.76</v>
      </c>
      <c r="E11" s="3">
        <v>0</v>
      </c>
      <c r="F11" s="3">
        <v>8</v>
      </c>
      <c r="G11" s="3">
        <v>6</v>
      </c>
      <c r="H11" s="3">
        <v>14</v>
      </c>
      <c r="K11">
        <f>AVERAGE(Table2[atemp])</f>
        <v>0.19993489147704935</v>
      </c>
    </row>
    <row r="12" spans="1:11" ht="14" x14ac:dyDescent="0.3">
      <c r="A12" s="3">
        <v>10</v>
      </c>
      <c r="B12" s="3">
        <v>11</v>
      </c>
      <c r="C12" s="3">
        <v>0.39389999999999997</v>
      </c>
      <c r="D12" s="3">
        <v>0.76</v>
      </c>
      <c r="E12" s="3">
        <v>0.25369999999999998</v>
      </c>
      <c r="F12" s="3">
        <v>12</v>
      </c>
      <c r="G12" s="3">
        <v>24</v>
      </c>
      <c r="H12" s="3">
        <v>36</v>
      </c>
    </row>
    <row r="13" spans="1:11" ht="14" x14ac:dyDescent="0.3">
      <c r="A13" s="3">
        <v>11</v>
      </c>
      <c r="B13" s="3">
        <v>12</v>
      </c>
      <c r="C13" s="3">
        <v>0.33329999999999999</v>
      </c>
      <c r="D13" s="3">
        <v>0.81</v>
      </c>
      <c r="E13" s="3">
        <v>0.28360000000000002</v>
      </c>
      <c r="F13" s="3">
        <v>26</v>
      </c>
      <c r="G13" s="3">
        <v>30</v>
      </c>
      <c r="H13" s="3">
        <v>56</v>
      </c>
    </row>
    <row r="14" spans="1:11" ht="14" x14ac:dyDescent="0.3">
      <c r="A14" s="3">
        <v>12</v>
      </c>
      <c r="B14" s="3">
        <v>13</v>
      </c>
      <c r="C14" s="3">
        <v>0.42420000000000002</v>
      </c>
      <c r="D14" s="3">
        <v>0.77</v>
      </c>
      <c r="E14" s="3">
        <v>0.28360000000000002</v>
      </c>
      <c r="F14" s="3">
        <v>29</v>
      </c>
      <c r="G14" s="3">
        <v>55</v>
      </c>
      <c r="H14" s="3">
        <v>84</v>
      </c>
    </row>
    <row r="15" spans="1:11" ht="14" x14ac:dyDescent="0.3">
      <c r="A15" s="3">
        <v>13</v>
      </c>
      <c r="B15" s="3">
        <v>14</v>
      </c>
      <c r="C15" s="3">
        <v>0.45450000000000002</v>
      </c>
      <c r="D15" s="3">
        <v>0.72</v>
      </c>
      <c r="E15" s="3">
        <v>0.29849999999999999</v>
      </c>
      <c r="F15" s="3">
        <v>47</v>
      </c>
      <c r="G15" s="3">
        <v>47</v>
      </c>
      <c r="H15" s="3">
        <v>94</v>
      </c>
    </row>
    <row r="16" spans="1:11" ht="14" x14ac:dyDescent="0.3">
      <c r="A16" s="3">
        <v>14</v>
      </c>
      <c r="B16" s="3">
        <v>15</v>
      </c>
      <c r="C16" s="3">
        <v>0.45450000000000002</v>
      </c>
      <c r="D16" s="3">
        <v>0.72</v>
      </c>
      <c r="E16" s="3">
        <v>0.28360000000000002</v>
      </c>
      <c r="F16" s="3">
        <v>35</v>
      </c>
      <c r="G16" s="3">
        <v>71</v>
      </c>
      <c r="H16" s="3">
        <v>106</v>
      </c>
    </row>
    <row r="17" spans="1:8" ht="14" x14ac:dyDescent="0.3">
      <c r="A17" s="3">
        <v>15</v>
      </c>
      <c r="B17" s="3">
        <v>16</v>
      </c>
      <c r="C17" s="3">
        <v>0.43940000000000001</v>
      </c>
      <c r="D17" s="3">
        <v>0.77</v>
      </c>
      <c r="E17" s="3">
        <v>0.29849999999999999</v>
      </c>
      <c r="F17" s="3">
        <v>40</v>
      </c>
      <c r="G17" s="3">
        <v>70</v>
      </c>
      <c r="H17" s="3">
        <v>110</v>
      </c>
    </row>
    <row r="18" spans="1:8" ht="14" x14ac:dyDescent="0.3">
      <c r="A18" s="3">
        <v>16</v>
      </c>
      <c r="B18" s="3">
        <v>17</v>
      </c>
      <c r="C18" s="3">
        <v>0.42420000000000002</v>
      </c>
      <c r="D18" s="3">
        <v>0.82</v>
      </c>
      <c r="E18" s="3">
        <v>0.29849999999999999</v>
      </c>
      <c r="F18" s="3">
        <v>41</v>
      </c>
      <c r="G18" s="3">
        <v>52</v>
      </c>
      <c r="H18" s="3">
        <v>93</v>
      </c>
    </row>
    <row r="19" spans="1:8" ht="14" x14ac:dyDescent="0.3">
      <c r="A19" s="3">
        <v>17</v>
      </c>
      <c r="B19" s="3">
        <v>18</v>
      </c>
      <c r="C19">
        <v>0.199934891</v>
      </c>
      <c r="D19" s="3">
        <v>0.82</v>
      </c>
      <c r="E19" s="3">
        <v>0.28360000000000002</v>
      </c>
      <c r="F19" s="3">
        <v>15</v>
      </c>
      <c r="G19" s="3">
        <v>52</v>
      </c>
      <c r="H19" s="3">
        <v>67</v>
      </c>
    </row>
    <row r="20" spans="1:8" ht="14" x14ac:dyDescent="0.3">
      <c r="A20" s="3">
        <v>18</v>
      </c>
      <c r="B20" s="3">
        <v>19</v>
      </c>
      <c r="C20" s="3">
        <v>0.42420000000000002</v>
      </c>
      <c r="D20" s="3">
        <v>0.88</v>
      </c>
      <c r="E20" s="3">
        <v>0.25369999999999998</v>
      </c>
      <c r="F20" s="3">
        <v>9</v>
      </c>
      <c r="G20" s="3">
        <v>26</v>
      </c>
      <c r="H20" s="3">
        <v>35</v>
      </c>
    </row>
    <row r="21" spans="1:8" ht="15.75" customHeight="1" x14ac:dyDescent="0.3">
      <c r="A21" s="3">
        <v>19</v>
      </c>
      <c r="B21" s="3">
        <v>20</v>
      </c>
      <c r="C21" s="3">
        <v>0.42420000000000002</v>
      </c>
      <c r="D21" s="3">
        <v>0.88</v>
      </c>
      <c r="E21" s="3">
        <v>0.25369999999999998</v>
      </c>
      <c r="F21" s="3">
        <v>6</v>
      </c>
      <c r="G21" s="3">
        <v>31</v>
      </c>
      <c r="H21" s="3">
        <v>37</v>
      </c>
    </row>
    <row r="22" spans="1:8" ht="15.75" customHeight="1" x14ac:dyDescent="0.3">
      <c r="A22" s="3">
        <v>20</v>
      </c>
      <c r="B22" s="3">
        <v>21</v>
      </c>
      <c r="C22" s="3">
        <v>0.40910000000000002</v>
      </c>
      <c r="D22" s="3">
        <v>0.87</v>
      </c>
      <c r="E22" s="3">
        <v>0.25369999999999998</v>
      </c>
      <c r="F22" s="3">
        <v>11</v>
      </c>
      <c r="G22" s="3">
        <v>25</v>
      </c>
      <c r="H22" s="3">
        <v>36</v>
      </c>
    </row>
    <row r="23" spans="1:8" ht="15.75" customHeight="1" x14ac:dyDescent="0.3">
      <c r="A23" s="3">
        <v>21</v>
      </c>
      <c r="B23" s="3">
        <v>22</v>
      </c>
      <c r="C23" s="3">
        <v>0.40910000000000002</v>
      </c>
      <c r="D23" s="3">
        <v>0.87</v>
      </c>
      <c r="E23" s="3">
        <v>0.19400000000000001</v>
      </c>
      <c r="F23" s="3">
        <v>3</v>
      </c>
      <c r="G23" s="3">
        <v>31</v>
      </c>
      <c r="H23" s="3">
        <v>34</v>
      </c>
    </row>
    <row r="24" spans="1:8" ht="15.75" customHeight="1" x14ac:dyDescent="0.3">
      <c r="A24" s="3">
        <v>22</v>
      </c>
      <c r="B24" s="3">
        <v>23</v>
      </c>
      <c r="C24" s="3">
        <v>0.40910000000000002</v>
      </c>
      <c r="D24" s="3">
        <v>0.94</v>
      </c>
      <c r="E24" s="3">
        <v>0.22389999999999999</v>
      </c>
      <c r="F24" s="3">
        <v>11</v>
      </c>
      <c r="G24" s="3">
        <v>17</v>
      </c>
      <c r="H24" s="3">
        <v>28</v>
      </c>
    </row>
    <row r="25" spans="1:8" ht="15.75" customHeight="1" x14ac:dyDescent="0.3">
      <c r="A25" s="3">
        <v>23</v>
      </c>
      <c r="B25" s="3">
        <v>24</v>
      </c>
      <c r="C25">
        <v>0.199934891</v>
      </c>
      <c r="D25" s="3">
        <v>0.88</v>
      </c>
      <c r="E25" s="3">
        <v>0.29849999999999999</v>
      </c>
      <c r="F25" s="3">
        <v>15</v>
      </c>
      <c r="G25" s="3">
        <v>24</v>
      </c>
      <c r="H25" s="3">
        <v>39</v>
      </c>
    </row>
    <row r="26" spans="1:8" ht="15.75" customHeight="1" x14ac:dyDescent="0.3">
      <c r="A26" s="3">
        <v>24</v>
      </c>
      <c r="B26" s="3">
        <v>25</v>
      </c>
      <c r="C26" s="3">
        <v>0.45450000000000002</v>
      </c>
      <c r="D26" s="3">
        <v>0.88</v>
      </c>
      <c r="E26" s="3">
        <v>0.29849999999999999</v>
      </c>
      <c r="F26" s="3">
        <v>4</v>
      </c>
      <c r="G26" s="3">
        <v>13</v>
      </c>
      <c r="H26" s="3">
        <v>17</v>
      </c>
    </row>
    <row r="27" spans="1:8" ht="15.75" customHeight="1" x14ac:dyDescent="0.3">
      <c r="A27" s="3">
        <v>25</v>
      </c>
      <c r="B27" s="3">
        <v>26</v>
      </c>
      <c r="C27" s="3">
        <v>0.43940000000000001</v>
      </c>
      <c r="D27" s="3">
        <v>0.94</v>
      </c>
      <c r="E27" s="3">
        <v>0.25369999999999998</v>
      </c>
      <c r="F27" s="3">
        <v>1</v>
      </c>
      <c r="G27" s="3">
        <v>16</v>
      </c>
      <c r="H27" s="3">
        <v>17</v>
      </c>
    </row>
    <row r="28" spans="1:8" ht="15.75" customHeight="1" x14ac:dyDescent="0.3">
      <c r="A28" s="3">
        <v>26</v>
      </c>
      <c r="B28" s="3">
        <v>27</v>
      </c>
      <c r="C28" s="3">
        <v>0.42420000000000002</v>
      </c>
      <c r="D28" s="3">
        <v>1</v>
      </c>
      <c r="E28" s="3">
        <v>0.28360000000000002</v>
      </c>
      <c r="F28" s="3">
        <v>1</v>
      </c>
      <c r="G28" s="3">
        <v>8</v>
      </c>
      <c r="H28" s="3">
        <v>9</v>
      </c>
    </row>
    <row r="29" spans="1:8" ht="15.75" customHeight="1" x14ac:dyDescent="0.3">
      <c r="A29" s="3">
        <v>27</v>
      </c>
      <c r="B29" s="3">
        <v>28</v>
      </c>
      <c r="C29" s="3">
        <v>0.45450000000000002</v>
      </c>
      <c r="D29" s="3">
        <v>0.94</v>
      </c>
      <c r="E29" s="3">
        <v>0.19400000000000001</v>
      </c>
      <c r="F29" s="3">
        <v>2</v>
      </c>
      <c r="G29" s="3">
        <v>4</v>
      </c>
      <c r="H29" s="3">
        <v>6</v>
      </c>
    </row>
    <row r="30" spans="1:8" ht="15.75" customHeight="1" x14ac:dyDescent="0.3">
      <c r="A30" s="3">
        <v>28</v>
      </c>
      <c r="B30" s="3">
        <v>29</v>
      </c>
      <c r="C30">
        <v>0.199934891</v>
      </c>
      <c r="D30" s="3">
        <v>0.94</v>
      </c>
      <c r="E30" s="3">
        <v>0.19400000000000001</v>
      </c>
      <c r="F30" s="3">
        <v>2</v>
      </c>
      <c r="G30" s="3">
        <v>1</v>
      </c>
      <c r="H30" s="3">
        <v>3</v>
      </c>
    </row>
    <row r="31" spans="1:8" ht="15.75" customHeight="1" x14ac:dyDescent="0.3">
      <c r="A31" s="3">
        <v>29</v>
      </c>
      <c r="B31" s="3">
        <v>30</v>
      </c>
      <c r="C31" s="3">
        <v>0.42420000000000002</v>
      </c>
      <c r="D31" s="3">
        <v>0.77</v>
      </c>
      <c r="E31" s="3">
        <v>0.29849999999999999</v>
      </c>
      <c r="F31" s="3">
        <v>0</v>
      </c>
      <c r="G31" s="3">
        <v>2</v>
      </c>
      <c r="H31" s="3">
        <v>2</v>
      </c>
    </row>
    <row r="32" spans="1:8" ht="15.75" customHeight="1" x14ac:dyDescent="0.3">
      <c r="A32" s="3">
        <v>30</v>
      </c>
      <c r="B32" s="3">
        <v>31</v>
      </c>
      <c r="C32" s="3">
        <v>0.40910000000000002</v>
      </c>
      <c r="D32" s="3">
        <v>0.76</v>
      </c>
      <c r="E32" s="3">
        <v>0.19400000000000001</v>
      </c>
      <c r="F32" s="3">
        <v>0</v>
      </c>
      <c r="G32" s="3">
        <v>1</v>
      </c>
      <c r="H32" s="3">
        <v>1</v>
      </c>
    </row>
    <row r="33" spans="1:8" ht="15.75" customHeight="1" x14ac:dyDescent="0.3">
      <c r="A33" s="3">
        <v>31</v>
      </c>
      <c r="B33" s="3">
        <v>32</v>
      </c>
      <c r="C33" s="3">
        <v>0.40910000000000002</v>
      </c>
      <c r="D33" s="3">
        <v>0.71</v>
      </c>
      <c r="E33" s="3">
        <v>0.22389999999999999</v>
      </c>
      <c r="F33" s="3">
        <v>0</v>
      </c>
      <c r="G33" s="3">
        <v>8</v>
      </c>
      <c r="H33" s="3">
        <v>8</v>
      </c>
    </row>
    <row r="34" spans="1:8" ht="15.75" customHeight="1" x14ac:dyDescent="0.3">
      <c r="A34" s="3">
        <v>32</v>
      </c>
      <c r="B34" s="3">
        <v>33</v>
      </c>
      <c r="C34">
        <v>0.199934891</v>
      </c>
      <c r="D34" s="3">
        <v>0.76</v>
      </c>
      <c r="E34" s="3">
        <v>0.22389999999999999</v>
      </c>
      <c r="F34" s="3">
        <v>1</v>
      </c>
      <c r="G34" s="3">
        <v>19</v>
      </c>
      <c r="H34" s="3">
        <v>20</v>
      </c>
    </row>
    <row r="35" spans="1:8" ht="15.75" customHeight="1" x14ac:dyDescent="0.3">
      <c r="A35" s="3">
        <v>33</v>
      </c>
      <c r="B35" s="3">
        <v>34</v>
      </c>
      <c r="C35" s="3">
        <v>0.34849999999999998</v>
      </c>
      <c r="D35" s="3">
        <v>0.81</v>
      </c>
      <c r="E35" s="3">
        <v>0.22389999999999999</v>
      </c>
      <c r="F35" s="3">
        <v>7</v>
      </c>
      <c r="G35" s="3">
        <v>46</v>
      </c>
      <c r="H35" s="3">
        <v>53</v>
      </c>
    </row>
    <row r="36" spans="1:8" ht="15.75" customHeight="1" x14ac:dyDescent="0.3">
      <c r="A36" s="3">
        <v>34</v>
      </c>
      <c r="B36" s="3">
        <v>35</v>
      </c>
      <c r="C36" s="3">
        <v>0.33329999999999999</v>
      </c>
      <c r="D36" s="3">
        <v>0.71</v>
      </c>
      <c r="E36" s="3">
        <v>0.25369999999999998</v>
      </c>
      <c r="F36" s="3">
        <v>16</v>
      </c>
      <c r="G36" s="3">
        <v>54</v>
      </c>
      <c r="H36" s="3">
        <v>70</v>
      </c>
    </row>
    <row r="37" spans="1:8" ht="15.75" customHeight="1" x14ac:dyDescent="0.3">
      <c r="A37" s="3">
        <v>35</v>
      </c>
      <c r="B37" s="3">
        <v>36</v>
      </c>
      <c r="C37" s="3">
        <v>0.33329999999999999</v>
      </c>
      <c r="D37" s="3">
        <v>0.66</v>
      </c>
      <c r="E37" s="3">
        <v>0.29849999999999999</v>
      </c>
      <c r="F37" s="3">
        <v>20</v>
      </c>
      <c r="G37" s="3">
        <v>73</v>
      </c>
      <c r="H37" s="3">
        <v>93</v>
      </c>
    </row>
    <row r="38" spans="1:8" ht="15.75" customHeight="1" x14ac:dyDescent="0.3">
      <c r="A38" s="3">
        <v>36</v>
      </c>
      <c r="B38" s="3">
        <v>37</v>
      </c>
      <c r="C38" s="3">
        <v>0.34849999999999998</v>
      </c>
      <c r="D38" s="3">
        <v>0.66</v>
      </c>
      <c r="E38" s="3">
        <v>0.1343</v>
      </c>
      <c r="F38" s="3">
        <v>11</v>
      </c>
      <c r="G38" s="3">
        <v>64</v>
      </c>
      <c r="H38" s="3">
        <v>75</v>
      </c>
    </row>
    <row r="39" spans="1:8" ht="15.75" customHeight="1" x14ac:dyDescent="0.3">
      <c r="A39" s="3">
        <v>37</v>
      </c>
      <c r="B39" s="3">
        <v>38</v>
      </c>
      <c r="C39">
        <v>0.199934891</v>
      </c>
      <c r="D39" s="3">
        <v>0.76</v>
      </c>
      <c r="E39" s="3">
        <v>0.19400000000000001</v>
      </c>
      <c r="F39" s="3">
        <v>4</v>
      </c>
      <c r="G39" s="3">
        <v>55</v>
      </c>
      <c r="H39" s="3">
        <v>59</v>
      </c>
    </row>
    <row r="40" spans="1:8" ht="15.75" customHeight="1" x14ac:dyDescent="0.3">
      <c r="A40" s="3">
        <v>38</v>
      </c>
      <c r="B40" s="3">
        <v>39</v>
      </c>
      <c r="C40" s="3">
        <v>0.33329999999999999</v>
      </c>
      <c r="D40" s="3">
        <v>0.81</v>
      </c>
      <c r="E40" s="3">
        <v>0.16420000000000001</v>
      </c>
      <c r="F40" s="3">
        <v>19</v>
      </c>
      <c r="G40" s="3">
        <v>55</v>
      </c>
      <c r="H40" s="3">
        <v>74</v>
      </c>
    </row>
    <row r="41" spans="1:8" ht="15.75" customHeight="1" x14ac:dyDescent="0.3">
      <c r="A41" s="3">
        <v>39</v>
      </c>
      <c r="B41" s="3">
        <v>40</v>
      </c>
      <c r="C41" s="3">
        <v>0.33329999999999999</v>
      </c>
      <c r="D41" s="3">
        <v>0.71</v>
      </c>
      <c r="E41" s="3">
        <v>0.16420000000000001</v>
      </c>
      <c r="F41" s="3">
        <v>9</v>
      </c>
      <c r="G41" s="3">
        <v>67</v>
      </c>
      <c r="H41" s="3">
        <v>76</v>
      </c>
    </row>
    <row r="42" spans="1:8" ht="15.75" customHeight="1" x14ac:dyDescent="0.3">
      <c r="A42" s="3">
        <v>40</v>
      </c>
      <c r="B42" s="3">
        <v>41</v>
      </c>
      <c r="C42" s="3">
        <v>0.33329999999999999</v>
      </c>
      <c r="D42" s="3">
        <v>0.56999999999999995</v>
      </c>
      <c r="E42" s="3">
        <v>0.19400000000000001</v>
      </c>
      <c r="F42" s="3">
        <v>7</v>
      </c>
      <c r="G42" s="3">
        <v>58</v>
      </c>
      <c r="H42" s="3">
        <v>65</v>
      </c>
    </row>
    <row r="43" spans="1:8" ht="15.75" customHeight="1" x14ac:dyDescent="0.3">
      <c r="A43" s="3">
        <v>41</v>
      </c>
      <c r="B43" s="3">
        <v>42</v>
      </c>
      <c r="C43" s="3">
        <v>0.33329999999999999</v>
      </c>
      <c r="D43" s="3">
        <v>0.46</v>
      </c>
      <c r="E43" s="3">
        <v>0.32840000000000003</v>
      </c>
      <c r="F43" s="3">
        <v>10</v>
      </c>
      <c r="G43" s="3">
        <v>43</v>
      </c>
      <c r="H43" s="3">
        <v>53</v>
      </c>
    </row>
    <row r="44" spans="1:8" ht="15.75" customHeight="1" x14ac:dyDescent="0.3">
      <c r="A44" s="3">
        <v>42</v>
      </c>
      <c r="B44" s="3">
        <v>43</v>
      </c>
      <c r="C44" s="3">
        <v>0.28789999999999999</v>
      </c>
      <c r="D44" s="3">
        <v>0.42</v>
      </c>
      <c r="E44" s="3">
        <v>0.44779999999999998</v>
      </c>
      <c r="F44" s="3">
        <v>1</v>
      </c>
      <c r="G44" s="3">
        <v>29</v>
      </c>
      <c r="H44" s="3">
        <v>30</v>
      </c>
    </row>
    <row r="45" spans="1:8" ht="15.75" customHeight="1" x14ac:dyDescent="0.3">
      <c r="A45" s="3">
        <v>43</v>
      </c>
      <c r="B45" s="3">
        <v>44</v>
      </c>
      <c r="C45">
        <v>0.199934891</v>
      </c>
      <c r="D45" s="3">
        <v>0.39</v>
      </c>
      <c r="E45" s="3">
        <v>0.35820000000000002</v>
      </c>
      <c r="F45" s="3">
        <v>5</v>
      </c>
      <c r="G45" s="3">
        <v>17</v>
      </c>
      <c r="H45" s="3">
        <v>22</v>
      </c>
    </row>
    <row r="46" spans="1:8" ht="15.75" customHeight="1" x14ac:dyDescent="0.3">
      <c r="A46" s="3">
        <v>44</v>
      </c>
      <c r="B46" s="3">
        <v>45</v>
      </c>
      <c r="C46" s="3">
        <v>0.2273</v>
      </c>
      <c r="D46" s="3">
        <v>0.44</v>
      </c>
      <c r="E46" s="3">
        <v>0.32840000000000003</v>
      </c>
      <c r="F46" s="3">
        <v>11</v>
      </c>
      <c r="G46" s="3">
        <v>20</v>
      </c>
      <c r="H46" s="3">
        <v>31</v>
      </c>
    </row>
    <row r="47" spans="1:8" ht="15.75" customHeight="1" x14ac:dyDescent="0.3">
      <c r="A47" s="3">
        <v>45</v>
      </c>
      <c r="B47" s="3">
        <v>46</v>
      </c>
      <c r="C47" s="3">
        <v>0.21210000000000001</v>
      </c>
      <c r="D47" s="3">
        <v>0.44</v>
      </c>
      <c r="E47" s="3">
        <v>0.29849999999999999</v>
      </c>
      <c r="F47" s="3">
        <v>0</v>
      </c>
      <c r="G47" s="3">
        <v>9</v>
      </c>
      <c r="H47" s="3">
        <v>9</v>
      </c>
    </row>
    <row r="48" spans="1:8" ht="15.75" customHeight="1" x14ac:dyDescent="0.3">
      <c r="A48" s="3">
        <v>46</v>
      </c>
      <c r="B48" s="3">
        <v>47</v>
      </c>
      <c r="C48" s="3">
        <v>0.2273</v>
      </c>
      <c r="D48" s="3">
        <v>0.47</v>
      </c>
      <c r="E48" s="3">
        <v>0.16420000000000001</v>
      </c>
      <c r="F48" s="3">
        <v>0</v>
      </c>
      <c r="G48" s="3">
        <v>8</v>
      </c>
      <c r="H48" s="3">
        <v>8</v>
      </c>
    </row>
    <row r="49" spans="1:8" ht="15.75" customHeight="1" x14ac:dyDescent="0.3">
      <c r="A49" s="3">
        <v>47</v>
      </c>
      <c r="B49" s="3">
        <v>48</v>
      </c>
      <c r="C49" s="3">
        <v>0.19700000000000001</v>
      </c>
      <c r="D49" s="3">
        <v>0.44</v>
      </c>
      <c r="E49" s="3">
        <v>0.35820000000000002</v>
      </c>
      <c r="F49" s="3">
        <v>0</v>
      </c>
      <c r="G49" s="3">
        <v>5</v>
      </c>
      <c r="H49" s="3">
        <v>5</v>
      </c>
    </row>
    <row r="50" spans="1:8" ht="15.75" customHeight="1" x14ac:dyDescent="0.3">
      <c r="A50" s="3">
        <v>48</v>
      </c>
      <c r="B50" s="3">
        <v>49</v>
      </c>
      <c r="C50">
        <v>0.199934891</v>
      </c>
      <c r="D50" s="3">
        <v>0.44</v>
      </c>
      <c r="E50" s="3">
        <v>0.41789999999999999</v>
      </c>
      <c r="F50" s="3">
        <v>0</v>
      </c>
      <c r="G50" s="3">
        <v>2</v>
      </c>
      <c r="H50" s="3">
        <v>2</v>
      </c>
    </row>
    <row r="51" spans="1:8" ht="15.75" customHeight="1" x14ac:dyDescent="0.3">
      <c r="A51" s="3">
        <v>49</v>
      </c>
      <c r="B51" s="3">
        <v>50</v>
      </c>
      <c r="C51" s="3">
        <v>0.13639999999999999</v>
      </c>
      <c r="D51" s="3">
        <v>0.47</v>
      </c>
      <c r="E51" s="3">
        <v>0.3881</v>
      </c>
      <c r="F51" s="3">
        <v>0</v>
      </c>
      <c r="G51" s="3">
        <v>1</v>
      </c>
      <c r="H51" s="3">
        <v>1</v>
      </c>
    </row>
    <row r="52" spans="1:8" ht="15.75" customHeight="1" x14ac:dyDescent="0.3">
      <c r="A52" s="3">
        <v>50</v>
      </c>
      <c r="B52" s="3">
        <v>51</v>
      </c>
      <c r="C52" s="3">
        <v>0.13639999999999999</v>
      </c>
      <c r="D52" s="3">
        <v>0.47</v>
      </c>
      <c r="E52" s="3">
        <v>0.28360000000000002</v>
      </c>
      <c r="F52" s="3">
        <v>0</v>
      </c>
      <c r="G52" s="3">
        <v>3</v>
      </c>
      <c r="H52" s="3">
        <v>3</v>
      </c>
    </row>
    <row r="53" spans="1:8" ht="15.75" customHeight="1" x14ac:dyDescent="0.3">
      <c r="A53" s="3">
        <v>51</v>
      </c>
      <c r="B53" s="3">
        <v>52</v>
      </c>
      <c r="C53" s="3">
        <v>0.1061</v>
      </c>
      <c r="D53" s="3">
        <v>0.5</v>
      </c>
      <c r="E53" s="3">
        <v>0.3881</v>
      </c>
      <c r="F53" s="3">
        <v>0</v>
      </c>
      <c r="G53" s="3">
        <v>30</v>
      </c>
      <c r="H53" s="3">
        <v>30</v>
      </c>
    </row>
    <row r="54" spans="1:8" ht="15.75" customHeight="1" x14ac:dyDescent="0.3">
      <c r="A54" s="3">
        <v>52</v>
      </c>
      <c r="B54" s="3">
        <v>53</v>
      </c>
      <c r="C54" s="3">
        <v>0.13639999999999999</v>
      </c>
      <c r="D54" s="3">
        <v>0.5</v>
      </c>
      <c r="E54" s="3">
        <v>0.19400000000000001</v>
      </c>
      <c r="F54" s="3">
        <v>1</v>
      </c>
      <c r="G54" s="3">
        <v>63</v>
      </c>
      <c r="H54" s="3">
        <v>64</v>
      </c>
    </row>
    <row r="55" spans="1:8" ht="15.75" customHeight="1" x14ac:dyDescent="0.3">
      <c r="A55" s="3">
        <v>53</v>
      </c>
      <c r="B55" s="3">
        <v>54</v>
      </c>
      <c r="C55" s="3">
        <v>0.1212</v>
      </c>
      <c r="D55" s="3">
        <v>0.5</v>
      </c>
      <c r="E55" s="3">
        <v>0.28360000000000002</v>
      </c>
      <c r="F55" s="3">
        <v>1</v>
      </c>
      <c r="G55" s="3">
        <v>153</v>
      </c>
      <c r="H55" s="3">
        <v>154</v>
      </c>
    </row>
    <row r="56" spans="1:8" ht="15.75" customHeight="1" x14ac:dyDescent="0.3">
      <c r="A56" s="3">
        <v>54</v>
      </c>
      <c r="B56" s="3">
        <v>55</v>
      </c>
      <c r="C56" s="3">
        <v>0.13639999999999999</v>
      </c>
      <c r="D56" s="3">
        <v>0.43</v>
      </c>
      <c r="E56" s="3">
        <v>0.3881</v>
      </c>
      <c r="F56" s="3">
        <v>7</v>
      </c>
      <c r="G56" s="3">
        <v>81</v>
      </c>
      <c r="H56" s="3">
        <v>88</v>
      </c>
    </row>
    <row r="57" spans="1:8" ht="15.75" customHeight="1" x14ac:dyDescent="0.3">
      <c r="A57" s="3">
        <v>55</v>
      </c>
      <c r="B57" s="3">
        <v>56</v>
      </c>
      <c r="C57" s="3">
        <v>0.16669999999999999</v>
      </c>
      <c r="D57" s="3">
        <v>0.43</v>
      </c>
      <c r="E57" s="3">
        <v>0.25369999999999998</v>
      </c>
      <c r="F57" s="3">
        <v>11</v>
      </c>
      <c r="G57" s="3">
        <v>33</v>
      </c>
      <c r="H57" s="3">
        <v>44</v>
      </c>
    </row>
    <row r="58" spans="1:8" ht="15.75" customHeight="1" x14ac:dyDescent="0.3">
      <c r="A58" s="3">
        <v>56</v>
      </c>
      <c r="B58" s="3">
        <v>57</v>
      </c>
      <c r="C58" s="3">
        <v>0.18179999999999999</v>
      </c>
      <c r="D58" s="3">
        <v>0.4</v>
      </c>
      <c r="E58" s="3">
        <v>0.32840000000000003</v>
      </c>
      <c r="F58" s="3">
        <v>10</v>
      </c>
      <c r="G58" s="3">
        <v>41</v>
      </c>
      <c r="H58" s="3">
        <v>51</v>
      </c>
    </row>
    <row r="59" spans="1:8" ht="15.75" customHeight="1" x14ac:dyDescent="0.3">
      <c r="A59" s="3">
        <v>57</v>
      </c>
      <c r="B59" s="3">
        <v>58</v>
      </c>
      <c r="C59" s="3">
        <v>0.21210000000000001</v>
      </c>
      <c r="D59" s="3">
        <v>0.35</v>
      </c>
      <c r="E59" s="3">
        <v>0.29849999999999999</v>
      </c>
      <c r="F59" s="3">
        <v>13</v>
      </c>
      <c r="G59" s="3">
        <v>48</v>
      </c>
      <c r="H59" s="3">
        <v>61</v>
      </c>
    </row>
    <row r="60" spans="1:8" ht="15.75" customHeight="1" x14ac:dyDescent="0.3">
      <c r="A60" s="3">
        <v>58</v>
      </c>
      <c r="B60" s="3">
        <v>59</v>
      </c>
      <c r="C60">
        <v>0.199934891</v>
      </c>
      <c r="D60" s="3">
        <v>0.35</v>
      </c>
      <c r="E60" s="3">
        <v>0.28360000000000002</v>
      </c>
      <c r="F60" s="3">
        <v>8</v>
      </c>
      <c r="G60" s="3">
        <v>53</v>
      </c>
      <c r="H60" s="3">
        <v>61</v>
      </c>
    </row>
    <row r="61" spans="1:8" ht="15.75" customHeight="1" x14ac:dyDescent="0.3">
      <c r="A61" s="3">
        <v>59</v>
      </c>
      <c r="B61" s="3">
        <v>60</v>
      </c>
      <c r="C61" s="3">
        <v>0.2424</v>
      </c>
      <c r="D61" s="3">
        <v>0.3</v>
      </c>
      <c r="E61" s="3">
        <v>0.28360000000000002</v>
      </c>
      <c r="F61" s="3">
        <v>11</v>
      </c>
      <c r="G61" s="3">
        <v>66</v>
      </c>
      <c r="H61" s="3">
        <v>77</v>
      </c>
    </row>
    <row r="62" spans="1:8" ht="15.75" customHeight="1" x14ac:dyDescent="0.3">
      <c r="A62" s="3">
        <v>60</v>
      </c>
      <c r="B62" s="3">
        <v>61</v>
      </c>
      <c r="C62" s="3">
        <v>0.2424</v>
      </c>
      <c r="D62" s="3">
        <v>0.3</v>
      </c>
      <c r="E62" s="3">
        <v>0.25369999999999998</v>
      </c>
      <c r="F62" s="3">
        <v>14</v>
      </c>
      <c r="G62" s="3">
        <v>58</v>
      </c>
      <c r="H62" s="3">
        <v>72</v>
      </c>
    </row>
    <row r="63" spans="1:8" ht="15.75" customHeight="1" x14ac:dyDescent="0.3">
      <c r="A63" s="3">
        <v>61</v>
      </c>
      <c r="B63" s="3">
        <v>62</v>
      </c>
      <c r="C63" s="3">
        <v>0.2424</v>
      </c>
      <c r="D63" s="3">
        <v>0.3</v>
      </c>
      <c r="E63" s="3">
        <v>0.25369999999999998</v>
      </c>
      <c r="F63" s="3">
        <v>9</v>
      </c>
      <c r="G63" s="3">
        <v>67</v>
      </c>
      <c r="H63" s="3">
        <v>76</v>
      </c>
    </row>
    <row r="64" spans="1:8" ht="15.75" customHeight="1" x14ac:dyDescent="0.3">
      <c r="A64" s="3">
        <v>62</v>
      </c>
      <c r="B64" s="3">
        <v>63</v>
      </c>
      <c r="C64" s="3">
        <v>0.2273</v>
      </c>
      <c r="D64" s="3">
        <v>0.3</v>
      </c>
      <c r="E64" s="3">
        <v>0.22389999999999999</v>
      </c>
      <c r="F64" s="3">
        <v>11</v>
      </c>
      <c r="G64" s="3">
        <v>146</v>
      </c>
      <c r="H64" s="3">
        <v>157</v>
      </c>
    </row>
    <row r="65" spans="1:8" ht="15.75" customHeight="1" x14ac:dyDescent="0.3">
      <c r="A65" s="3">
        <v>63</v>
      </c>
      <c r="B65" s="3">
        <v>64</v>
      </c>
      <c r="C65" s="3">
        <v>0.2576</v>
      </c>
      <c r="D65" s="3">
        <v>0.32</v>
      </c>
      <c r="E65" s="3">
        <v>0.1045</v>
      </c>
      <c r="F65" s="3">
        <v>9</v>
      </c>
      <c r="G65" s="3">
        <v>148</v>
      </c>
      <c r="H65" s="3">
        <v>157</v>
      </c>
    </row>
    <row r="66" spans="1:8" ht="15.75" customHeight="1" x14ac:dyDescent="0.3">
      <c r="A66" s="3">
        <v>64</v>
      </c>
      <c r="B66" s="3">
        <v>65</v>
      </c>
      <c r="C66" s="3">
        <v>0.2576</v>
      </c>
      <c r="D66" s="3">
        <v>0.47</v>
      </c>
      <c r="E66" s="3">
        <v>0</v>
      </c>
      <c r="F66" s="3">
        <v>8</v>
      </c>
      <c r="G66" s="3">
        <v>102</v>
      </c>
      <c r="H66" s="3">
        <v>110</v>
      </c>
    </row>
    <row r="67" spans="1:8" ht="15.75" customHeight="1" x14ac:dyDescent="0.3">
      <c r="A67" s="3">
        <v>65</v>
      </c>
      <c r="B67" s="3">
        <v>66</v>
      </c>
      <c r="C67">
        <v>0.199934891</v>
      </c>
      <c r="D67" s="3">
        <v>0.47</v>
      </c>
      <c r="E67" s="3">
        <v>0.1045</v>
      </c>
      <c r="F67" s="3">
        <v>3</v>
      </c>
      <c r="G67" s="3">
        <v>49</v>
      </c>
      <c r="H67" s="3">
        <v>52</v>
      </c>
    </row>
    <row r="68" spans="1:8" ht="15.75" customHeight="1" x14ac:dyDescent="0.3">
      <c r="A68" s="3">
        <v>66</v>
      </c>
      <c r="B68" s="3">
        <v>67</v>
      </c>
      <c r="C68" s="3">
        <v>0.19700000000000001</v>
      </c>
      <c r="D68" s="3">
        <v>0.64</v>
      </c>
      <c r="E68" s="3">
        <v>0.1343</v>
      </c>
      <c r="F68" s="3">
        <v>3</v>
      </c>
      <c r="G68" s="3">
        <v>49</v>
      </c>
      <c r="H68" s="3">
        <v>52</v>
      </c>
    </row>
    <row r="69" spans="1:8" ht="15.75" customHeight="1" x14ac:dyDescent="0.3">
      <c r="A69" s="3">
        <v>67</v>
      </c>
      <c r="B69" s="3">
        <v>68</v>
      </c>
      <c r="C69" s="3">
        <v>0.1515</v>
      </c>
      <c r="D69" s="3">
        <v>0.69</v>
      </c>
      <c r="E69" s="3">
        <v>0.1343</v>
      </c>
      <c r="F69" s="3">
        <v>0</v>
      </c>
      <c r="G69" s="3">
        <v>20</v>
      </c>
      <c r="H69" s="3">
        <v>20</v>
      </c>
    </row>
    <row r="70" spans="1:8" ht="15.75" customHeight="1" x14ac:dyDescent="0.3">
      <c r="A70" s="3">
        <v>68</v>
      </c>
      <c r="B70" s="3">
        <v>69</v>
      </c>
      <c r="C70" s="3">
        <v>0.21210000000000001</v>
      </c>
      <c r="D70" s="3">
        <v>0.55000000000000004</v>
      </c>
      <c r="E70" s="3">
        <v>0.1045</v>
      </c>
      <c r="F70" s="3">
        <v>1</v>
      </c>
      <c r="G70" s="3">
        <v>11</v>
      </c>
      <c r="H70" s="3">
        <v>12</v>
      </c>
    </row>
    <row r="71" spans="1:8" ht="15.75" customHeight="1" x14ac:dyDescent="0.3">
      <c r="A71" s="3">
        <v>69</v>
      </c>
      <c r="B71" s="3">
        <v>70</v>
      </c>
      <c r="C71">
        <v>0.199934891</v>
      </c>
      <c r="D71" s="3">
        <v>0.55000000000000004</v>
      </c>
      <c r="E71" s="3">
        <v>0.1045</v>
      </c>
      <c r="F71" s="3">
        <v>0</v>
      </c>
      <c r="G71" s="3">
        <v>5</v>
      </c>
      <c r="H71" s="3">
        <v>5</v>
      </c>
    </row>
    <row r="72" spans="1:8" ht="15.75" customHeight="1" x14ac:dyDescent="0.3">
      <c r="A72" s="3">
        <v>70</v>
      </c>
      <c r="B72" s="3">
        <v>71</v>
      </c>
      <c r="C72" s="3">
        <v>0.18179999999999999</v>
      </c>
      <c r="D72" s="3">
        <v>0.59</v>
      </c>
      <c r="E72" s="3">
        <v>0.1045</v>
      </c>
      <c r="F72" s="3">
        <v>0</v>
      </c>
      <c r="G72" s="3">
        <v>2</v>
      </c>
      <c r="H72" s="3">
        <v>2</v>
      </c>
    </row>
    <row r="73" spans="1:8" ht="15.75" customHeight="1" x14ac:dyDescent="0.3">
      <c r="A73" s="3">
        <v>71</v>
      </c>
      <c r="B73" s="3">
        <v>72</v>
      </c>
      <c r="C73" s="3">
        <v>0.1515</v>
      </c>
      <c r="D73" s="3">
        <v>0.63</v>
      </c>
      <c r="E73" s="3">
        <v>0.1343</v>
      </c>
      <c r="F73" s="3">
        <v>0</v>
      </c>
      <c r="G73" s="3">
        <v>1</v>
      </c>
      <c r="H73" s="3">
        <v>1</v>
      </c>
    </row>
    <row r="74" spans="1:8" ht="15.75" customHeight="1" x14ac:dyDescent="0.3">
      <c r="A74" s="3">
        <v>72</v>
      </c>
      <c r="B74" s="3">
        <v>73</v>
      </c>
      <c r="C74" s="3">
        <v>0.18179999999999999</v>
      </c>
      <c r="D74" s="3">
        <v>0.63</v>
      </c>
      <c r="E74" s="3">
        <v>8.9599999999999999E-2</v>
      </c>
      <c r="F74" s="3">
        <v>0</v>
      </c>
      <c r="G74" s="3">
        <v>2</v>
      </c>
      <c r="H74" s="3">
        <v>2</v>
      </c>
    </row>
    <row r="75" spans="1:8" ht="15.75" customHeight="1" x14ac:dyDescent="0.3">
      <c r="A75" s="3">
        <v>73</v>
      </c>
      <c r="B75" s="3">
        <v>74</v>
      </c>
      <c r="C75" s="3">
        <v>0.1515</v>
      </c>
      <c r="D75" s="3">
        <v>0.68</v>
      </c>
      <c r="E75" s="3">
        <v>0.1045</v>
      </c>
      <c r="F75" s="3">
        <v>0</v>
      </c>
      <c r="G75" s="3">
        <v>4</v>
      </c>
      <c r="H75" s="3">
        <v>4</v>
      </c>
    </row>
    <row r="76" spans="1:8" ht="15.75" customHeight="1" x14ac:dyDescent="0.3">
      <c r="A76" s="3">
        <v>74</v>
      </c>
      <c r="B76" s="3">
        <v>75</v>
      </c>
      <c r="C76" s="3">
        <v>0.1515</v>
      </c>
      <c r="D76" s="3">
        <v>0.74</v>
      </c>
      <c r="E76" s="3">
        <v>0.1045</v>
      </c>
      <c r="F76" s="3">
        <v>0</v>
      </c>
      <c r="G76" s="3">
        <v>36</v>
      </c>
      <c r="H76" s="3">
        <v>36</v>
      </c>
    </row>
    <row r="77" spans="1:8" ht="15.75" customHeight="1" x14ac:dyDescent="0.3">
      <c r="A77" s="3">
        <v>75</v>
      </c>
      <c r="B77" s="3">
        <v>76</v>
      </c>
      <c r="C77" s="3">
        <v>0.1515</v>
      </c>
      <c r="D77" s="3">
        <v>0.74</v>
      </c>
      <c r="E77" s="3">
        <v>0.1343</v>
      </c>
      <c r="F77" s="3">
        <v>2</v>
      </c>
      <c r="G77" s="3">
        <v>92</v>
      </c>
      <c r="H77" s="3">
        <v>94</v>
      </c>
    </row>
    <row r="78" spans="1:8" ht="15.75" customHeight="1" x14ac:dyDescent="0.3">
      <c r="A78" s="3">
        <v>76</v>
      </c>
      <c r="B78" s="3">
        <v>77</v>
      </c>
      <c r="C78" s="3">
        <v>0.1515</v>
      </c>
      <c r="D78" s="3">
        <v>0.69</v>
      </c>
      <c r="E78" s="3">
        <v>0.16420000000000001</v>
      </c>
      <c r="F78" s="3">
        <v>2</v>
      </c>
      <c r="G78" s="3">
        <v>177</v>
      </c>
      <c r="H78" s="3">
        <v>179</v>
      </c>
    </row>
    <row r="79" spans="1:8" ht="15.75" customHeight="1" x14ac:dyDescent="0.3">
      <c r="A79" s="3">
        <v>77</v>
      </c>
      <c r="B79" s="3">
        <v>78</v>
      </c>
      <c r="C79" s="3">
        <v>0.1515</v>
      </c>
      <c r="D79" s="3">
        <v>0.64</v>
      </c>
      <c r="E79" s="3">
        <v>0.22389999999999999</v>
      </c>
      <c r="F79" s="3">
        <v>2</v>
      </c>
      <c r="G79" s="3">
        <v>98</v>
      </c>
      <c r="H79" s="3">
        <v>100</v>
      </c>
    </row>
    <row r="80" spans="1:8" ht="15.75" customHeight="1" x14ac:dyDescent="0.3">
      <c r="A80" s="3">
        <v>78</v>
      </c>
      <c r="B80" s="3">
        <v>79</v>
      </c>
      <c r="C80" s="3">
        <v>0.13639999999999999</v>
      </c>
      <c r="D80" s="3">
        <v>0.69</v>
      </c>
      <c r="E80" s="3">
        <v>0.32840000000000003</v>
      </c>
      <c r="F80" s="3">
        <v>5</v>
      </c>
      <c r="G80" s="3">
        <v>37</v>
      </c>
      <c r="H80" s="3">
        <v>42</v>
      </c>
    </row>
    <row r="81" spans="1:8" ht="15.75" customHeight="1" x14ac:dyDescent="0.3">
      <c r="A81" s="3">
        <v>79</v>
      </c>
      <c r="B81" s="3">
        <v>80</v>
      </c>
      <c r="C81" s="3">
        <v>0.21210000000000001</v>
      </c>
      <c r="D81" s="3">
        <v>0.51</v>
      </c>
      <c r="E81" s="3">
        <v>0.29849999999999999</v>
      </c>
      <c r="F81" s="3">
        <v>7</v>
      </c>
      <c r="G81" s="3">
        <v>50</v>
      </c>
      <c r="H81" s="3">
        <v>57</v>
      </c>
    </row>
    <row r="82" spans="1:8" ht="15.75" customHeight="1" x14ac:dyDescent="0.3">
      <c r="A82" s="3">
        <v>80</v>
      </c>
      <c r="B82" s="3">
        <v>81</v>
      </c>
      <c r="C82" s="3">
        <v>0.2273</v>
      </c>
      <c r="D82" s="3">
        <v>0.51</v>
      </c>
      <c r="E82" s="3">
        <v>0.16420000000000001</v>
      </c>
      <c r="F82" s="3">
        <v>12</v>
      </c>
      <c r="G82" s="3">
        <v>66</v>
      </c>
      <c r="H82" s="3">
        <v>78</v>
      </c>
    </row>
    <row r="83" spans="1:8" ht="15.75" customHeight="1" x14ac:dyDescent="0.3">
      <c r="A83" s="3">
        <v>81</v>
      </c>
      <c r="B83" s="3">
        <v>82</v>
      </c>
      <c r="C83" s="3">
        <v>0.2273</v>
      </c>
      <c r="D83" s="3">
        <v>0.56000000000000005</v>
      </c>
      <c r="E83" s="3">
        <v>0.19400000000000001</v>
      </c>
      <c r="F83" s="3">
        <v>18</v>
      </c>
      <c r="G83" s="3">
        <v>79</v>
      </c>
      <c r="H83" s="3">
        <v>97</v>
      </c>
    </row>
    <row r="84" spans="1:8" ht="15.75" customHeight="1" x14ac:dyDescent="0.3">
      <c r="A84" s="3">
        <v>82</v>
      </c>
      <c r="B84" s="3">
        <v>83</v>
      </c>
      <c r="C84" s="3">
        <v>0.2576</v>
      </c>
      <c r="D84" s="3">
        <v>0.52</v>
      </c>
      <c r="E84" s="3">
        <v>0.22389999999999999</v>
      </c>
      <c r="F84" s="3">
        <v>9</v>
      </c>
      <c r="G84" s="3">
        <v>54</v>
      </c>
      <c r="H84" s="3">
        <v>63</v>
      </c>
    </row>
    <row r="85" spans="1:8" ht="15.75" customHeight="1" x14ac:dyDescent="0.3">
      <c r="A85" s="3">
        <v>83</v>
      </c>
      <c r="B85" s="3">
        <v>84</v>
      </c>
      <c r="C85" s="3">
        <v>0.2727</v>
      </c>
      <c r="D85" s="3">
        <v>0.52</v>
      </c>
      <c r="E85" s="3">
        <v>0.25369999999999998</v>
      </c>
      <c r="F85" s="3">
        <v>17</v>
      </c>
      <c r="G85" s="3">
        <v>48</v>
      </c>
      <c r="H85" s="3">
        <v>65</v>
      </c>
    </row>
    <row r="86" spans="1:8" ht="15.75" customHeight="1" x14ac:dyDescent="0.3">
      <c r="A86" s="3">
        <v>84</v>
      </c>
      <c r="B86" s="3">
        <v>85</v>
      </c>
      <c r="C86" s="3">
        <v>0.28789999999999999</v>
      </c>
      <c r="D86" s="3">
        <v>0.49</v>
      </c>
      <c r="E86" s="3">
        <v>0.25369999999999998</v>
      </c>
      <c r="F86" s="3">
        <v>15</v>
      </c>
      <c r="G86" s="3">
        <v>68</v>
      </c>
      <c r="H86" s="3">
        <v>83</v>
      </c>
    </row>
    <row r="87" spans="1:8" ht="15.75" customHeight="1" x14ac:dyDescent="0.3">
      <c r="A87" s="3">
        <v>85</v>
      </c>
      <c r="B87" s="3">
        <v>86</v>
      </c>
      <c r="C87" s="3">
        <v>0.2727</v>
      </c>
      <c r="D87" s="3">
        <v>0.48</v>
      </c>
      <c r="E87" s="3">
        <v>0.22389999999999999</v>
      </c>
      <c r="F87" s="3">
        <v>10</v>
      </c>
      <c r="G87" s="3">
        <v>202</v>
      </c>
      <c r="H87" s="3">
        <v>212</v>
      </c>
    </row>
    <row r="88" spans="1:8" ht="15.75" customHeight="1" x14ac:dyDescent="0.3">
      <c r="A88" s="3">
        <v>86</v>
      </c>
      <c r="B88" s="3">
        <v>87</v>
      </c>
      <c r="C88" s="3">
        <v>0.2576</v>
      </c>
      <c r="D88" s="3">
        <v>0.48</v>
      </c>
      <c r="E88" s="3">
        <v>0.19400000000000001</v>
      </c>
      <c r="F88" s="3">
        <v>3</v>
      </c>
      <c r="G88" s="3">
        <v>179</v>
      </c>
      <c r="H88" s="3">
        <v>182</v>
      </c>
    </row>
    <row r="89" spans="1:8" ht="15.75" customHeight="1" x14ac:dyDescent="0.3">
      <c r="A89" s="3">
        <v>87</v>
      </c>
      <c r="B89" s="3">
        <v>88</v>
      </c>
      <c r="C89" s="3">
        <v>0.2576</v>
      </c>
      <c r="D89" s="3">
        <v>0.48</v>
      </c>
      <c r="E89" s="3">
        <v>0.1045</v>
      </c>
      <c r="F89" s="3">
        <v>2</v>
      </c>
      <c r="G89" s="3">
        <v>110</v>
      </c>
      <c r="H89" s="3">
        <v>112</v>
      </c>
    </row>
    <row r="90" spans="1:8" ht="15.75" customHeight="1" x14ac:dyDescent="0.3">
      <c r="A90" s="3">
        <v>88</v>
      </c>
      <c r="B90" s="3">
        <v>89</v>
      </c>
      <c r="C90" s="3">
        <v>0.2576</v>
      </c>
      <c r="D90" s="3">
        <v>0.48</v>
      </c>
      <c r="E90" s="3">
        <v>0.1045</v>
      </c>
      <c r="F90" s="3">
        <v>1</v>
      </c>
      <c r="G90" s="3">
        <v>53</v>
      </c>
      <c r="H90" s="3">
        <v>54</v>
      </c>
    </row>
    <row r="91" spans="1:8" ht="15.75" customHeight="1" x14ac:dyDescent="0.3">
      <c r="A91" s="3">
        <v>89</v>
      </c>
      <c r="B91" s="3">
        <v>90</v>
      </c>
      <c r="C91" s="3">
        <v>0.2727</v>
      </c>
      <c r="D91" s="3">
        <v>0.64</v>
      </c>
      <c r="E91" s="3">
        <v>0</v>
      </c>
      <c r="F91" s="3">
        <v>0</v>
      </c>
      <c r="G91" s="3">
        <v>48</v>
      </c>
      <c r="H91" s="3">
        <v>48</v>
      </c>
    </row>
    <row r="92" spans="1:8" ht="15.75" customHeight="1" x14ac:dyDescent="0.3">
      <c r="A92" s="3">
        <v>90</v>
      </c>
      <c r="B92" s="3">
        <v>91</v>
      </c>
      <c r="C92" s="3">
        <v>0.2576</v>
      </c>
      <c r="D92" s="3">
        <v>0.64</v>
      </c>
      <c r="E92" s="3">
        <v>8.9599999999999999E-2</v>
      </c>
      <c r="F92" s="3">
        <v>1</v>
      </c>
      <c r="G92" s="3">
        <v>34</v>
      </c>
      <c r="H92" s="3">
        <v>35</v>
      </c>
    </row>
    <row r="93" spans="1:8" ht="15.75" customHeight="1" x14ac:dyDescent="0.3">
      <c r="A93" s="3">
        <v>91</v>
      </c>
      <c r="B93" s="3">
        <v>92</v>
      </c>
      <c r="C93" s="3">
        <v>0.2273</v>
      </c>
      <c r="D93" s="3">
        <v>0.69</v>
      </c>
      <c r="E93" s="3">
        <v>8.9599999999999999E-2</v>
      </c>
      <c r="F93" s="3">
        <v>2</v>
      </c>
      <c r="G93" s="3">
        <v>9</v>
      </c>
      <c r="H93" s="3">
        <v>11</v>
      </c>
    </row>
    <row r="94" spans="1:8" ht="15.75" customHeight="1" x14ac:dyDescent="0.3">
      <c r="A94" s="3">
        <v>92</v>
      </c>
      <c r="B94" s="3">
        <v>93</v>
      </c>
      <c r="C94" s="3">
        <v>0.2576</v>
      </c>
      <c r="D94" s="3">
        <v>0.64</v>
      </c>
      <c r="E94" s="3">
        <v>0</v>
      </c>
      <c r="F94" s="3">
        <v>0</v>
      </c>
      <c r="G94" s="3">
        <v>6</v>
      </c>
      <c r="H94" s="3">
        <v>6</v>
      </c>
    </row>
    <row r="95" spans="1:8" ht="15.75" customHeight="1" x14ac:dyDescent="0.3">
      <c r="A95" s="3">
        <v>93</v>
      </c>
      <c r="B95" s="3">
        <v>94</v>
      </c>
      <c r="C95" s="3">
        <v>0.19700000000000001</v>
      </c>
      <c r="D95" s="3">
        <v>0.74</v>
      </c>
      <c r="E95" s="3">
        <v>8.9599999999999999E-2</v>
      </c>
      <c r="F95" s="3">
        <v>0</v>
      </c>
      <c r="G95" s="3">
        <v>6</v>
      </c>
      <c r="H95" s="3">
        <v>6</v>
      </c>
    </row>
    <row r="96" spans="1:8" ht="15.75" customHeight="1" x14ac:dyDescent="0.3">
      <c r="A96" s="3">
        <v>94</v>
      </c>
      <c r="B96" s="3">
        <v>95</v>
      </c>
      <c r="C96" s="3">
        <v>0.19700000000000001</v>
      </c>
      <c r="D96" s="3">
        <v>0.74</v>
      </c>
      <c r="E96" s="3">
        <v>8.9599999999999999E-2</v>
      </c>
      <c r="F96" s="3">
        <v>0</v>
      </c>
      <c r="G96" s="3">
        <v>2</v>
      </c>
      <c r="H96" s="3">
        <v>2</v>
      </c>
    </row>
    <row r="97" spans="1:8" ht="15.75" customHeight="1" x14ac:dyDescent="0.3">
      <c r="A97" s="3">
        <v>95</v>
      </c>
      <c r="B97" s="3">
        <v>96</v>
      </c>
      <c r="C97" s="3">
        <v>0.2273</v>
      </c>
      <c r="D97" s="3">
        <v>0.48</v>
      </c>
      <c r="E97" s="3">
        <v>0.22389999999999999</v>
      </c>
      <c r="F97" s="3">
        <v>0</v>
      </c>
      <c r="G97" s="3">
        <v>2</v>
      </c>
      <c r="H97" s="3">
        <v>2</v>
      </c>
    </row>
    <row r="98" spans="1:8" ht="15.75" customHeight="1" x14ac:dyDescent="0.3">
      <c r="A98" s="3">
        <v>96</v>
      </c>
      <c r="B98" s="3">
        <v>97</v>
      </c>
      <c r="C98" s="3">
        <v>0.2273</v>
      </c>
      <c r="D98" s="3">
        <v>0.47</v>
      </c>
      <c r="E98" s="3">
        <v>0.16420000000000001</v>
      </c>
      <c r="F98" s="3">
        <v>0</v>
      </c>
      <c r="G98" s="3">
        <v>3</v>
      </c>
      <c r="H98" s="3">
        <v>3</v>
      </c>
    </row>
    <row r="99" spans="1:8" ht="15.75" customHeight="1" x14ac:dyDescent="0.3">
      <c r="A99" s="3">
        <v>97</v>
      </c>
      <c r="B99" s="3">
        <v>98</v>
      </c>
      <c r="C99" s="3">
        <v>0.19700000000000001</v>
      </c>
      <c r="D99" s="3">
        <v>0.47</v>
      </c>
      <c r="E99" s="3">
        <v>0.22389999999999999</v>
      </c>
      <c r="F99" s="3">
        <v>0</v>
      </c>
      <c r="G99" s="3">
        <v>33</v>
      </c>
      <c r="H99" s="3">
        <v>33</v>
      </c>
    </row>
    <row r="100" spans="1:8" ht="15.75" customHeight="1" x14ac:dyDescent="0.3">
      <c r="A100" s="3">
        <v>98</v>
      </c>
      <c r="B100" s="3">
        <v>99</v>
      </c>
      <c r="C100" s="3">
        <v>0.18179999999999999</v>
      </c>
      <c r="D100" s="3">
        <v>0.43</v>
      </c>
      <c r="E100" s="3">
        <v>0.19400000000000001</v>
      </c>
      <c r="F100" s="3">
        <v>1</v>
      </c>
      <c r="G100" s="3">
        <v>87</v>
      </c>
      <c r="H100" s="3">
        <v>88</v>
      </c>
    </row>
    <row r="101" spans="1:8" ht="15.75" customHeight="1" x14ac:dyDescent="0.3">
      <c r="A101" s="3">
        <v>99</v>
      </c>
      <c r="B101" s="3">
        <v>100</v>
      </c>
      <c r="C101" s="3">
        <v>0.18179999999999999</v>
      </c>
      <c r="D101" s="3">
        <v>0.4</v>
      </c>
      <c r="E101" s="3">
        <v>0.29849999999999999</v>
      </c>
      <c r="F101" s="3">
        <v>3</v>
      </c>
      <c r="G101" s="3">
        <v>192</v>
      </c>
      <c r="H101" s="3">
        <v>195</v>
      </c>
    </row>
    <row r="102" spans="1:8" ht="15.75" customHeight="1" x14ac:dyDescent="0.3">
      <c r="A102" s="3">
        <v>100</v>
      </c>
      <c r="B102" s="3">
        <v>101</v>
      </c>
      <c r="C102" s="3">
        <v>0.19700000000000001</v>
      </c>
      <c r="D102" s="3">
        <v>0.37</v>
      </c>
      <c r="E102" s="3">
        <v>0.32840000000000003</v>
      </c>
      <c r="F102" s="3">
        <v>6</v>
      </c>
      <c r="G102" s="3">
        <v>109</v>
      </c>
      <c r="H102" s="3">
        <v>115</v>
      </c>
    </row>
    <row r="103" spans="1:8" ht="15.75" customHeight="1" x14ac:dyDescent="0.3">
      <c r="A103" s="3">
        <v>101</v>
      </c>
      <c r="B103" s="3">
        <v>102</v>
      </c>
      <c r="C103" s="3">
        <v>0.19700000000000001</v>
      </c>
      <c r="D103" s="3">
        <v>0.37</v>
      </c>
      <c r="E103" s="3">
        <v>0.32840000000000003</v>
      </c>
      <c r="F103" s="3">
        <v>4</v>
      </c>
      <c r="G103" s="3">
        <v>53</v>
      </c>
      <c r="H103" s="3">
        <v>57</v>
      </c>
    </row>
    <row r="104" spans="1:8" ht="15.75" customHeight="1" x14ac:dyDescent="0.3">
      <c r="A104" s="3">
        <v>102</v>
      </c>
      <c r="B104" s="3">
        <v>103</v>
      </c>
      <c r="C104" s="3">
        <v>0.2273</v>
      </c>
      <c r="D104" s="3">
        <v>0.33</v>
      </c>
      <c r="E104" s="3">
        <v>0.32840000000000003</v>
      </c>
      <c r="F104" s="3">
        <v>12</v>
      </c>
      <c r="G104" s="3">
        <v>34</v>
      </c>
      <c r="H104" s="3">
        <v>46</v>
      </c>
    </row>
    <row r="105" spans="1:8" ht="15.75" customHeight="1" x14ac:dyDescent="0.3">
      <c r="A105" s="3">
        <v>103</v>
      </c>
      <c r="B105" s="3">
        <v>104</v>
      </c>
      <c r="C105" s="3">
        <v>0.2273</v>
      </c>
      <c r="D105" s="3">
        <v>0.33</v>
      </c>
      <c r="E105" s="3">
        <v>0.32840000000000003</v>
      </c>
      <c r="F105" s="3">
        <v>5</v>
      </c>
      <c r="G105" s="3">
        <v>74</v>
      </c>
      <c r="H105" s="3">
        <v>79</v>
      </c>
    </row>
    <row r="106" spans="1:8" ht="15.75" customHeight="1" x14ac:dyDescent="0.3">
      <c r="A106" s="3">
        <v>104</v>
      </c>
      <c r="B106" s="3">
        <v>105</v>
      </c>
      <c r="C106" s="3">
        <v>0.2576</v>
      </c>
      <c r="D106" s="3">
        <v>0.3</v>
      </c>
      <c r="E106" s="3">
        <v>0.29849999999999999</v>
      </c>
      <c r="F106" s="3">
        <v>6</v>
      </c>
      <c r="G106" s="3">
        <v>65</v>
      </c>
      <c r="H106" s="3">
        <v>71</v>
      </c>
    </row>
    <row r="107" spans="1:8" ht="15.75" customHeight="1" x14ac:dyDescent="0.3">
      <c r="A107" s="3">
        <v>105</v>
      </c>
      <c r="B107" s="3">
        <v>106</v>
      </c>
      <c r="C107" s="3">
        <v>0.28789999999999999</v>
      </c>
      <c r="D107" s="3">
        <v>0.28000000000000003</v>
      </c>
      <c r="E107" s="3">
        <v>0.19400000000000001</v>
      </c>
      <c r="F107" s="3">
        <v>10</v>
      </c>
      <c r="G107" s="3">
        <v>52</v>
      </c>
      <c r="H107" s="3">
        <v>62</v>
      </c>
    </row>
    <row r="108" spans="1:8" ht="15.75" customHeight="1" x14ac:dyDescent="0.3">
      <c r="A108" s="3">
        <v>106</v>
      </c>
      <c r="B108" s="3">
        <v>107</v>
      </c>
      <c r="C108" s="3">
        <v>0.28789999999999999</v>
      </c>
      <c r="D108" s="3">
        <v>0.28000000000000003</v>
      </c>
      <c r="E108" s="3">
        <v>0.19400000000000001</v>
      </c>
      <c r="F108" s="3">
        <v>7</v>
      </c>
      <c r="G108" s="3">
        <v>55</v>
      </c>
      <c r="H108" s="3">
        <v>62</v>
      </c>
    </row>
    <row r="109" spans="1:8" ht="15.75" customHeight="1" x14ac:dyDescent="0.3">
      <c r="A109" s="3">
        <v>107</v>
      </c>
      <c r="B109" s="3">
        <v>108</v>
      </c>
      <c r="C109" s="3">
        <v>0.31819999999999998</v>
      </c>
      <c r="D109" s="3">
        <v>0.28000000000000003</v>
      </c>
      <c r="E109" s="3">
        <v>8.9599999999999999E-2</v>
      </c>
      <c r="F109" s="3">
        <v>4</v>
      </c>
      <c r="G109" s="3">
        <v>85</v>
      </c>
      <c r="H109" s="3">
        <v>89</v>
      </c>
    </row>
    <row r="110" spans="1:8" ht="15.75" customHeight="1" x14ac:dyDescent="0.3">
      <c r="A110" s="3">
        <v>108</v>
      </c>
      <c r="B110" s="3">
        <v>109</v>
      </c>
      <c r="C110" s="3">
        <v>0.2273</v>
      </c>
      <c r="D110" s="3">
        <v>0.38</v>
      </c>
      <c r="E110" s="3">
        <v>0.19400000000000001</v>
      </c>
      <c r="F110" s="3">
        <v>4</v>
      </c>
      <c r="G110" s="3">
        <v>186</v>
      </c>
      <c r="H110" s="3">
        <v>190</v>
      </c>
    </row>
    <row r="111" spans="1:8" ht="15.75" customHeight="1" x14ac:dyDescent="0.3">
      <c r="A111" s="3">
        <v>109</v>
      </c>
      <c r="B111" s="3">
        <v>110</v>
      </c>
      <c r="C111" s="3">
        <v>0.2424</v>
      </c>
      <c r="D111" s="3">
        <v>0.38</v>
      </c>
      <c r="E111" s="3">
        <v>0.1343</v>
      </c>
      <c r="F111" s="3">
        <v>3</v>
      </c>
      <c r="G111" s="3">
        <v>166</v>
      </c>
      <c r="H111" s="3">
        <v>169</v>
      </c>
    </row>
    <row r="112" spans="1:8" ht="15.75" customHeight="1" x14ac:dyDescent="0.3">
      <c r="A112" s="3">
        <v>110</v>
      </c>
      <c r="B112" s="3">
        <v>111</v>
      </c>
      <c r="C112" s="3">
        <v>0.2576</v>
      </c>
      <c r="D112" s="3">
        <v>0.38</v>
      </c>
      <c r="E112" s="3">
        <v>0.1045</v>
      </c>
      <c r="F112" s="3">
        <v>5</v>
      </c>
      <c r="G112" s="3">
        <v>127</v>
      </c>
      <c r="H112" s="3">
        <v>132</v>
      </c>
    </row>
    <row r="113" spans="1:8" ht="15.75" customHeight="1" x14ac:dyDescent="0.3">
      <c r="A113" s="3">
        <v>111</v>
      </c>
      <c r="B113" s="3">
        <v>112</v>
      </c>
      <c r="C113" s="3">
        <v>0.2273</v>
      </c>
      <c r="D113" s="3">
        <v>0.47</v>
      </c>
      <c r="E113" s="3">
        <v>0.16420000000000001</v>
      </c>
      <c r="F113" s="3">
        <v>7</v>
      </c>
      <c r="G113" s="3">
        <v>82</v>
      </c>
      <c r="H113" s="3">
        <v>89</v>
      </c>
    </row>
    <row r="114" spans="1:8" ht="15.75" customHeight="1" x14ac:dyDescent="0.3">
      <c r="A114" s="3">
        <v>112</v>
      </c>
      <c r="B114" s="3">
        <v>113</v>
      </c>
      <c r="C114" s="3">
        <v>0.19700000000000001</v>
      </c>
      <c r="D114" s="3">
        <v>0.51</v>
      </c>
      <c r="E114" s="3">
        <v>0.19400000000000001</v>
      </c>
      <c r="F114" s="3">
        <v>3</v>
      </c>
      <c r="G114" s="3">
        <v>40</v>
      </c>
      <c r="H114" s="3">
        <v>43</v>
      </c>
    </row>
    <row r="115" spans="1:8" ht="15.75" customHeight="1" x14ac:dyDescent="0.3">
      <c r="A115" s="3">
        <v>113</v>
      </c>
      <c r="B115" s="3">
        <v>114</v>
      </c>
      <c r="C115" s="3">
        <v>0.19700000000000001</v>
      </c>
      <c r="D115" s="3">
        <v>0.55000000000000004</v>
      </c>
      <c r="E115" s="3">
        <v>0.1343</v>
      </c>
      <c r="F115" s="3">
        <v>1</v>
      </c>
      <c r="G115" s="3">
        <v>41</v>
      </c>
      <c r="H115" s="3">
        <v>42</v>
      </c>
    </row>
    <row r="116" spans="1:8" ht="15.75" customHeight="1" x14ac:dyDescent="0.3">
      <c r="A116" s="3">
        <v>114</v>
      </c>
      <c r="B116" s="3">
        <v>115</v>
      </c>
      <c r="C116" s="3">
        <v>0.2576</v>
      </c>
      <c r="D116" s="3">
        <v>0.47</v>
      </c>
      <c r="E116" s="3">
        <v>0</v>
      </c>
      <c r="F116" s="3">
        <v>1</v>
      </c>
      <c r="G116" s="3">
        <v>18</v>
      </c>
      <c r="H116" s="3">
        <v>19</v>
      </c>
    </row>
    <row r="117" spans="1:8" ht="15.75" customHeight="1" x14ac:dyDescent="0.3">
      <c r="A117" s="3">
        <v>115</v>
      </c>
      <c r="B117" s="3">
        <v>116</v>
      </c>
      <c r="C117" s="3">
        <v>0.2424</v>
      </c>
      <c r="D117" s="3">
        <v>0.55000000000000004</v>
      </c>
      <c r="E117" s="3">
        <v>0</v>
      </c>
      <c r="F117" s="3">
        <v>0</v>
      </c>
      <c r="G117" s="3">
        <v>11</v>
      </c>
      <c r="H117" s="3">
        <v>11</v>
      </c>
    </row>
    <row r="118" spans="1:8" ht="15.75" customHeight="1" x14ac:dyDescent="0.3">
      <c r="A118" s="3">
        <v>116</v>
      </c>
      <c r="B118" s="3">
        <v>117</v>
      </c>
      <c r="C118" s="3">
        <v>0.2273</v>
      </c>
      <c r="D118" s="3">
        <v>0.64</v>
      </c>
      <c r="E118" s="3">
        <v>0</v>
      </c>
      <c r="F118" s="3">
        <v>0</v>
      </c>
      <c r="G118" s="3">
        <v>4</v>
      </c>
      <c r="H118" s="3">
        <v>4</v>
      </c>
    </row>
    <row r="119" spans="1:8" ht="15.75" customHeight="1" x14ac:dyDescent="0.3">
      <c r="A119" s="3">
        <v>117</v>
      </c>
      <c r="B119" s="3">
        <v>118</v>
      </c>
      <c r="C119" s="3">
        <v>0.2273</v>
      </c>
      <c r="D119" s="3">
        <v>0.64</v>
      </c>
      <c r="E119" s="3">
        <v>0</v>
      </c>
      <c r="F119" s="3">
        <v>0</v>
      </c>
      <c r="G119" s="3">
        <v>2</v>
      </c>
      <c r="H119" s="3">
        <v>2</v>
      </c>
    </row>
    <row r="120" spans="1:8" ht="15.75" customHeight="1" x14ac:dyDescent="0.3">
      <c r="A120" s="3">
        <v>118</v>
      </c>
      <c r="B120" s="3">
        <v>119</v>
      </c>
      <c r="C120" s="3">
        <v>0.19700000000000001</v>
      </c>
      <c r="D120" s="3">
        <v>0.64</v>
      </c>
      <c r="E120" s="3">
        <v>8.9599999999999999E-2</v>
      </c>
      <c r="F120" s="3">
        <v>0</v>
      </c>
      <c r="G120" s="3">
        <v>1</v>
      </c>
      <c r="H120" s="3">
        <v>1</v>
      </c>
    </row>
    <row r="121" spans="1:8" ht="15.75" customHeight="1" x14ac:dyDescent="0.3">
      <c r="A121" s="3">
        <v>119</v>
      </c>
      <c r="B121" s="3">
        <v>120</v>
      </c>
      <c r="C121" s="3">
        <v>0.18179999999999999</v>
      </c>
      <c r="D121" s="3">
        <v>0.69</v>
      </c>
      <c r="E121" s="3">
        <v>8.9599999999999999E-2</v>
      </c>
      <c r="F121" s="3">
        <v>0</v>
      </c>
      <c r="G121" s="3">
        <v>4</v>
      </c>
      <c r="H121" s="3">
        <v>4</v>
      </c>
    </row>
    <row r="122" spans="1:8" ht="15.75" customHeight="1" x14ac:dyDescent="0.3">
      <c r="A122" s="3">
        <v>120</v>
      </c>
      <c r="B122" s="3">
        <v>121</v>
      </c>
      <c r="C122" s="3">
        <v>0.16669999999999999</v>
      </c>
      <c r="D122" s="3">
        <v>0.63</v>
      </c>
      <c r="E122" s="3">
        <v>0.1045</v>
      </c>
      <c r="F122" s="3">
        <v>0</v>
      </c>
      <c r="G122" s="3">
        <v>36</v>
      </c>
      <c r="H122" s="3">
        <v>36</v>
      </c>
    </row>
    <row r="123" spans="1:8" ht="15.75" customHeight="1" x14ac:dyDescent="0.3">
      <c r="A123" s="3">
        <v>121</v>
      </c>
      <c r="B123" s="3">
        <v>122</v>
      </c>
      <c r="C123" s="3">
        <v>0.2273</v>
      </c>
      <c r="D123" s="3">
        <v>0.59</v>
      </c>
      <c r="E123" s="3">
        <v>0</v>
      </c>
      <c r="F123" s="3">
        <v>0</v>
      </c>
      <c r="G123" s="3">
        <v>95</v>
      </c>
      <c r="H123" s="3">
        <v>95</v>
      </c>
    </row>
    <row r="124" spans="1:8" ht="15.75" customHeight="1" x14ac:dyDescent="0.3">
      <c r="A124" s="3">
        <v>122</v>
      </c>
      <c r="B124" s="3">
        <v>123</v>
      </c>
      <c r="C124" s="3">
        <v>0.2273</v>
      </c>
      <c r="D124" s="3">
        <v>0.59</v>
      </c>
      <c r="E124" s="3">
        <v>0</v>
      </c>
      <c r="F124" s="3">
        <v>3</v>
      </c>
      <c r="G124" s="3">
        <v>216</v>
      </c>
      <c r="H124" s="3">
        <v>219</v>
      </c>
    </row>
    <row r="125" spans="1:8" ht="15.75" customHeight="1" x14ac:dyDescent="0.3">
      <c r="A125" s="3">
        <v>123</v>
      </c>
      <c r="B125" s="3">
        <v>124</v>
      </c>
      <c r="C125" s="3">
        <v>0.2424</v>
      </c>
      <c r="D125" s="3">
        <v>0.51</v>
      </c>
      <c r="E125" s="3">
        <v>0</v>
      </c>
      <c r="F125" s="3">
        <v>6</v>
      </c>
      <c r="G125" s="3">
        <v>116</v>
      </c>
      <c r="H125" s="3">
        <v>122</v>
      </c>
    </row>
    <row r="126" spans="1:8" ht="15.75" customHeight="1" x14ac:dyDescent="0.3">
      <c r="A126" s="3">
        <v>124</v>
      </c>
      <c r="B126" s="3">
        <v>125</v>
      </c>
      <c r="C126" s="3">
        <v>0.2576</v>
      </c>
      <c r="D126" s="3">
        <v>0.47</v>
      </c>
      <c r="E126" s="3">
        <v>0</v>
      </c>
      <c r="F126" s="3">
        <v>3</v>
      </c>
      <c r="G126" s="3">
        <v>42</v>
      </c>
      <c r="H126" s="3">
        <v>45</v>
      </c>
    </row>
    <row r="127" spans="1:8" ht="15.75" customHeight="1" x14ac:dyDescent="0.3">
      <c r="A127" s="3">
        <v>125</v>
      </c>
      <c r="B127" s="3">
        <v>126</v>
      </c>
      <c r="C127" s="3">
        <v>0.2576</v>
      </c>
      <c r="D127" s="3">
        <v>0.44</v>
      </c>
      <c r="E127" s="3">
        <v>8.9599999999999999E-2</v>
      </c>
      <c r="F127" s="3">
        <v>2</v>
      </c>
      <c r="G127" s="3">
        <v>57</v>
      </c>
      <c r="H127" s="3">
        <v>59</v>
      </c>
    </row>
    <row r="128" spans="1:8" ht="15.75" customHeight="1" x14ac:dyDescent="0.3">
      <c r="A128" s="3">
        <v>126</v>
      </c>
      <c r="B128" s="3">
        <v>127</v>
      </c>
      <c r="C128" s="3">
        <v>0.28789999999999999</v>
      </c>
      <c r="D128" s="3">
        <v>0.35</v>
      </c>
      <c r="E128" s="3">
        <v>0</v>
      </c>
      <c r="F128" s="3">
        <v>6</v>
      </c>
      <c r="G128" s="3">
        <v>78</v>
      </c>
      <c r="H128" s="3">
        <v>84</v>
      </c>
    </row>
    <row r="129" spans="1:8" ht="15.75" customHeight="1" x14ac:dyDescent="0.3">
      <c r="A129" s="3">
        <v>127</v>
      </c>
      <c r="B129" s="3">
        <v>128</v>
      </c>
      <c r="C129" s="3">
        <v>0.2727</v>
      </c>
      <c r="D129" s="3">
        <v>0.35</v>
      </c>
      <c r="E129" s="3">
        <v>0.1045</v>
      </c>
      <c r="F129" s="3">
        <v>12</v>
      </c>
      <c r="G129" s="3">
        <v>55</v>
      </c>
      <c r="H129" s="3">
        <v>67</v>
      </c>
    </row>
    <row r="130" spans="1:8" ht="15.75" customHeight="1" x14ac:dyDescent="0.3">
      <c r="A130" s="3">
        <v>128</v>
      </c>
      <c r="B130" s="3">
        <v>129</v>
      </c>
      <c r="C130" s="3">
        <v>0.2727</v>
      </c>
      <c r="D130" s="3">
        <v>0.36</v>
      </c>
      <c r="E130" s="3">
        <v>0.16420000000000001</v>
      </c>
      <c r="F130" s="3">
        <v>11</v>
      </c>
      <c r="G130" s="3">
        <v>59</v>
      </c>
      <c r="H130" s="3">
        <v>70</v>
      </c>
    </row>
    <row r="131" spans="1:8" ht="15.75" customHeight="1" x14ac:dyDescent="0.3">
      <c r="A131" s="3">
        <v>129</v>
      </c>
      <c r="B131" s="3">
        <v>130</v>
      </c>
      <c r="C131" s="3">
        <v>0.2727</v>
      </c>
      <c r="D131" s="3">
        <v>0.36</v>
      </c>
      <c r="E131" s="3">
        <v>0</v>
      </c>
      <c r="F131" s="3">
        <v>8</v>
      </c>
      <c r="G131" s="3">
        <v>54</v>
      </c>
      <c r="H131" s="3">
        <v>62</v>
      </c>
    </row>
    <row r="132" spans="1:8" ht="15.75" customHeight="1" x14ac:dyDescent="0.3">
      <c r="A132" s="3">
        <v>130</v>
      </c>
      <c r="B132" s="3">
        <v>131</v>
      </c>
      <c r="C132" s="3">
        <v>0.2576</v>
      </c>
      <c r="D132" s="3">
        <v>0.38</v>
      </c>
      <c r="E132" s="3">
        <v>0.16420000000000001</v>
      </c>
      <c r="F132" s="3">
        <v>12</v>
      </c>
      <c r="G132" s="3">
        <v>74</v>
      </c>
      <c r="H132" s="3">
        <v>86</v>
      </c>
    </row>
    <row r="133" spans="1:8" ht="15.75" customHeight="1" x14ac:dyDescent="0.3">
      <c r="A133" s="3">
        <v>131</v>
      </c>
      <c r="B133" s="3">
        <v>132</v>
      </c>
      <c r="C133" s="3">
        <v>0.2273</v>
      </c>
      <c r="D133" s="3">
        <v>0.51</v>
      </c>
      <c r="E133" s="3">
        <v>0.16420000000000001</v>
      </c>
      <c r="F133" s="3">
        <v>9</v>
      </c>
      <c r="G133" s="3">
        <v>163</v>
      </c>
      <c r="H133" s="3">
        <v>172</v>
      </c>
    </row>
    <row r="134" spans="1:8" ht="15.75" customHeight="1" x14ac:dyDescent="0.3">
      <c r="A134" s="3">
        <v>132</v>
      </c>
      <c r="B134" s="3">
        <v>133</v>
      </c>
      <c r="C134" s="3">
        <v>0.2273</v>
      </c>
      <c r="D134" s="3">
        <v>0.51</v>
      </c>
      <c r="E134" s="3">
        <v>0.1343</v>
      </c>
      <c r="F134" s="3">
        <v>5</v>
      </c>
      <c r="G134" s="3">
        <v>158</v>
      </c>
      <c r="H134" s="3">
        <v>163</v>
      </c>
    </row>
    <row r="135" spans="1:8" ht="15.75" customHeight="1" x14ac:dyDescent="0.3">
      <c r="A135" s="3">
        <v>133</v>
      </c>
      <c r="B135" s="3">
        <v>134</v>
      </c>
      <c r="C135" s="3">
        <v>0.2576</v>
      </c>
      <c r="D135" s="3">
        <v>0.55000000000000004</v>
      </c>
      <c r="E135" s="3">
        <v>8.9599999999999999E-2</v>
      </c>
      <c r="F135" s="3">
        <v>3</v>
      </c>
      <c r="G135" s="3">
        <v>109</v>
      </c>
      <c r="H135" s="3">
        <v>112</v>
      </c>
    </row>
    <row r="136" spans="1:8" ht="15.75" customHeight="1" x14ac:dyDescent="0.3">
      <c r="A136" s="3">
        <v>134</v>
      </c>
      <c r="B136" s="3">
        <v>135</v>
      </c>
      <c r="C136" s="3">
        <v>0.21210000000000001</v>
      </c>
      <c r="D136" s="3">
        <v>0.51</v>
      </c>
      <c r="E136" s="3">
        <v>0.16420000000000001</v>
      </c>
      <c r="F136" s="3">
        <v>3</v>
      </c>
      <c r="G136" s="3">
        <v>66</v>
      </c>
      <c r="H136" s="3">
        <v>69</v>
      </c>
    </row>
    <row r="137" spans="1:8" ht="15.75" customHeight="1" x14ac:dyDescent="0.3">
      <c r="A137" s="3">
        <v>135</v>
      </c>
      <c r="B137" s="3">
        <v>136</v>
      </c>
      <c r="C137" s="3">
        <v>0.21210000000000001</v>
      </c>
      <c r="D137" s="3">
        <v>0.55000000000000004</v>
      </c>
      <c r="E137" s="3">
        <v>0.22389999999999999</v>
      </c>
      <c r="F137" s="3">
        <v>0</v>
      </c>
      <c r="G137" s="3">
        <v>48</v>
      </c>
      <c r="H137" s="3">
        <v>48</v>
      </c>
    </row>
    <row r="138" spans="1:8" ht="15.75" customHeight="1" x14ac:dyDescent="0.3">
      <c r="A138" s="3">
        <v>136</v>
      </c>
      <c r="B138" s="3">
        <v>137</v>
      </c>
      <c r="C138" s="3">
        <v>0.21210000000000001</v>
      </c>
      <c r="D138" s="3">
        <v>0.51</v>
      </c>
      <c r="E138" s="3">
        <v>0.28360000000000002</v>
      </c>
      <c r="F138" s="3">
        <v>1</v>
      </c>
      <c r="G138" s="3">
        <v>51</v>
      </c>
      <c r="H138" s="3">
        <v>52</v>
      </c>
    </row>
    <row r="139" spans="1:8" ht="15.75" customHeight="1" x14ac:dyDescent="0.3">
      <c r="A139" s="3">
        <v>137</v>
      </c>
      <c r="B139" s="3">
        <v>138</v>
      </c>
      <c r="C139" s="3">
        <v>0.19700000000000001</v>
      </c>
      <c r="D139" s="3">
        <v>0.59</v>
      </c>
      <c r="E139" s="3">
        <v>0.19400000000000001</v>
      </c>
      <c r="F139" s="3">
        <v>4</v>
      </c>
      <c r="G139" s="3">
        <v>19</v>
      </c>
      <c r="H139" s="3">
        <v>23</v>
      </c>
    </row>
    <row r="140" spans="1:8" ht="15.75" customHeight="1" x14ac:dyDescent="0.3">
      <c r="A140" s="3">
        <v>138</v>
      </c>
      <c r="B140" s="3">
        <v>139</v>
      </c>
      <c r="C140" s="3">
        <v>0.19700000000000001</v>
      </c>
      <c r="D140" s="3">
        <v>0.64</v>
      </c>
      <c r="E140" s="3">
        <v>0.19400000000000001</v>
      </c>
      <c r="F140" s="3">
        <v>4</v>
      </c>
      <c r="G140" s="3">
        <v>13</v>
      </c>
      <c r="H140" s="3">
        <v>17</v>
      </c>
    </row>
    <row r="141" spans="1:8" ht="15.75" customHeight="1" x14ac:dyDescent="0.3">
      <c r="A141" s="3">
        <v>139</v>
      </c>
      <c r="B141" s="3">
        <v>140</v>
      </c>
      <c r="C141" s="3">
        <v>0.19700000000000001</v>
      </c>
      <c r="D141" s="3">
        <v>0.69</v>
      </c>
      <c r="E141" s="3">
        <v>0.22389999999999999</v>
      </c>
      <c r="F141" s="3">
        <v>2</v>
      </c>
      <c r="G141" s="3">
        <v>5</v>
      </c>
      <c r="H141" s="3">
        <v>7</v>
      </c>
    </row>
    <row r="142" spans="1:8" ht="15.75" customHeight="1" x14ac:dyDescent="0.3">
      <c r="A142" s="3">
        <v>140</v>
      </c>
      <c r="B142" s="3">
        <v>141</v>
      </c>
      <c r="C142" s="3">
        <v>0.19700000000000001</v>
      </c>
      <c r="D142" s="3">
        <v>0.69</v>
      </c>
      <c r="E142" s="3">
        <v>0.22389999999999999</v>
      </c>
      <c r="F142" s="3">
        <v>0</v>
      </c>
      <c r="G142" s="3">
        <v>1</v>
      </c>
      <c r="H142" s="3">
        <v>1</v>
      </c>
    </row>
    <row r="143" spans="1:8" ht="15.75" customHeight="1" x14ac:dyDescent="0.3">
      <c r="A143" s="3">
        <v>141</v>
      </c>
      <c r="B143" s="3">
        <v>142</v>
      </c>
      <c r="C143" s="3">
        <v>0.21210000000000001</v>
      </c>
      <c r="D143" s="3">
        <v>0.69</v>
      </c>
      <c r="E143" s="3">
        <v>0.1343</v>
      </c>
      <c r="F143" s="3">
        <v>0</v>
      </c>
      <c r="G143" s="3">
        <v>1</v>
      </c>
      <c r="H143" s="3">
        <v>1</v>
      </c>
    </row>
    <row r="144" spans="1:8" ht="15.75" customHeight="1" x14ac:dyDescent="0.3">
      <c r="A144" s="3">
        <v>142</v>
      </c>
      <c r="B144" s="3">
        <v>143</v>
      </c>
      <c r="C144" s="3">
        <v>0.2727</v>
      </c>
      <c r="D144" s="3">
        <v>0.55000000000000004</v>
      </c>
      <c r="E144" s="3">
        <v>0</v>
      </c>
      <c r="F144" s="3">
        <v>0</v>
      </c>
      <c r="G144" s="3">
        <v>5</v>
      </c>
      <c r="H144" s="3">
        <v>5</v>
      </c>
    </row>
    <row r="145" spans="1:8" ht="15.75" customHeight="1" x14ac:dyDescent="0.3">
      <c r="A145" s="3">
        <v>143</v>
      </c>
      <c r="B145" s="3">
        <v>144</v>
      </c>
      <c r="C145" s="3">
        <v>0.2576</v>
      </c>
      <c r="D145" s="3">
        <v>0.69</v>
      </c>
      <c r="E145" s="3">
        <v>0</v>
      </c>
      <c r="F145" s="3">
        <v>8</v>
      </c>
      <c r="G145" s="3">
        <v>26</v>
      </c>
      <c r="H145" s="3">
        <v>34</v>
      </c>
    </row>
    <row r="146" spans="1:8" ht="15.75" customHeight="1" x14ac:dyDescent="0.3">
      <c r="A146" s="3">
        <v>144</v>
      </c>
      <c r="B146" s="3">
        <v>145</v>
      </c>
      <c r="C146" s="3">
        <v>0.21210000000000001</v>
      </c>
      <c r="D146" s="3">
        <v>0.69</v>
      </c>
      <c r="E146" s="3">
        <v>0.1343</v>
      </c>
      <c r="F146" s="3">
        <v>8</v>
      </c>
      <c r="G146" s="3">
        <v>76</v>
      </c>
      <c r="H146" s="3">
        <v>84</v>
      </c>
    </row>
    <row r="147" spans="1:8" ht="15.75" customHeight="1" x14ac:dyDescent="0.3">
      <c r="A147" s="3">
        <v>145</v>
      </c>
      <c r="B147" s="3">
        <v>146</v>
      </c>
      <c r="C147" s="3">
        <v>0.19700000000000001</v>
      </c>
      <c r="D147" s="3">
        <v>0.51</v>
      </c>
      <c r="E147" s="3">
        <v>0.25369999999999998</v>
      </c>
      <c r="F147" s="3">
        <v>20</v>
      </c>
      <c r="G147" s="3">
        <v>190</v>
      </c>
      <c r="H147" s="3">
        <v>210</v>
      </c>
    </row>
    <row r="148" spans="1:8" ht="15.75" customHeight="1" x14ac:dyDescent="0.3">
      <c r="A148" s="3">
        <v>146</v>
      </c>
      <c r="B148" s="3">
        <v>147</v>
      </c>
      <c r="C148" s="3">
        <v>0.18179999999999999</v>
      </c>
      <c r="D148" s="3">
        <v>0.47</v>
      </c>
      <c r="E148" s="3">
        <v>0.29849999999999999</v>
      </c>
      <c r="F148" s="3">
        <v>9</v>
      </c>
      <c r="G148" s="3">
        <v>125</v>
      </c>
      <c r="H148" s="3">
        <v>134</v>
      </c>
    </row>
    <row r="149" spans="1:8" ht="15.75" customHeight="1" x14ac:dyDescent="0.3">
      <c r="A149" s="3">
        <v>147</v>
      </c>
      <c r="B149" s="3">
        <v>148</v>
      </c>
      <c r="C149" s="3">
        <v>0.19700000000000001</v>
      </c>
      <c r="D149" s="3">
        <v>0.37</v>
      </c>
      <c r="E149" s="3">
        <v>0.32840000000000003</v>
      </c>
      <c r="F149" s="3">
        <v>16</v>
      </c>
      <c r="G149" s="3">
        <v>47</v>
      </c>
      <c r="H149" s="3">
        <v>63</v>
      </c>
    </row>
    <row r="150" spans="1:8" ht="15.75" customHeight="1" x14ac:dyDescent="0.3">
      <c r="A150" s="3">
        <v>148</v>
      </c>
      <c r="B150" s="3">
        <v>149</v>
      </c>
      <c r="C150" s="3">
        <v>0.19700000000000001</v>
      </c>
      <c r="D150" s="3">
        <v>0.4</v>
      </c>
      <c r="E150" s="3">
        <v>0.22389999999999999</v>
      </c>
      <c r="F150" s="3">
        <v>19</v>
      </c>
      <c r="G150" s="3">
        <v>48</v>
      </c>
      <c r="H150" s="3">
        <v>67</v>
      </c>
    </row>
    <row r="151" spans="1:8" ht="15.75" customHeight="1" x14ac:dyDescent="0.3">
      <c r="A151" s="3">
        <v>149</v>
      </c>
      <c r="B151" s="3">
        <v>150</v>
      </c>
      <c r="C151" s="3">
        <v>0.19700000000000001</v>
      </c>
      <c r="D151" s="3">
        <v>0.37</v>
      </c>
      <c r="E151" s="3">
        <v>0.25369999999999998</v>
      </c>
      <c r="F151" s="3">
        <v>9</v>
      </c>
      <c r="G151" s="3">
        <v>50</v>
      </c>
      <c r="H151" s="3">
        <v>59</v>
      </c>
    </row>
    <row r="152" spans="1:8" ht="15.75" customHeight="1" x14ac:dyDescent="0.3">
      <c r="A152" s="3">
        <v>150</v>
      </c>
      <c r="B152" s="3">
        <v>151</v>
      </c>
      <c r="C152" s="3">
        <v>0.18179999999999999</v>
      </c>
      <c r="D152" s="3">
        <v>0.37</v>
      </c>
      <c r="E152" s="3">
        <v>0.28360000000000002</v>
      </c>
      <c r="F152" s="3">
        <v>9</v>
      </c>
      <c r="G152" s="3">
        <v>64</v>
      </c>
      <c r="H152" s="3">
        <v>73</v>
      </c>
    </row>
    <row r="153" spans="1:8" ht="15.75" customHeight="1" x14ac:dyDescent="0.3">
      <c r="A153" s="3">
        <v>151</v>
      </c>
      <c r="B153" s="3">
        <v>152</v>
      </c>
      <c r="C153" s="3">
        <v>0.19700000000000001</v>
      </c>
      <c r="D153" s="3">
        <v>0.4</v>
      </c>
      <c r="E153" s="3">
        <v>0.25369999999999998</v>
      </c>
      <c r="F153" s="3">
        <v>7</v>
      </c>
      <c r="G153" s="3">
        <v>43</v>
      </c>
      <c r="H153" s="3">
        <v>50</v>
      </c>
    </row>
    <row r="154" spans="1:8" ht="15.75" customHeight="1" x14ac:dyDescent="0.3">
      <c r="A154" s="3">
        <v>152</v>
      </c>
      <c r="B154" s="3">
        <v>153</v>
      </c>
      <c r="C154" s="3">
        <v>0.21210000000000001</v>
      </c>
      <c r="D154" s="3">
        <v>0.37</v>
      </c>
      <c r="E154" s="3">
        <v>0.16420000000000001</v>
      </c>
      <c r="F154" s="3">
        <v>9</v>
      </c>
      <c r="G154" s="3">
        <v>63</v>
      </c>
      <c r="H154" s="3">
        <v>72</v>
      </c>
    </row>
    <row r="155" spans="1:8" ht="15.75" customHeight="1" x14ac:dyDescent="0.3">
      <c r="A155" s="3">
        <v>153</v>
      </c>
      <c r="B155" s="3">
        <v>154</v>
      </c>
      <c r="C155" s="3">
        <v>0.21210000000000001</v>
      </c>
      <c r="D155" s="3">
        <v>0.37</v>
      </c>
      <c r="E155" s="3">
        <v>0.16420000000000001</v>
      </c>
      <c r="F155" s="3">
        <v>5</v>
      </c>
      <c r="G155" s="3">
        <v>82</v>
      </c>
      <c r="H155" s="3">
        <v>87</v>
      </c>
    </row>
    <row r="156" spans="1:8" ht="15.75" customHeight="1" x14ac:dyDescent="0.3">
      <c r="A156" s="3">
        <v>154</v>
      </c>
      <c r="B156" s="3">
        <v>155</v>
      </c>
      <c r="C156" s="3">
        <v>0.2576</v>
      </c>
      <c r="D156" s="3">
        <v>0.37</v>
      </c>
      <c r="E156" s="3">
        <v>0</v>
      </c>
      <c r="F156" s="3">
        <v>9</v>
      </c>
      <c r="G156" s="3">
        <v>178</v>
      </c>
      <c r="H156" s="3">
        <v>187</v>
      </c>
    </row>
    <row r="157" spans="1:8" ht="15.75" customHeight="1" x14ac:dyDescent="0.3">
      <c r="A157" s="3">
        <v>155</v>
      </c>
      <c r="B157" s="3">
        <v>156</v>
      </c>
      <c r="C157" s="3">
        <v>0.2273</v>
      </c>
      <c r="D157" s="3">
        <v>0.4</v>
      </c>
      <c r="E157" s="3">
        <v>8.9599999999999999E-2</v>
      </c>
      <c r="F157" s="3">
        <v>7</v>
      </c>
      <c r="G157" s="3">
        <v>116</v>
      </c>
      <c r="H157" s="3">
        <v>123</v>
      </c>
    </row>
    <row r="158" spans="1:8" ht="15.75" customHeight="1" x14ac:dyDescent="0.3">
      <c r="A158" s="3">
        <v>156</v>
      </c>
      <c r="B158" s="3">
        <v>157</v>
      </c>
      <c r="C158" s="3">
        <v>0.19700000000000001</v>
      </c>
      <c r="D158" s="3">
        <v>0.55000000000000004</v>
      </c>
      <c r="E158" s="3">
        <v>8.9599999999999999E-2</v>
      </c>
      <c r="F158" s="3">
        <v>3</v>
      </c>
      <c r="G158" s="3">
        <v>92</v>
      </c>
      <c r="H158" s="3">
        <v>95</v>
      </c>
    </row>
    <row r="159" spans="1:8" ht="15.75" customHeight="1" x14ac:dyDescent="0.3">
      <c r="A159" s="3">
        <v>157</v>
      </c>
      <c r="B159" s="3">
        <v>158</v>
      </c>
      <c r="C159" s="3">
        <v>0.21210000000000001</v>
      </c>
      <c r="D159" s="3">
        <v>0.47</v>
      </c>
      <c r="E159" s="3">
        <v>0.1045</v>
      </c>
      <c r="F159" s="3">
        <v>1</v>
      </c>
      <c r="G159" s="3">
        <v>50</v>
      </c>
      <c r="H159" s="3">
        <v>51</v>
      </c>
    </row>
    <row r="160" spans="1:8" ht="15.75" customHeight="1" x14ac:dyDescent="0.3">
      <c r="A160" s="3">
        <v>158</v>
      </c>
      <c r="B160" s="3">
        <v>159</v>
      </c>
      <c r="C160" s="3">
        <v>0.19700000000000001</v>
      </c>
      <c r="D160" s="3">
        <v>0.47</v>
      </c>
      <c r="E160" s="3">
        <v>0.1343</v>
      </c>
      <c r="F160" s="3">
        <v>0</v>
      </c>
      <c r="G160" s="3">
        <v>39</v>
      </c>
      <c r="H160" s="3">
        <v>39</v>
      </c>
    </row>
    <row r="161" spans="1:8" ht="15.75" customHeight="1" x14ac:dyDescent="0.3">
      <c r="A161" s="3">
        <v>159</v>
      </c>
      <c r="B161" s="3">
        <v>160</v>
      </c>
      <c r="C161" s="3">
        <v>0.19700000000000001</v>
      </c>
      <c r="D161" s="3">
        <v>0.43</v>
      </c>
      <c r="E161" s="3">
        <v>0.16420000000000001</v>
      </c>
      <c r="F161" s="3">
        <v>2</v>
      </c>
      <c r="G161" s="3">
        <v>34</v>
      </c>
      <c r="H161" s="3">
        <v>36</v>
      </c>
    </row>
    <row r="162" spans="1:8" ht="15.75" customHeight="1" x14ac:dyDescent="0.3">
      <c r="A162" s="3">
        <v>160</v>
      </c>
      <c r="B162" s="3">
        <v>161</v>
      </c>
      <c r="C162" s="3">
        <v>0.19700000000000001</v>
      </c>
      <c r="D162" s="3">
        <v>0.51</v>
      </c>
      <c r="E162" s="3">
        <v>0.16420000000000001</v>
      </c>
      <c r="F162" s="3">
        <v>1</v>
      </c>
      <c r="G162" s="3">
        <v>14</v>
      </c>
      <c r="H162" s="3">
        <v>15</v>
      </c>
    </row>
    <row r="163" spans="1:8" ht="15.75" customHeight="1" x14ac:dyDescent="0.3">
      <c r="A163" s="3">
        <v>161</v>
      </c>
      <c r="B163" s="3">
        <v>162</v>
      </c>
      <c r="C163" s="3">
        <v>0.19700000000000001</v>
      </c>
      <c r="D163" s="3">
        <v>0.51</v>
      </c>
      <c r="E163" s="3">
        <v>0.16420000000000001</v>
      </c>
      <c r="F163" s="3">
        <v>1</v>
      </c>
      <c r="G163" s="3">
        <v>24</v>
      </c>
      <c r="H163" s="3">
        <v>25</v>
      </c>
    </row>
    <row r="164" spans="1:8" ht="15.75" customHeight="1" x14ac:dyDescent="0.3">
      <c r="A164" s="3">
        <v>162</v>
      </c>
      <c r="B164" s="3">
        <v>163</v>
      </c>
      <c r="C164" s="3">
        <v>0.21210000000000001</v>
      </c>
      <c r="D164" s="3">
        <v>0.55000000000000004</v>
      </c>
      <c r="E164" s="3">
        <v>8.9599999999999999E-2</v>
      </c>
      <c r="F164" s="3">
        <v>1</v>
      </c>
      <c r="G164" s="3">
        <v>15</v>
      </c>
      <c r="H164" s="3">
        <v>16</v>
      </c>
    </row>
    <row r="165" spans="1:8" ht="15.75" customHeight="1" x14ac:dyDescent="0.3">
      <c r="A165" s="3">
        <v>163</v>
      </c>
      <c r="B165" s="3">
        <v>164</v>
      </c>
      <c r="C165" s="3">
        <v>0.2424</v>
      </c>
      <c r="D165" s="3">
        <v>0.55000000000000004</v>
      </c>
      <c r="E165" s="3">
        <v>0</v>
      </c>
      <c r="F165" s="3">
        <v>3</v>
      </c>
      <c r="G165" s="3">
        <v>13</v>
      </c>
      <c r="H165" s="3">
        <v>16</v>
      </c>
    </row>
    <row r="166" spans="1:8" ht="15.75" customHeight="1" x14ac:dyDescent="0.3">
      <c r="A166" s="3">
        <v>164</v>
      </c>
      <c r="B166" s="3">
        <v>165</v>
      </c>
      <c r="C166" s="3">
        <v>0.19700000000000001</v>
      </c>
      <c r="D166" s="3">
        <v>0.55000000000000004</v>
      </c>
      <c r="E166" s="3">
        <v>0.16420000000000001</v>
      </c>
      <c r="F166" s="3">
        <v>0</v>
      </c>
      <c r="G166" s="3">
        <v>7</v>
      </c>
      <c r="H166" s="3">
        <v>7</v>
      </c>
    </row>
    <row r="167" spans="1:8" ht="15.75" customHeight="1" x14ac:dyDescent="0.3">
      <c r="A167" s="3">
        <v>165</v>
      </c>
      <c r="B167" s="3">
        <v>166</v>
      </c>
      <c r="C167" s="3">
        <v>0.19700000000000001</v>
      </c>
      <c r="D167" s="3">
        <v>0.55000000000000004</v>
      </c>
      <c r="E167" s="3">
        <v>0.16420000000000001</v>
      </c>
      <c r="F167" s="3">
        <v>0</v>
      </c>
      <c r="G167" s="3">
        <v>1</v>
      </c>
      <c r="H167" s="3">
        <v>1</v>
      </c>
    </row>
    <row r="168" spans="1:8" ht="15.75" customHeight="1" x14ac:dyDescent="0.3">
      <c r="A168" s="3">
        <v>166</v>
      </c>
      <c r="B168" s="3">
        <v>167</v>
      </c>
      <c r="C168" s="3">
        <v>0.16669999999999999</v>
      </c>
      <c r="D168" s="3">
        <v>0.74</v>
      </c>
      <c r="E168" s="3">
        <v>0.16420000000000001</v>
      </c>
      <c r="F168" s="3">
        <v>0</v>
      </c>
      <c r="G168" s="3">
        <v>5</v>
      </c>
      <c r="H168" s="3">
        <v>5</v>
      </c>
    </row>
    <row r="169" spans="1:8" ht="15.75" customHeight="1" x14ac:dyDescent="0.3">
      <c r="A169" s="3">
        <v>167</v>
      </c>
      <c r="B169" s="3">
        <v>168</v>
      </c>
      <c r="C169" s="3">
        <v>0.16669999999999999</v>
      </c>
      <c r="D169" s="3">
        <v>0.74</v>
      </c>
      <c r="E169" s="3">
        <v>0.16420000000000001</v>
      </c>
      <c r="F169" s="3">
        <v>0</v>
      </c>
      <c r="G169" s="3">
        <v>2</v>
      </c>
      <c r="H169" s="3">
        <v>2</v>
      </c>
    </row>
    <row r="170" spans="1:8" ht="15.75" customHeight="1" x14ac:dyDescent="0.3">
      <c r="A170" s="3">
        <v>168</v>
      </c>
      <c r="B170" s="3">
        <v>169</v>
      </c>
      <c r="C170" s="3">
        <v>0.18179999999999999</v>
      </c>
      <c r="D170" s="3">
        <v>0.74</v>
      </c>
      <c r="E170" s="3">
        <v>0.1045</v>
      </c>
      <c r="F170" s="3">
        <v>1</v>
      </c>
      <c r="G170" s="3">
        <v>8</v>
      </c>
      <c r="H170" s="3">
        <v>9</v>
      </c>
    </row>
    <row r="171" spans="1:8" ht="15.75" customHeight="1" x14ac:dyDescent="0.3">
      <c r="A171" s="3">
        <v>169</v>
      </c>
      <c r="B171" s="3">
        <v>170</v>
      </c>
      <c r="C171" s="3">
        <v>0.18179999999999999</v>
      </c>
      <c r="D171" s="3">
        <v>0.93</v>
      </c>
      <c r="E171" s="3">
        <v>0.1045</v>
      </c>
      <c r="F171" s="3">
        <v>0</v>
      </c>
      <c r="G171" s="3">
        <v>15</v>
      </c>
      <c r="H171" s="3">
        <v>15</v>
      </c>
    </row>
    <row r="172" spans="1:8" ht="15.75" customHeight="1" x14ac:dyDescent="0.3">
      <c r="A172" s="3">
        <v>170</v>
      </c>
      <c r="B172" s="3">
        <v>171</v>
      </c>
      <c r="C172" s="3">
        <v>0.18179999999999999</v>
      </c>
      <c r="D172" s="3">
        <v>0.93</v>
      </c>
      <c r="E172" s="3">
        <v>0.1045</v>
      </c>
      <c r="F172" s="3">
        <v>0</v>
      </c>
      <c r="G172" s="3">
        <v>20</v>
      </c>
      <c r="H172" s="3">
        <v>20</v>
      </c>
    </row>
    <row r="173" spans="1:8" ht="15.75" customHeight="1" x14ac:dyDescent="0.3">
      <c r="A173" s="3">
        <v>171</v>
      </c>
      <c r="B173" s="3">
        <v>172</v>
      </c>
      <c r="C173" s="3">
        <v>0.19700000000000001</v>
      </c>
      <c r="D173" s="3">
        <v>0.8</v>
      </c>
      <c r="E173" s="3">
        <v>0.16420000000000001</v>
      </c>
      <c r="F173" s="3">
        <v>5</v>
      </c>
      <c r="G173" s="3">
        <v>56</v>
      </c>
      <c r="H173" s="3">
        <v>61</v>
      </c>
    </row>
    <row r="174" spans="1:8" ht="15.75" customHeight="1" x14ac:dyDescent="0.3">
      <c r="A174" s="3">
        <v>172</v>
      </c>
      <c r="B174" s="3">
        <v>173</v>
      </c>
      <c r="C174" s="3">
        <v>0.18179999999999999</v>
      </c>
      <c r="D174" s="3">
        <v>0.69</v>
      </c>
      <c r="E174" s="3">
        <v>0.3881</v>
      </c>
      <c r="F174" s="3">
        <v>2</v>
      </c>
      <c r="G174" s="3">
        <v>60</v>
      </c>
      <c r="H174" s="3">
        <v>62</v>
      </c>
    </row>
    <row r="175" spans="1:8" ht="15.75" customHeight="1" x14ac:dyDescent="0.3">
      <c r="A175" s="3">
        <v>173</v>
      </c>
      <c r="B175" s="3">
        <v>174</v>
      </c>
      <c r="C175" s="3">
        <v>0.18179999999999999</v>
      </c>
      <c r="D175" s="3">
        <v>0.59</v>
      </c>
      <c r="E175" s="3">
        <v>0.35820000000000002</v>
      </c>
      <c r="F175" s="3">
        <v>8</v>
      </c>
      <c r="G175" s="3">
        <v>90</v>
      </c>
      <c r="H175" s="3">
        <v>98</v>
      </c>
    </row>
    <row r="176" spans="1:8" ht="15.75" customHeight="1" x14ac:dyDescent="0.3">
      <c r="A176" s="3">
        <v>174</v>
      </c>
      <c r="B176" s="3">
        <v>175</v>
      </c>
      <c r="C176" s="3">
        <v>0.18179999999999999</v>
      </c>
      <c r="D176" s="3">
        <v>0.44</v>
      </c>
      <c r="E176" s="3">
        <v>0.32840000000000003</v>
      </c>
      <c r="F176" s="3">
        <v>7</v>
      </c>
      <c r="G176" s="3">
        <v>95</v>
      </c>
      <c r="H176" s="3">
        <v>102</v>
      </c>
    </row>
    <row r="177" spans="1:8" ht="15.75" customHeight="1" x14ac:dyDescent="0.3">
      <c r="A177" s="3">
        <v>175</v>
      </c>
      <c r="B177" s="3">
        <v>176</v>
      </c>
      <c r="C177" s="3">
        <v>0.16669999999999999</v>
      </c>
      <c r="D177" s="3">
        <v>0.32</v>
      </c>
      <c r="E177" s="3">
        <v>0.49249999999999999</v>
      </c>
      <c r="F177" s="3">
        <v>12</v>
      </c>
      <c r="G177" s="3">
        <v>83</v>
      </c>
      <c r="H177" s="3">
        <v>95</v>
      </c>
    </row>
    <row r="178" spans="1:8" ht="15.75" customHeight="1" x14ac:dyDescent="0.3">
      <c r="A178" s="3">
        <v>176</v>
      </c>
      <c r="B178" s="3">
        <v>177</v>
      </c>
      <c r="C178" s="3">
        <v>0.16669999999999999</v>
      </c>
      <c r="D178" s="3">
        <v>0.32</v>
      </c>
      <c r="E178" s="3">
        <v>0.44779999999999998</v>
      </c>
      <c r="F178" s="3">
        <v>5</v>
      </c>
      <c r="G178" s="3">
        <v>69</v>
      </c>
      <c r="H178" s="3">
        <v>74</v>
      </c>
    </row>
    <row r="179" spans="1:8" ht="15.75" customHeight="1" x14ac:dyDescent="0.3">
      <c r="A179" s="3">
        <v>177</v>
      </c>
      <c r="B179" s="3">
        <v>178</v>
      </c>
      <c r="C179" s="3">
        <v>0.13639999999999999</v>
      </c>
      <c r="D179" s="3">
        <v>0.28999999999999998</v>
      </c>
      <c r="E179" s="3">
        <v>0.44779999999999998</v>
      </c>
      <c r="F179" s="3">
        <v>8</v>
      </c>
      <c r="G179" s="3">
        <v>68</v>
      </c>
      <c r="H179" s="3">
        <v>76</v>
      </c>
    </row>
    <row r="180" spans="1:8" ht="15.75" customHeight="1" x14ac:dyDescent="0.3">
      <c r="A180" s="3">
        <v>178</v>
      </c>
      <c r="B180" s="3">
        <v>179</v>
      </c>
      <c r="C180" s="3">
        <v>0.1212</v>
      </c>
      <c r="D180" s="3">
        <v>0.37</v>
      </c>
      <c r="E180" s="3">
        <v>0.55220000000000002</v>
      </c>
      <c r="F180" s="3">
        <v>5</v>
      </c>
      <c r="G180" s="3">
        <v>64</v>
      </c>
      <c r="H180" s="3">
        <v>69</v>
      </c>
    </row>
    <row r="181" spans="1:8" ht="15.75" customHeight="1" x14ac:dyDescent="0.3">
      <c r="A181" s="3">
        <v>179</v>
      </c>
      <c r="B181" s="3">
        <v>180</v>
      </c>
      <c r="C181" s="3">
        <v>0.1212</v>
      </c>
      <c r="D181" s="3">
        <v>0.39</v>
      </c>
      <c r="E181" s="3">
        <v>0.29849999999999999</v>
      </c>
      <c r="F181" s="3">
        <v>3</v>
      </c>
      <c r="G181" s="3">
        <v>52</v>
      </c>
      <c r="H181" s="3">
        <v>55</v>
      </c>
    </row>
    <row r="182" spans="1:8" ht="15.75" customHeight="1" x14ac:dyDescent="0.3">
      <c r="A182" s="3">
        <v>180</v>
      </c>
      <c r="B182" s="3">
        <v>181</v>
      </c>
      <c r="C182" s="3">
        <v>0.1212</v>
      </c>
      <c r="D182" s="3">
        <v>0.36</v>
      </c>
      <c r="E182" s="3">
        <v>0.25369999999999998</v>
      </c>
      <c r="F182" s="3">
        <v>4</v>
      </c>
      <c r="G182" s="3">
        <v>26</v>
      </c>
      <c r="H182" s="3">
        <v>30</v>
      </c>
    </row>
    <row r="183" spans="1:8" ht="15.75" customHeight="1" x14ac:dyDescent="0.3">
      <c r="A183" s="3">
        <v>181</v>
      </c>
      <c r="B183" s="3">
        <v>182</v>
      </c>
      <c r="C183" s="3">
        <v>0.1212</v>
      </c>
      <c r="D183" s="3">
        <v>0.36</v>
      </c>
      <c r="E183" s="3">
        <v>0.25369999999999998</v>
      </c>
      <c r="F183" s="3">
        <v>0</v>
      </c>
      <c r="G183" s="3">
        <v>28</v>
      </c>
      <c r="H183" s="3">
        <v>28</v>
      </c>
    </row>
    <row r="184" spans="1:8" ht="15.75" customHeight="1" x14ac:dyDescent="0.3">
      <c r="A184" s="3">
        <v>182</v>
      </c>
      <c r="B184" s="3">
        <v>183</v>
      </c>
      <c r="C184" s="3">
        <v>0.1061</v>
      </c>
      <c r="D184" s="3">
        <v>0.39</v>
      </c>
      <c r="E184" s="3">
        <v>0.35820000000000002</v>
      </c>
      <c r="F184" s="3">
        <v>2</v>
      </c>
      <c r="G184" s="3">
        <v>35</v>
      </c>
      <c r="H184" s="3">
        <v>37</v>
      </c>
    </row>
    <row r="185" spans="1:8" ht="15.75" customHeight="1" x14ac:dyDescent="0.3">
      <c r="A185" s="3">
        <v>183</v>
      </c>
      <c r="B185" s="3">
        <v>184</v>
      </c>
      <c r="C185" s="3">
        <v>0.1061</v>
      </c>
      <c r="D185" s="3">
        <v>0.36</v>
      </c>
      <c r="E185" s="3">
        <v>0.3881</v>
      </c>
      <c r="F185" s="3">
        <v>1</v>
      </c>
      <c r="G185" s="3">
        <v>33</v>
      </c>
      <c r="H185" s="3">
        <v>34</v>
      </c>
    </row>
    <row r="186" spans="1:8" ht="15.75" customHeight="1" x14ac:dyDescent="0.3">
      <c r="A186" s="3">
        <v>184</v>
      </c>
      <c r="B186" s="3">
        <v>185</v>
      </c>
      <c r="C186" s="3">
        <v>6.0600000000000001E-2</v>
      </c>
      <c r="D186" s="3">
        <v>0.39</v>
      </c>
      <c r="E186" s="3">
        <v>0.44779999999999998</v>
      </c>
      <c r="F186" s="3">
        <v>0</v>
      </c>
      <c r="G186" s="3">
        <v>22</v>
      </c>
      <c r="H186" s="3">
        <v>22</v>
      </c>
    </row>
    <row r="187" spans="1:8" ht="15.75" customHeight="1" x14ac:dyDescent="0.3">
      <c r="A187" s="3">
        <v>185</v>
      </c>
      <c r="B187" s="3">
        <v>186</v>
      </c>
      <c r="C187" s="3">
        <v>7.5800000000000006E-2</v>
      </c>
      <c r="D187" s="3">
        <v>0.42</v>
      </c>
      <c r="E187" s="3">
        <v>0.3881</v>
      </c>
      <c r="F187" s="3">
        <v>1</v>
      </c>
      <c r="G187" s="3">
        <v>24</v>
      </c>
      <c r="H187" s="3">
        <v>25</v>
      </c>
    </row>
    <row r="188" spans="1:8" ht="15.75" customHeight="1" x14ac:dyDescent="0.3">
      <c r="A188" s="3">
        <v>186</v>
      </c>
      <c r="B188" s="3">
        <v>187</v>
      </c>
      <c r="C188" s="3">
        <v>6.0600000000000001E-2</v>
      </c>
      <c r="D188" s="3">
        <v>0.42</v>
      </c>
      <c r="E188" s="3">
        <v>0.4627</v>
      </c>
      <c r="F188" s="3">
        <v>0</v>
      </c>
      <c r="G188" s="3">
        <v>12</v>
      </c>
      <c r="H188" s="3">
        <v>12</v>
      </c>
    </row>
    <row r="189" spans="1:8" ht="15.75" customHeight="1" x14ac:dyDescent="0.3">
      <c r="A189" s="3">
        <v>187</v>
      </c>
      <c r="B189" s="3">
        <v>188</v>
      </c>
      <c r="C189" s="3">
        <v>6.0600000000000001E-2</v>
      </c>
      <c r="D189" s="3">
        <v>0.46</v>
      </c>
      <c r="E189" s="3">
        <v>0.4627</v>
      </c>
      <c r="F189" s="3">
        <v>0</v>
      </c>
      <c r="G189" s="3">
        <v>11</v>
      </c>
      <c r="H189" s="3">
        <v>11</v>
      </c>
    </row>
    <row r="190" spans="1:8" ht="15.75" customHeight="1" x14ac:dyDescent="0.3">
      <c r="A190" s="3">
        <v>188</v>
      </c>
      <c r="B190" s="3">
        <v>189</v>
      </c>
      <c r="C190" s="3">
        <v>7.5800000000000006E-2</v>
      </c>
      <c r="D190" s="3">
        <v>0.46</v>
      </c>
      <c r="E190" s="3">
        <v>0.41789999999999999</v>
      </c>
      <c r="F190" s="3">
        <v>0</v>
      </c>
      <c r="G190" s="3">
        <v>4</v>
      </c>
      <c r="H190" s="3">
        <v>4</v>
      </c>
    </row>
    <row r="191" spans="1:8" ht="15.75" customHeight="1" x14ac:dyDescent="0.3">
      <c r="A191" s="3">
        <v>189</v>
      </c>
      <c r="B191" s="3">
        <v>190</v>
      </c>
      <c r="C191" s="3">
        <v>9.0899999999999995E-2</v>
      </c>
      <c r="D191" s="3">
        <v>0.53</v>
      </c>
      <c r="E191" s="3">
        <v>0.19400000000000001</v>
      </c>
      <c r="F191" s="3">
        <v>0</v>
      </c>
      <c r="G191" s="3">
        <v>1</v>
      </c>
      <c r="H191" s="3">
        <v>1</v>
      </c>
    </row>
    <row r="192" spans="1:8" ht="15.75" customHeight="1" x14ac:dyDescent="0.3">
      <c r="A192" s="3">
        <v>190</v>
      </c>
      <c r="B192" s="3">
        <v>191</v>
      </c>
      <c r="C192" s="3">
        <v>9.0899999999999995E-2</v>
      </c>
      <c r="D192" s="3">
        <v>0.53</v>
      </c>
      <c r="E192" s="3">
        <v>0.19400000000000001</v>
      </c>
      <c r="F192" s="3">
        <v>0</v>
      </c>
      <c r="G192" s="3">
        <v>1</v>
      </c>
      <c r="H192" s="3">
        <v>1</v>
      </c>
    </row>
    <row r="193" spans="1:8" ht="15.75" customHeight="1" x14ac:dyDescent="0.3">
      <c r="A193" s="3">
        <v>191</v>
      </c>
      <c r="B193" s="3">
        <v>192</v>
      </c>
      <c r="C193" s="3">
        <v>9.0899999999999995E-2</v>
      </c>
      <c r="D193" s="3">
        <v>0.49</v>
      </c>
      <c r="E193" s="3">
        <v>0.28360000000000002</v>
      </c>
      <c r="F193" s="3">
        <v>0</v>
      </c>
      <c r="G193" s="3">
        <v>1</v>
      </c>
      <c r="H193" s="3">
        <v>1</v>
      </c>
    </row>
    <row r="194" spans="1:8" ht="15.75" customHeight="1" x14ac:dyDescent="0.3">
      <c r="A194" s="3">
        <v>192</v>
      </c>
      <c r="B194" s="3">
        <v>193</v>
      </c>
      <c r="C194" s="3">
        <v>9.0899999999999995E-2</v>
      </c>
      <c r="D194" s="3">
        <v>0.53</v>
      </c>
      <c r="E194" s="3">
        <v>0.19400000000000001</v>
      </c>
      <c r="F194" s="3">
        <v>1</v>
      </c>
      <c r="G194" s="3">
        <v>5</v>
      </c>
      <c r="H194" s="3">
        <v>6</v>
      </c>
    </row>
    <row r="195" spans="1:8" ht="15.75" customHeight="1" x14ac:dyDescent="0.3">
      <c r="A195" s="3">
        <v>193</v>
      </c>
      <c r="B195" s="3">
        <v>194</v>
      </c>
      <c r="C195" s="3">
        <v>9.0899999999999995E-2</v>
      </c>
      <c r="D195" s="3">
        <v>0.49</v>
      </c>
      <c r="E195" s="3">
        <v>0.28360000000000002</v>
      </c>
      <c r="F195" s="3">
        <v>0</v>
      </c>
      <c r="G195" s="3">
        <v>10</v>
      </c>
      <c r="H195" s="3">
        <v>10</v>
      </c>
    </row>
    <row r="196" spans="1:8" ht="15.75" customHeight="1" x14ac:dyDescent="0.3">
      <c r="A196" s="3">
        <v>194</v>
      </c>
      <c r="B196" s="3">
        <v>195</v>
      </c>
      <c r="C196" s="3">
        <v>7.5800000000000006E-2</v>
      </c>
      <c r="D196" s="3">
        <v>0.46</v>
      </c>
      <c r="E196" s="3">
        <v>0.52239999999999998</v>
      </c>
      <c r="F196" s="3">
        <v>0</v>
      </c>
      <c r="G196" s="3">
        <v>19</v>
      </c>
      <c r="H196" s="3">
        <v>19</v>
      </c>
    </row>
    <row r="197" spans="1:8" ht="15.75" customHeight="1" x14ac:dyDescent="0.3">
      <c r="A197" s="3">
        <v>195</v>
      </c>
      <c r="B197" s="3">
        <v>196</v>
      </c>
      <c r="C197" s="3">
        <v>0.1061</v>
      </c>
      <c r="D197" s="3">
        <v>0.43</v>
      </c>
      <c r="E197" s="3">
        <v>0.3881</v>
      </c>
      <c r="F197" s="3">
        <v>0</v>
      </c>
      <c r="G197" s="3">
        <v>49</v>
      </c>
      <c r="H197" s="3">
        <v>49</v>
      </c>
    </row>
    <row r="198" spans="1:8" ht="15.75" customHeight="1" x14ac:dyDescent="0.3">
      <c r="A198" s="3">
        <v>196</v>
      </c>
      <c r="B198" s="3">
        <v>197</v>
      </c>
      <c r="C198" s="3">
        <v>0.1212</v>
      </c>
      <c r="D198" s="3">
        <v>0.4</v>
      </c>
      <c r="E198" s="3">
        <v>0.52239999999999998</v>
      </c>
      <c r="F198" s="3">
        <v>2</v>
      </c>
      <c r="G198" s="3">
        <v>47</v>
      </c>
      <c r="H198" s="3">
        <v>49</v>
      </c>
    </row>
    <row r="199" spans="1:8" ht="15.75" customHeight="1" x14ac:dyDescent="0.3">
      <c r="A199" s="3">
        <v>197</v>
      </c>
      <c r="B199" s="3">
        <v>198</v>
      </c>
      <c r="C199" s="3">
        <v>0.13639999999999999</v>
      </c>
      <c r="D199" s="3">
        <v>0.37</v>
      </c>
      <c r="E199" s="3">
        <v>0.44779999999999998</v>
      </c>
      <c r="F199" s="3">
        <v>4</v>
      </c>
      <c r="G199" s="3">
        <v>79</v>
      </c>
      <c r="H199" s="3">
        <v>83</v>
      </c>
    </row>
    <row r="200" spans="1:8" ht="15.75" customHeight="1" x14ac:dyDescent="0.3">
      <c r="A200" s="3">
        <v>198</v>
      </c>
      <c r="B200" s="3">
        <v>199</v>
      </c>
      <c r="C200" s="3">
        <v>0.16669999999999999</v>
      </c>
      <c r="D200" s="3">
        <v>0.34</v>
      </c>
      <c r="E200" s="3">
        <v>0.44779999999999998</v>
      </c>
      <c r="F200" s="3">
        <v>6</v>
      </c>
      <c r="G200" s="3">
        <v>69</v>
      </c>
      <c r="H200" s="3">
        <v>75</v>
      </c>
    </row>
    <row r="201" spans="1:8" ht="15.75" customHeight="1" x14ac:dyDescent="0.3">
      <c r="A201" s="3">
        <v>199</v>
      </c>
      <c r="B201" s="3">
        <v>200</v>
      </c>
      <c r="C201" s="3">
        <v>0.18179999999999999</v>
      </c>
      <c r="D201" s="3">
        <v>0.32</v>
      </c>
      <c r="E201" s="3">
        <v>0.4627</v>
      </c>
      <c r="F201" s="3">
        <v>8</v>
      </c>
      <c r="G201" s="3">
        <v>64</v>
      </c>
      <c r="H201" s="3">
        <v>72</v>
      </c>
    </row>
    <row r="202" spans="1:8" ht="15.75" customHeight="1" x14ac:dyDescent="0.3">
      <c r="A202" s="3">
        <v>200</v>
      </c>
      <c r="B202" s="3">
        <v>201</v>
      </c>
      <c r="C202" s="3">
        <v>0.19700000000000001</v>
      </c>
      <c r="D202" s="3">
        <v>0.35</v>
      </c>
      <c r="E202" s="3">
        <v>0.35820000000000002</v>
      </c>
      <c r="F202" s="3">
        <v>5</v>
      </c>
      <c r="G202" s="3">
        <v>77</v>
      </c>
      <c r="H202" s="3">
        <v>82</v>
      </c>
    </row>
    <row r="203" spans="1:8" ht="15.75" customHeight="1" x14ac:dyDescent="0.3">
      <c r="A203" s="3">
        <v>201</v>
      </c>
      <c r="B203" s="3">
        <v>202</v>
      </c>
      <c r="C203" s="3">
        <v>0.16669999999999999</v>
      </c>
      <c r="D203" s="3">
        <v>0.34</v>
      </c>
      <c r="E203" s="3">
        <v>0.44779999999999998</v>
      </c>
      <c r="F203" s="3">
        <v>13</v>
      </c>
      <c r="G203" s="3">
        <v>79</v>
      </c>
      <c r="H203" s="3">
        <v>92</v>
      </c>
    </row>
    <row r="204" spans="1:8" ht="15.75" customHeight="1" x14ac:dyDescent="0.3">
      <c r="A204" s="3">
        <v>202</v>
      </c>
      <c r="B204" s="3">
        <v>203</v>
      </c>
      <c r="C204" s="3">
        <v>0.1515</v>
      </c>
      <c r="D204" s="3">
        <v>0.37</v>
      </c>
      <c r="E204" s="3">
        <v>0.3881</v>
      </c>
      <c r="F204" s="3">
        <v>3</v>
      </c>
      <c r="G204" s="3">
        <v>59</v>
      </c>
      <c r="H204" s="3">
        <v>62</v>
      </c>
    </row>
    <row r="205" spans="1:8" ht="15.75" customHeight="1" x14ac:dyDescent="0.3">
      <c r="A205" s="3">
        <v>203</v>
      </c>
      <c r="B205" s="3">
        <v>204</v>
      </c>
      <c r="C205" s="3">
        <v>0.13639999999999999</v>
      </c>
      <c r="D205" s="3">
        <v>0.4</v>
      </c>
      <c r="E205" s="3">
        <v>0.32840000000000003</v>
      </c>
      <c r="F205" s="3">
        <v>4</v>
      </c>
      <c r="G205" s="3">
        <v>44</v>
      </c>
      <c r="H205" s="3">
        <v>48</v>
      </c>
    </row>
    <row r="206" spans="1:8" ht="15.75" customHeight="1" x14ac:dyDescent="0.3">
      <c r="A206" s="3">
        <v>204</v>
      </c>
      <c r="B206" s="3">
        <v>205</v>
      </c>
      <c r="C206" s="3">
        <v>0.13639999999999999</v>
      </c>
      <c r="D206" s="3">
        <v>0.43</v>
      </c>
      <c r="E206" s="3">
        <v>0.32840000000000003</v>
      </c>
      <c r="F206" s="3">
        <v>1</v>
      </c>
      <c r="G206" s="3">
        <v>40</v>
      </c>
      <c r="H206" s="3">
        <v>41</v>
      </c>
    </row>
    <row r="207" spans="1:8" ht="15.75" customHeight="1" x14ac:dyDescent="0.3">
      <c r="A207" s="3">
        <v>205</v>
      </c>
      <c r="B207" s="3">
        <v>206</v>
      </c>
      <c r="C207" s="3">
        <v>0.1212</v>
      </c>
      <c r="D207" s="3">
        <v>0.46</v>
      </c>
      <c r="E207" s="3">
        <v>0.25369999999999998</v>
      </c>
      <c r="F207" s="3">
        <v>0</v>
      </c>
      <c r="G207" s="3">
        <v>38</v>
      </c>
      <c r="H207" s="3">
        <v>38</v>
      </c>
    </row>
    <row r="208" spans="1:8" ht="15.75" customHeight="1" x14ac:dyDescent="0.3">
      <c r="A208" s="3">
        <v>206</v>
      </c>
      <c r="B208" s="3">
        <v>207</v>
      </c>
      <c r="C208" s="3">
        <v>0.1061</v>
      </c>
      <c r="D208" s="3">
        <v>0.46</v>
      </c>
      <c r="E208" s="3">
        <v>0.41789999999999999</v>
      </c>
      <c r="F208" s="3">
        <v>1</v>
      </c>
      <c r="G208" s="3">
        <v>19</v>
      </c>
      <c r="H208" s="3">
        <v>20</v>
      </c>
    </row>
    <row r="209" spans="1:8" ht="15.75" customHeight="1" x14ac:dyDescent="0.3">
      <c r="A209" s="3">
        <v>207</v>
      </c>
      <c r="B209" s="3">
        <v>208</v>
      </c>
      <c r="C209" s="3">
        <v>0.1212</v>
      </c>
      <c r="D209" s="3">
        <v>0.46</v>
      </c>
      <c r="E209" s="3">
        <v>0.29849999999999999</v>
      </c>
      <c r="F209" s="3">
        <v>5</v>
      </c>
      <c r="G209" s="3">
        <v>10</v>
      </c>
      <c r="H209" s="3">
        <v>15</v>
      </c>
    </row>
    <row r="210" spans="1:8" ht="15.75" customHeight="1" x14ac:dyDescent="0.3">
      <c r="A210" s="3">
        <v>208</v>
      </c>
      <c r="B210" s="3">
        <v>209</v>
      </c>
      <c r="C210" s="3">
        <v>0.13639999999999999</v>
      </c>
      <c r="D210" s="3">
        <v>0.5</v>
      </c>
      <c r="E210" s="3">
        <v>0.19400000000000001</v>
      </c>
      <c r="F210" s="3">
        <v>0</v>
      </c>
      <c r="G210" s="3">
        <v>6</v>
      </c>
      <c r="H210" s="3">
        <v>6</v>
      </c>
    </row>
    <row r="211" spans="1:8" ht="15.75" customHeight="1" x14ac:dyDescent="0.3">
      <c r="A211" s="3">
        <v>209</v>
      </c>
      <c r="B211" s="3">
        <v>210</v>
      </c>
      <c r="C211" s="3">
        <v>0.1212</v>
      </c>
      <c r="D211" s="3">
        <v>0.5</v>
      </c>
      <c r="E211" s="3">
        <v>0.28360000000000002</v>
      </c>
      <c r="F211" s="3">
        <v>2</v>
      </c>
      <c r="G211" s="3">
        <v>3</v>
      </c>
      <c r="H211" s="3">
        <v>5</v>
      </c>
    </row>
    <row r="212" spans="1:8" ht="15.75" customHeight="1" x14ac:dyDescent="0.3">
      <c r="A212" s="3">
        <v>210</v>
      </c>
      <c r="B212" s="3">
        <v>211</v>
      </c>
      <c r="C212" s="3">
        <v>0.1212</v>
      </c>
      <c r="D212" s="3">
        <v>0.5</v>
      </c>
      <c r="E212" s="3">
        <v>0.28360000000000002</v>
      </c>
      <c r="F212" s="3">
        <v>1</v>
      </c>
      <c r="G212" s="3">
        <v>0</v>
      </c>
      <c r="H212" s="3">
        <v>1</v>
      </c>
    </row>
    <row r="213" spans="1:8" ht="15.75" customHeight="1" x14ac:dyDescent="0.3">
      <c r="A213" s="3">
        <v>211</v>
      </c>
      <c r="B213" s="3">
        <v>212</v>
      </c>
      <c r="C213" s="3">
        <v>0.1212</v>
      </c>
      <c r="D213" s="3">
        <v>0.5</v>
      </c>
      <c r="E213" s="3">
        <v>0.22389999999999999</v>
      </c>
      <c r="F213" s="3">
        <v>0</v>
      </c>
      <c r="G213" s="3">
        <v>3</v>
      </c>
      <c r="H213" s="3">
        <v>3</v>
      </c>
    </row>
    <row r="214" spans="1:8" ht="15.75" customHeight="1" x14ac:dyDescent="0.3">
      <c r="A214" s="3">
        <v>212</v>
      </c>
      <c r="B214" s="3">
        <v>213</v>
      </c>
      <c r="C214" s="3">
        <v>0.1212</v>
      </c>
      <c r="D214" s="3">
        <v>0.5</v>
      </c>
      <c r="E214" s="3">
        <v>0.22389999999999999</v>
      </c>
      <c r="F214" s="3">
        <v>0</v>
      </c>
      <c r="G214" s="3">
        <v>1</v>
      </c>
      <c r="H214" s="3">
        <v>1</v>
      </c>
    </row>
    <row r="215" spans="1:8" ht="15.75" customHeight="1" x14ac:dyDescent="0.3">
      <c r="A215" s="3">
        <v>213</v>
      </c>
      <c r="B215" s="3">
        <v>214</v>
      </c>
      <c r="C215" s="3">
        <v>0.1212</v>
      </c>
      <c r="D215" s="3">
        <v>0.54</v>
      </c>
      <c r="E215" s="3">
        <v>0.1343</v>
      </c>
      <c r="F215" s="3">
        <v>1</v>
      </c>
      <c r="G215" s="3">
        <v>2</v>
      </c>
      <c r="H215" s="3">
        <v>3</v>
      </c>
    </row>
    <row r="216" spans="1:8" ht="15.75" customHeight="1" x14ac:dyDescent="0.3">
      <c r="A216" s="3">
        <v>214</v>
      </c>
      <c r="B216" s="3">
        <v>215</v>
      </c>
      <c r="C216" s="3">
        <v>0.1061</v>
      </c>
      <c r="D216" s="3">
        <v>0.54</v>
      </c>
      <c r="E216" s="3">
        <v>0.25369999999999998</v>
      </c>
      <c r="F216" s="3">
        <v>0</v>
      </c>
      <c r="G216" s="3">
        <v>3</v>
      </c>
      <c r="H216" s="3">
        <v>3</v>
      </c>
    </row>
    <row r="217" spans="1:8" ht="15.75" customHeight="1" x14ac:dyDescent="0.3">
      <c r="A217" s="3">
        <v>215</v>
      </c>
      <c r="B217" s="3">
        <v>216</v>
      </c>
      <c r="C217" s="3">
        <v>0.1212</v>
      </c>
      <c r="D217" s="3">
        <v>0.5</v>
      </c>
      <c r="E217" s="3">
        <v>0.28360000000000002</v>
      </c>
      <c r="F217" s="3">
        <v>0</v>
      </c>
      <c r="G217" s="3">
        <v>31</v>
      </c>
      <c r="H217" s="3">
        <v>31</v>
      </c>
    </row>
    <row r="218" spans="1:8" ht="15.75" customHeight="1" x14ac:dyDescent="0.3">
      <c r="A218" s="3">
        <v>216</v>
      </c>
      <c r="B218" s="3">
        <v>217</v>
      </c>
      <c r="C218" s="3">
        <v>0.1212</v>
      </c>
      <c r="D218" s="3">
        <v>0.5</v>
      </c>
      <c r="E218" s="3">
        <v>0.22389999999999999</v>
      </c>
      <c r="F218" s="3">
        <v>2</v>
      </c>
      <c r="G218" s="3">
        <v>75</v>
      </c>
      <c r="H218" s="3">
        <v>77</v>
      </c>
    </row>
    <row r="219" spans="1:8" ht="15.75" customHeight="1" x14ac:dyDescent="0.3">
      <c r="A219" s="3">
        <v>217</v>
      </c>
      <c r="B219" s="3">
        <v>218</v>
      </c>
      <c r="C219" s="3">
        <v>0.1212</v>
      </c>
      <c r="D219" s="3">
        <v>0.5</v>
      </c>
      <c r="E219" s="3">
        <v>0.28360000000000002</v>
      </c>
      <c r="F219" s="3">
        <v>4</v>
      </c>
      <c r="G219" s="3">
        <v>184</v>
      </c>
      <c r="H219" s="3">
        <v>188</v>
      </c>
    </row>
    <row r="220" spans="1:8" ht="15.75" customHeight="1" x14ac:dyDescent="0.3">
      <c r="A220" s="3">
        <v>218</v>
      </c>
      <c r="B220" s="3">
        <v>219</v>
      </c>
      <c r="C220" s="3">
        <v>0.1212</v>
      </c>
      <c r="D220" s="3">
        <v>0.5</v>
      </c>
      <c r="E220" s="3">
        <v>0.25369999999999998</v>
      </c>
      <c r="F220" s="3">
        <v>2</v>
      </c>
      <c r="G220" s="3">
        <v>92</v>
      </c>
      <c r="H220" s="3">
        <v>94</v>
      </c>
    </row>
    <row r="221" spans="1:8" ht="15.75" customHeight="1" x14ac:dyDescent="0.3">
      <c r="A221" s="3">
        <v>219</v>
      </c>
      <c r="B221" s="3">
        <v>220</v>
      </c>
      <c r="C221" s="3">
        <v>0.1212</v>
      </c>
      <c r="D221" s="3">
        <v>0.5</v>
      </c>
      <c r="E221" s="3">
        <v>0.29849999999999999</v>
      </c>
      <c r="F221" s="3">
        <v>0</v>
      </c>
      <c r="G221" s="3">
        <v>31</v>
      </c>
      <c r="H221" s="3">
        <v>31</v>
      </c>
    </row>
    <row r="222" spans="1:8" ht="15.75" customHeight="1" x14ac:dyDescent="0.3">
      <c r="A222" s="3">
        <v>220</v>
      </c>
      <c r="B222" s="3">
        <v>221</v>
      </c>
      <c r="C222" s="3">
        <v>0.13639999999999999</v>
      </c>
      <c r="D222" s="3">
        <v>0.47</v>
      </c>
      <c r="E222" s="3">
        <v>0.28360000000000002</v>
      </c>
      <c r="F222" s="3">
        <v>2</v>
      </c>
      <c r="G222" s="3">
        <v>28</v>
      </c>
      <c r="H222" s="3">
        <v>30</v>
      </c>
    </row>
    <row r="223" spans="1:8" ht="15.75" customHeight="1" x14ac:dyDescent="0.3">
      <c r="A223" s="3">
        <v>221</v>
      </c>
      <c r="B223" s="3">
        <v>222</v>
      </c>
      <c r="C223" s="3">
        <v>0.18179999999999999</v>
      </c>
      <c r="D223" s="3">
        <v>0.4</v>
      </c>
      <c r="E223" s="3">
        <v>0.28360000000000002</v>
      </c>
      <c r="F223" s="3">
        <v>5</v>
      </c>
      <c r="G223" s="3">
        <v>47</v>
      </c>
      <c r="H223" s="3">
        <v>52</v>
      </c>
    </row>
    <row r="224" spans="1:8" ht="15.75" customHeight="1" x14ac:dyDescent="0.3">
      <c r="A224" s="3">
        <v>222</v>
      </c>
      <c r="B224" s="3">
        <v>223</v>
      </c>
      <c r="C224" s="3">
        <v>0.18179999999999999</v>
      </c>
      <c r="D224" s="3">
        <v>0.4</v>
      </c>
      <c r="E224" s="3">
        <v>0.28360000000000002</v>
      </c>
      <c r="F224" s="3">
        <v>4</v>
      </c>
      <c r="G224" s="3">
        <v>50</v>
      </c>
      <c r="H224" s="3">
        <v>54</v>
      </c>
    </row>
    <row r="225" spans="1:8" ht="15.75" customHeight="1" x14ac:dyDescent="0.3">
      <c r="A225" s="3">
        <v>223</v>
      </c>
      <c r="B225" s="3">
        <v>224</v>
      </c>
      <c r="C225" s="3">
        <v>0.19700000000000001</v>
      </c>
      <c r="D225" s="3">
        <v>0.4</v>
      </c>
      <c r="E225" s="3">
        <v>0.22389999999999999</v>
      </c>
      <c r="F225" s="3">
        <v>0</v>
      </c>
      <c r="G225" s="3">
        <v>47</v>
      </c>
      <c r="H225" s="3">
        <v>47</v>
      </c>
    </row>
    <row r="226" spans="1:8" ht="15.75" customHeight="1" x14ac:dyDescent="0.3">
      <c r="A226" s="3">
        <v>224</v>
      </c>
      <c r="B226" s="3">
        <v>225</v>
      </c>
      <c r="C226" s="3">
        <v>0.19700000000000001</v>
      </c>
      <c r="D226" s="3">
        <v>0.4</v>
      </c>
      <c r="E226" s="3">
        <v>0.22389999999999999</v>
      </c>
      <c r="F226" s="3">
        <v>2</v>
      </c>
      <c r="G226" s="3">
        <v>43</v>
      </c>
      <c r="H226" s="3">
        <v>45</v>
      </c>
    </row>
    <row r="227" spans="1:8" ht="15.75" customHeight="1" x14ac:dyDescent="0.3">
      <c r="A227" s="3">
        <v>225</v>
      </c>
      <c r="B227" s="3">
        <v>226</v>
      </c>
      <c r="C227" s="3">
        <v>0.21210000000000001</v>
      </c>
      <c r="D227" s="3">
        <v>0.4</v>
      </c>
      <c r="E227" s="3">
        <v>0.1343</v>
      </c>
      <c r="F227" s="3">
        <v>4</v>
      </c>
      <c r="G227" s="3">
        <v>70</v>
      </c>
      <c r="H227" s="3">
        <v>74</v>
      </c>
    </row>
    <row r="228" spans="1:8" ht="15.75" customHeight="1" x14ac:dyDescent="0.3">
      <c r="A228" s="3">
        <v>226</v>
      </c>
      <c r="B228" s="3">
        <v>227</v>
      </c>
      <c r="C228" s="3">
        <v>0.2273</v>
      </c>
      <c r="D228" s="3">
        <v>0.4</v>
      </c>
      <c r="E228" s="3">
        <v>0.1045</v>
      </c>
      <c r="F228" s="3">
        <v>4</v>
      </c>
      <c r="G228" s="3">
        <v>174</v>
      </c>
      <c r="H228" s="3">
        <v>178</v>
      </c>
    </row>
    <row r="229" spans="1:8" ht="15.75" customHeight="1" x14ac:dyDescent="0.3">
      <c r="A229" s="3">
        <v>227</v>
      </c>
      <c r="B229" s="3">
        <v>228</v>
      </c>
      <c r="C229" s="3">
        <v>0.19700000000000001</v>
      </c>
      <c r="D229" s="3">
        <v>0.4</v>
      </c>
      <c r="E229" s="3">
        <v>0.22389999999999999</v>
      </c>
      <c r="F229" s="3">
        <v>1</v>
      </c>
      <c r="G229" s="3">
        <v>154</v>
      </c>
      <c r="H229" s="3">
        <v>155</v>
      </c>
    </row>
    <row r="230" spans="1:8" ht="15.75" customHeight="1" x14ac:dyDescent="0.3">
      <c r="A230" s="3">
        <v>228</v>
      </c>
      <c r="B230" s="3">
        <v>229</v>
      </c>
      <c r="C230" s="3">
        <v>0.16669999999999999</v>
      </c>
      <c r="D230" s="3">
        <v>0.47</v>
      </c>
      <c r="E230" s="3">
        <v>0.16420000000000001</v>
      </c>
      <c r="F230" s="3">
        <v>3</v>
      </c>
      <c r="G230" s="3">
        <v>92</v>
      </c>
      <c r="H230" s="3">
        <v>95</v>
      </c>
    </row>
    <row r="231" spans="1:8" ht="15.75" customHeight="1" x14ac:dyDescent="0.3">
      <c r="A231" s="3">
        <v>229</v>
      </c>
      <c r="B231" s="3">
        <v>230</v>
      </c>
      <c r="C231" s="3">
        <v>0.16669999999999999</v>
      </c>
      <c r="D231" s="3">
        <v>0.5</v>
      </c>
      <c r="E231" s="3">
        <v>0.16420000000000001</v>
      </c>
      <c r="F231" s="3">
        <v>1</v>
      </c>
      <c r="G231" s="3">
        <v>73</v>
      </c>
      <c r="H231" s="3">
        <v>74</v>
      </c>
    </row>
    <row r="232" spans="1:8" ht="15.75" customHeight="1" x14ac:dyDescent="0.3">
      <c r="A232" s="3">
        <v>230</v>
      </c>
      <c r="B232" s="3">
        <v>231</v>
      </c>
      <c r="C232" s="3">
        <v>0.13639999999999999</v>
      </c>
      <c r="D232" s="3">
        <v>0.59</v>
      </c>
      <c r="E232" s="3">
        <v>0.19400000000000001</v>
      </c>
      <c r="F232" s="3">
        <v>1</v>
      </c>
      <c r="G232" s="3">
        <v>37</v>
      </c>
      <c r="H232" s="3">
        <v>38</v>
      </c>
    </row>
    <row r="233" spans="1:8" ht="15.75" customHeight="1" x14ac:dyDescent="0.3">
      <c r="A233" s="3">
        <v>231</v>
      </c>
      <c r="B233" s="3">
        <v>232</v>
      </c>
      <c r="C233" s="3">
        <v>0.1515</v>
      </c>
      <c r="D233" s="3">
        <v>0.59</v>
      </c>
      <c r="E233" s="3">
        <v>0.16420000000000001</v>
      </c>
      <c r="F233" s="3">
        <v>2</v>
      </c>
      <c r="G233" s="3">
        <v>22</v>
      </c>
      <c r="H233" s="3">
        <v>24</v>
      </c>
    </row>
    <row r="234" spans="1:8" ht="15.75" customHeight="1" x14ac:dyDescent="0.3">
      <c r="A234" s="3">
        <v>232</v>
      </c>
      <c r="B234" s="3">
        <v>233</v>
      </c>
      <c r="C234" s="3">
        <v>0.1515</v>
      </c>
      <c r="D234" s="3">
        <v>0.59</v>
      </c>
      <c r="E234" s="3">
        <v>0.16420000000000001</v>
      </c>
      <c r="F234" s="3">
        <v>0</v>
      </c>
      <c r="G234" s="3">
        <v>18</v>
      </c>
      <c r="H234" s="3">
        <v>18</v>
      </c>
    </row>
    <row r="235" spans="1:8" ht="15.75" customHeight="1" x14ac:dyDescent="0.3">
      <c r="A235" s="3">
        <v>233</v>
      </c>
      <c r="B235" s="3">
        <v>234</v>
      </c>
      <c r="C235" s="3">
        <v>0.16669999999999999</v>
      </c>
      <c r="D235" s="3">
        <v>0.59</v>
      </c>
      <c r="E235" s="3">
        <v>0.1045</v>
      </c>
      <c r="F235" s="3">
        <v>2</v>
      </c>
      <c r="G235" s="3">
        <v>10</v>
      </c>
      <c r="H235" s="3">
        <v>12</v>
      </c>
    </row>
    <row r="236" spans="1:8" ht="15.75" customHeight="1" x14ac:dyDescent="0.3">
      <c r="A236" s="3">
        <v>234</v>
      </c>
      <c r="B236" s="3">
        <v>235</v>
      </c>
      <c r="C236" s="3">
        <v>0.1515</v>
      </c>
      <c r="D236" s="3">
        <v>0.59</v>
      </c>
      <c r="E236" s="3">
        <v>0.16420000000000001</v>
      </c>
      <c r="F236" s="3">
        <v>0</v>
      </c>
      <c r="G236" s="3">
        <v>3</v>
      </c>
      <c r="H236" s="3">
        <v>3</v>
      </c>
    </row>
    <row r="237" spans="1:8" ht="15.75" customHeight="1" x14ac:dyDescent="0.3">
      <c r="A237" s="3">
        <v>235</v>
      </c>
      <c r="B237" s="3">
        <v>236</v>
      </c>
      <c r="C237" s="3">
        <v>0.1515</v>
      </c>
      <c r="D237" s="3">
        <v>0.55000000000000004</v>
      </c>
      <c r="E237" s="3">
        <v>0.19400000000000001</v>
      </c>
      <c r="F237" s="3">
        <v>0</v>
      </c>
      <c r="G237" s="3">
        <v>3</v>
      </c>
      <c r="H237" s="3">
        <v>3</v>
      </c>
    </row>
    <row r="238" spans="1:8" ht="15.75" customHeight="1" x14ac:dyDescent="0.3">
      <c r="A238" s="3">
        <v>236</v>
      </c>
      <c r="B238" s="3">
        <v>237</v>
      </c>
      <c r="C238" s="3">
        <v>0.18179999999999999</v>
      </c>
      <c r="D238" s="3">
        <v>0.55000000000000004</v>
      </c>
      <c r="E238" s="3">
        <v>0.1343</v>
      </c>
      <c r="F238" s="3">
        <v>0</v>
      </c>
      <c r="G238" s="3">
        <v>6</v>
      </c>
      <c r="H238" s="3">
        <v>6</v>
      </c>
    </row>
    <row r="239" spans="1:8" ht="15.75" customHeight="1" x14ac:dyDescent="0.3">
      <c r="A239" s="3">
        <v>237</v>
      </c>
      <c r="B239" s="3">
        <v>238</v>
      </c>
      <c r="C239" s="3">
        <v>0.18179999999999999</v>
      </c>
      <c r="D239" s="3">
        <v>0.55000000000000004</v>
      </c>
      <c r="E239" s="3">
        <v>0.1343</v>
      </c>
      <c r="F239" s="3">
        <v>0</v>
      </c>
      <c r="G239" s="3">
        <v>27</v>
      </c>
      <c r="H239" s="3">
        <v>27</v>
      </c>
    </row>
    <row r="240" spans="1:8" ht="15.75" customHeight="1" x14ac:dyDescent="0.3">
      <c r="A240" s="3">
        <v>238</v>
      </c>
      <c r="B240" s="3">
        <v>239</v>
      </c>
      <c r="C240" s="3">
        <v>0.2273</v>
      </c>
      <c r="D240" s="3">
        <v>0.55000000000000004</v>
      </c>
      <c r="E240" s="3">
        <v>0</v>
      </c>
      <c r="F240" s="3">
        <v>2</v>
      </c>
      <c r="G240" s="3">
        <v>97</v>
      </c>
      <c r="H240" s="3">
        <v>99</v>
      </c>
    </row>
    <row r="241" spans="1:8" ht="15.75" customHeight="1" x14ac:dyDescent="0.3">
      <c r="A241" s="3">
        <v>239</v>
      </c>
      <c r="B241" s="3">
        <v>240</v>
      </c>
      <c r="C241" s="3">
        <v>0.21210000000000001</v>
      </c>
      <c r="D241" s="3">
        <v>0.51</v>
      </c>
      <c r="E241" s="3">
        <v>8.9599999999999999E-2</v>
      </c>
      <c r="F241" s="3">
        <v>3</v>
      </c>
      <c r="G241" s="3">
        <v>214</v>
      </c>
      <c r="H241" s="3">
        <v>217</v>
      </c>
    </row>
    <row r="242" spans="1:8" ht="15.75" customHeight="1" x14ac:dyDescent="0.3">
      <c r="A242" s="3">
        <v>240</v>
      </c>
      <c r="B242" s="3">
        <v>241</v>
      </c>
      <c r="C242" s="3">
        <v>0.19700000000000001</v>
      </c>
      <c r="D242" s="3">
        <v>0.51</v>
      </c>
      <c r="E242" s="3">
        <v>0.16420000000000001</v>
      </c>
      <c r="F242" s="3">
        <v>3</v>
      </c>
      <c r="G242" s="3">
        <v>127</v>
      </c>
      <c r="H242" s="3">
        <v>130</v>
      </c>
    </row>
    <row r="243" spans="1:8" ht="15.75" customHeight="1" x14ac:dyDescent="0.3">
      <c r="A243" s="3">
        <v>241</v>
      </c>
      <c r="B243" s="3">
        <v>242</v>
      </c>
      <c r="C243" s="3">
        <v>0.21210000000000001</v>
      </c>
      <c r="D243" s="3">
        <v>0.51</v>
      </c>
      <c r="E243" s="3">
        <v>0.16420000000000001</v>
      </c>
      <c r="F243" s="3">
        <v>3</v>
      </c>
      <c r="G243" s="3">
        <v>51</v>
      </c>
      <c r="H243" s="3">
        <v>54</v>
      </c>
    </row>
    <row r="244" spans="1:8" ht="15.75" customHeight="1" x14ac:dyDescent="0.3">
      <c r="A244" s="3">
        <v>242</v>
      </c>
      <c r="B244" s="3">
        <v>243</v>
      </c>
      <c r="C244" s="3">
        <v>0.21210000000000001</v>
      </c>
      <c r="D244" s="3">
        <v>0.47</v>
      </c>
      <c r="E244" s="3">
        <v>0.1343</v>
      </c>
      <c r="F244" s="3">
        <v>4</v>
      </c>
      <c r="G244" s="3">
        <v>31</v>
      </c>
      <c r="H244" s="3">
        <v>35</v>
      </c>
    </row>
    <row r="245" spans="1:8" ht="15.75" customHeight="1" x14ac:dyDescent="0.3">
      <c r="A245" s="3">
        <v>243</v>
      </c>
      <c r="B245" s="3">
        <v>244</v>
      </c>
      <c r="C245" s="3">
        <v>0.2273</v>
      </c>
      <c r="D245" s="3">
        <v>0.51</v>
      </c>
      <c r="E245" s="3">
        <v>0.1045</v>
      </c>
      <c r="F245" s="3">
        <v>2</v>
      </c>
      <c r="G245" s="3">
        <v>55</v>
      </c>
      <c r="H245" s="3">
        <v>57</v>
      </c>
    </row>
    <row r="246" spans="1:8" ht="15.75" customHeight="1" x14ac:dyDescent="0.3">
      <c r="A246" s="3">
        <v>244</v>
      </c>
      <c r="B246" s="3">
        <v>245</v>
      </c>
      <c r="C246" s="3">
        <v>0.2273</v>
      </c>
      <c r="D246" s="3">
        <v>0.59</v>
      </c>
      <c r="E246" s="3">
        <v>8.9599999999999999E-2</v>
      </c>
      <c r="F246" s="3">
        <v>6</v>
      </c>
      <c r="G246" s="3">
        <v>46</v>
      </c>
      <c r="H246" s="3">
        <v>52</v>
      </c>
    </row>
    <row r="247" spans="1:8" ht="15.75" customHeight="1" x14ac:dyDescent="0.3">
      <c r="A247" s="3">
        <v>245</v>
      </c>
      <c r="B247" s="3">
        <v>246</v>
      </c>
      <c r="C247" s="3">
        <v>0.2273</v>
      </c>
      <c r="D247" s="3">
        <v>0.59</v>
      </c>
      <c r="E247" s="3">
        <v>8.9599999999999999E-2</v>
      </c>
      <c r="F247" s="3">
        <v>3</v>
      </c>
      <c r="G247" s="3">
        <v>60</v>
      </c>
      <c r="H247" s="3">
        <v>63</v>
      </c>
    </row>
    <row r="248" spans="1:8" ht="15.75" customHeight="1" x14ac:dyDescent="0.3">
      <c r="A248" s="3">
        <v>246</v>
      </c>
      <c r="B248" s="3">
        <v>247</v>
      </c>
      <c r="C248" s="3">
        <v>0.19700000000000001</v>
      </c>
      <c r="D248" s="3">
        <v>0.8</v>
      </c>
      <c r="E248" s="3">
        <v>8.9599999999999999E-2</v>
      </c>
      <c r="F248" s="3">
        <v>2</v>
      </c>
      <c r="G248" s="3">
        <v>45</v>
      </c>
      <c r="H248" s="3">
        <v>47</v>
      </c>
    </row>
    <row r="249" spans="1:8" ht="15.75" customHeight="1" x14ac:dyDescent="0.3">
      <c r="A249" s="3">
        <v>247</v>
      </c>
      <c r="B249" s="3">
        <v>248</v>
      </c>
      <c r="C249" s="3">
        <v>0.1515</v>
      </c>
      <c r="D249" s="3">
        <v>0.86</v>
      </c>
      <c r="E249" s="3">
        <v>0.22389999999999999</v>
      </c>
      <c r="F249" s="3">
        <v>4</v>
      </c>
      <c r="G249" s="3">
        <v>72</v>
      </c>
      <c r="H249" s="3">
        <v>76</v>
      </c>
    </row>
    <row r="250" spans="1:8" ht="15.75" customHeight="1" x14ac:dyDescent="0.3">
      <c r="A250" s="3">
        <v>248</v>
      </c>
      <c r="B250" s="3">
        <v>249</v>
      </c>
      <c r="C250" s="3">
        <v>0.1515</v>
      </c>
      <c r="D250" s="3">
        <v>0.86</v>
      </c>
      <c r="E250" s="3">
        <v>0.22389999999999999</v>
      </c>
      <c r="F250" s="3">
        <v>6</v>
      </c>
      <c r="G250" s="3">
        <v>130</v>
      </c>
      <c r="H250" s="3">
        <v>136</v>
      </c>
    </row>
    <row r="251" spans="1:8" ht="15.75" customHeight="1" x14ac:dyDescent="0.3">
      <c r="A251" s="3">
        <v>249</v>
      </c>
      <c r="B251" s="3">
        <v>250</v>
      </c>
      <c r="C251" s="3">
        <v>0.18179999999999999</v>
      </c>
      <c r="D251" s="3">
        <v>0.93</v>
      </c>
      <c r="E251" s="3">
        <v>0.1045</v>
      </c>
      <c r="F251" s="3">
        <v>1</v>
      </c>
      <c r="G251" s="3">
        <v>94</v>
      </c>
      <c r="H251" s="3">
        <v>95</v>
      </c>
    </row>
    <row r="252" spans="1:8" ht="15.75" customHeight="1" x14ac:dyDescent="0.3">
      <c r="A252" s="3">
        <v>250</v>
      </c>
      <c r="B252" s="3">
        <v>251</v>
      </c>
      <c r="C252" s="3">
        <v>0.2273</v>
      </c>
      <c r="D252" s="3">
        <v>0.93</v>
      </c>
      <c r="E252" s="3">
        <v>0</v>
      </c>
      <c r="F252" s="3">
        <v>0</v>
      </c>
      <c r="G252" s="3">
        <v>51</v>
      </c>
      <c r="H252" s="3">
        <v>51</v>
      </c>
    </row>
    <row r="253" spans="1:8" ht="15.75" customHeight="1" x14ac:dyDescent="0.3">
      <c r="A253" s="3">
        <v>251</v>
      </c>
      <c r="B253" s="3">
        <v>252</v>
      </c>
      <c r="C253" s="3">
        <v>0.1515</v>
      </c>
      <c r="D253" s="3">
        <v>0.93</v>
      </c>
      <c r="E253" s="3">
        <v>0.19400000000000001</v>
      </c>
      <c r="F253" s="3">
        <v>0</v>
      </c>
      <c r="G253" s="3">
        <v>32</v>
      </c>
      <c r="H253" s="3">
        <v>32</v>
      </c>
    </row>
    <row r="254" spans="1:8" ht="15.75" customHeight="1" x14ac:dyDescent="0.3">
      <c r="A254" s="3">
        <v>252</v>
      </c>
      <c r="B254" s="3">
        <v>253</v>
      </c>
      <c r="C254" s="3">
        <v>0.19700000000000001</v>
      </c>
      <c r="D254" s="3">
        <v>0.86</v>
      </c>
      <c r="E254" s="3">
        <v>8.9599999999999999E-2</v>
      </c>
      <c r="F254" s="3">
        <v>0</v>
      </c>
      <c r="G254" s="3">
        <v>20</v>
      </c>
      <c r="H254" s="3">
        <v>20</v>
      </c>
    </row>
    <row r="255" spans="1:8" ht="15.75" customHeight="1" x14ac:dyDescent="0.3">
      <c r="A255" s="3">
        <v>253</v>
      </c>
      <c r="B255" s="3">
        <v>254</v>
      </c>
      <c r="C255" s="3">
        <v>0.18179999999999999</v>
      </c>
      <c r="D255" s="3">
        <v>0.93</v>
      </c>
      <c r="E255" s="3">
        <v>0.1045</v>
      </c>
      <c r="F255" s="3">
        <v>1</v>
      </c>
      <c r="G255" s="3">
        <v>28</v>
      </c>
      <c r="H255" s="3">
        <v>29</v>
      </c>
    </row>
    <row r="256" spans="1:8" ht="15.75" customHeight="1" x14ac:dyDescent="0.3">
      <c r="A256" s="3">
        <v>254</v>
      </c>
      <c r="B256" s="3">
        <v>255</v>
      </c>
      <c r="C256" s="3">
        <v>0.19700000000000001</v>
      </c>
      <c r="D256" s="3">
        <v>0.93</v>
      </c>
      <c r="E256" s="3">
        <v>8.9599999999999999E-2</v>
      </c>
      <c r="F256" s="3">
        <v>1</v>
      </c>
      <c r="G256" s="3">
        <v>18</v>
      </c>
      <c r="H256" s="3">
        <v>19</v>
      </c>
    </row>
    <row r="257" spans="1:8" ht="15.75" customHeight="1" x14ac:dyDescent="0.3">
      <c r="A257" s="3">
        <v>255</v>
      </c>
      <c r="B257" s="3">
        <v>256</v>
      </c>
      <c r="C257" s="3">
        <v>0.19700000000000001</v>
      </c>
      <c r="D257" s="3">
        <v>0.86</v>
      </c>
      <c r="E257" s="3">
        <v>8.9599999999999999E-2</v>
      </c>
      <c r="F257" s="3">
        <v>0</v>
      </c>
      <c r="G257" s="3">
        <v>7</v>
      </c>
      <c r="H257" s="3">
        <v>7</v>
      </c>
    </row>
    <row r="258" spans="1:8" ht="15.75" customHeight="1" x14ac:dyDescent="0.3">
      <c r="A258" s="3">
        <v>256</v>
      </c>
      <c r="B258" s="3">
        <v>257</v>
      </c>
      <c r="C258" s="3">
        <v>0.18179999999999999</v>
      </c>
      <c r="D258" s="3">
        <v>0.86</v>
      </c>
      <c r="E258" s="3">
        <v>0.1045</v>
      </c>
      <c r="F258" s="3">
        <v>0</v>
      </c>
      <c r="G258" s="3">
        <v>6</v>
      </c>
      <c r="H258" s="3">
        <v>6</v>
      </c>
    </row>
    <row r="259" spans="1:8" ht="15.75" customHeight="1" x14ac:dyDescent="0.3">
      <c r="A259" s="3">
        <v>257</v>
      </c>
      <c r="B259" s="3">
        <v>258</v>
      </c>
      <c r="C259" s="3">
        <v>0.1515</v>
      </c>
      <c r="D259" s="3">
        <v>0.86</v>
      </c>
      <c r="E259" s="3">
        <v>0.1343</v>
      </c>
      <c r="F259" s="3">
        <v>0</v>
      </c>
      <c r="G259" s="3">
        <v>1</v>
      </c>
      <c r="H259" s="3">
        <v>1</v>
      </c>
    </row>
    <row r="260" spans="1:8" ht="15.75" customHeight="1" x14ac:dyDescent="0.3">
      <c r="A260" s="3">
        <v>258</v>
      </c>
      <c r="B260" s="3">
        <v>259</v>
      </c>
      <c r="C260" s="3">
        <v>0.1515</v>
      </c>
      <c r="D260" s="3">
        <v>0.86</v>
      </c>
      <c r="E260" s="3">
        <v>0.16420000000000001</v>
      </c>
      <c r="F260" s="3">
        <v>0</v>
      </c>
      <c r="G260" s="3">
        <v>5</v>
      </c>
      <c r="H260" s="3">
        <v>5</v>
      </c>
    </row>
    <row r="261" spans="1:8" ht="15.75" customHeight="1" x14ac:dyDescent="0.3">
      <c r="A261" s="3">
        <v>259</v>
      </c>
      <c r="B261" s="3">
        <v>260</v>
      </c>
      <c r="C261" s="3">
        <v>0.1515</v>
      </c>
      <c r="D261" s="3">
        <v>0.93</v>
      </c>
      <c r="E261" s="3">
        <v>0.1343</v>
      </c>
      <c r="F261" s="3">
        <v>0</v>
      </c>
      <c r="G261" s="3">
        <v>16</v>
      </c>
      <c r="H261" s="3">
        <v>16</v>
      </c>
    </row>
    <row r="262" spans="1:8" ht="15.75" customHeight="1" x14ac:dyDescent="0.3">
      <c r="A262" s="3">
        <v>260</v>
      </c>
      <c r="B262" s="3">
        <v>261</v>
      </c>
      <c r="C262" s="3">
        <v>0.1515</v>
      </c>
      <c r="D262" s="3">
        <v>0.69</v>
      </c>
      <c r="E262" s="3">
        <v>0.1343</v>
      </c>
      <c r="F262" s="3">
        <v>0</v>
      </c>
      <c r="G262" s="3">
        <v>54</v>
      </c>
      <c r="H262" s="3">
        <v>54</v>
      </c>
    </row>
    <row r="263" spans="1:8" ht="15.75" customHeight="1" x14ac:dyDescent="0.3">
      <c r="A263" s="3">
        <v>261</v>
      </c>
      <c r="B263" s="3">
        <v>262</v>
      </c>
      <c r="C263" s="3">
        <v>0.16669999999999999</v>
      </c>
      <c r="D263" s="3">
        <v>0.59</v>
      </c>
      <c r="E263" s="3">
        <v>0.16420000000000001</v>
      </c>
      <c r="F263" s="3">
        <v>3</v>
      </c>
      <c r="G263" s="3">
        <v>125</v>
      </c>
      <c r="H263" s="3">
        <v>128</v>
      </c>
    </row>
    <row r="264" spans="1:8" ht="15.75" customHeight="1" x14ac:dyDescent="0.3">
      <c r="A264" s="3">
        <v>262</v>
      </c>
      <c r="B264" s="3">
        <v>263</v>
      </c>
      <c r="C264" s="3">
        <v>0.13639999999999999</v>
      </c>
      <c r="D264" s="3">
        <v>0.59</v>
      </c>
      <c r="E264" s="3">
        <v>0.32840000000000003</v>
      </c>
      <c r="F264" s="3">
        <v>3</v>
      </c>
      <c r="G264" s="3">
        <v>78</v>
      </c>
      <c r="H264" s="3">
        <v>81</v>
      </c>
    </row>
    <row r="265" spans="1:8" ht="15.75" customHeight="1" x14ac:dyDescent="0.3">
      <c r="A265" s="3">
        <v>263</v>
      </c>
      <c r="B265" s="3">
        <v>264</v>
      </c>
      <c r="C265" s="3">
        <v>0.18179999999999999</v>
      </c>
      <c r="D265" s="3">
        <v>0.55000000000000004</v>
      </c>
      <c r="E265" s="3">
        <v>0.22389999999999999</v>
      </c>
      <c r="F265" s="3">
        <v>0</v>
      </c>
      <c r="G265" s="3">
        <v>39</v>
      </c>
      <c r="H265" s="3">
        <v>39</v>
      </c>
    </row>
    <row r="266" spans="1:8" ht="15.75" customHeight="1" x14ac:dyDescent="0.3">
      <c r="A266" s="3">
        <v>264</v>
      </c>
      <c r="B266" s="3">
        <v>265</v>
      </c>
      <c r="C266" s="3">
        <v>0.18179999999999999</v>
      </c>
      <c r="D266" s="3">
        <v>0.51</v>
      </c>
      <c r="E266" s="3">
        <v>0.3881</v>
      </c>
      <c r="F266" s="3">
        <v>3</v>
      </c>
      <c r="G266" s="3">
        <v>32</v>
      </c>
      <c r="H266" s="3">
        <v>35</v>
      </c>
    </row>
    <row r="267" spans="1:8" ht="15.75" customHeight="1" x14ac:dyDescent="0.3">
      <c r="A267" s="3">
        <v>265</v>
      </c>
      <c r="B267" s="3">
        <v>266</v>
      </c>
      <c r="C267" s="3">
        <v>0.1515</v>
      </c>
      <c r="D267" s="3">
        <v>0.47</v>
      </c>
      <c r="E267" s="3">
        <v>0.58209999999999995</v>
      </c>
      <c r="F267" s="3">
        <v>3</v>
      </c>
      <c r="G267" s="3">
        <v>52</v>
      </c>
      <c r="H267" s="3">
        <v>55</v>
      </c>
    </row>
    <row r="268" spans="1:8" ht="15.75" customHeight="1" x14ac:dyDescent="0.3">
      <c r="A268" s="3">
        <v>266</v>
      </c>
      <c r="B268" s="3">
        <v>267</v>
      </c>
      <c r="C268" s="3">
        <v>0.19700000000000001</v>
      </c>
      <c r="D268" s="3">
        <v>0.44</v>
      </c>
      <c r="E268" s="3">
        <v>0.35820000000000002</v>
      </c>
      <c r="F268" s="3">
        <v>0</v>
      </c>
      <c r="G268" s="3">
        <v>49</v>
      </c>
      <c r="H268" s="3">
        <v>49</v>
      </c>
    </row>
    <row r="269" spans="1:8" ht="15.75" customHeight="1" x14ac:dyDescent="0.3">
      <c r="A269" s="3">
        <v>267</v>
      </c>
      <c r="B269" s="3">
        <v>268</v>
      </c>
      <c r="C269" s="3">
        <v>0.18179999999999999</v>
      </c>
      <c r="D269" s="3">
        <v>0.47</v>
      </c>
      <c r="E269" s="3">
        <v>0.32840000000000003</v>
      </c>
      <c r="F269" s="3">
        <v>0</v>
      </c>
      <c r="G269" s="3">
        <v>44</v>
      </c>
      <c r="H269" s="3">
        <v>44</v>
      </c>
    </row>
    <row r="270" spans="1:8" ht="15.75" customHeight="1" x14ac:dyDescent="0.3">
      <c r="A270" s="3">
        <v>268</v>
      </c>
      <c r="B270" s="3">
        <v>269</v>
      </c>
      <c r="C270" s="3">
        <v>0.16669999999999999</v>
      </c>
      <c r="D270" s="3">
        <v>0.47</v>
      </c>
      <c r="E270" s="3">
        <v>0.41789999999999999</v>
      </c>
      <c r="F270" s="3">
        <v>1</v>
      </c>
      <c r="G270" s="3">
        <v>48</v>
      </c>
      <c r="H270" s="3">
        <v>49</v>
      </c>
    </row>
    <row r="271" spans="1:8" ht="15.75" customHeight="1" x14ac:dyDescent="0.3">
      <c r="A271" s="3">
        <v>269</v>
      </c>
      <c r="B271" s="3">
        <v>270</v>
      </c>
      <c r="C271" s="3">
        <v>0.19700000000000001</v>
      </c>
      <c r="D271" s="3">
        <v>0.44</v>
      </c>
      <c r="E271" s="3">
        <v>0.32840000000000003</v>
      </c>
      <c r="F271" s="3">
        <v>5</v>
      </c>
      <c r="G271" s="3">
        <v>63</v>
      </c>
      <c r="H271" s="3">
        <v>68</v>
      </c>
    </row>
    <row r="272" spans="1:8" ht="15.75" customHeight="1" x14ac:dyDescent="0.3">
      <c r="A272" s="3">
        <v>270</v>
      </c>
      <c r="B272" s="3">
        <v>271</v>
      </c>
      <c r="C272" s="3">
        <v>0.18179999999999999</v>
      </c>
      <c r="D272" s="3">
        <v>0.47</v>
      </c>
      <c r="E272" s="3">
        <v>0.35820000000000002</v>
      </c>
      <c r="F272" s="3">
        <v>0</v>
      </c>
      <c r="G272" s="3">
        <v>139</v>
      </c>
      <c r="H272" s="3">
        <v>139</v>
      </c>
    </row>
    <row r="273" spans="1:8" ht="15.75" customHeight="1" x14ac:dyDescent="0.3">
      <c r="A273" s="3">
        <v>271</v>
      </c>
      <c r="B273" s="3">
        <v>272</v>
      </c>
      <c r="C273" s="3">
        <v>0.1515</v>
      </c>
      <c r="D273" s="3">
        <v>0.47</v>
      </c>
      <c r="E273" s="3">
        <v>0.52239999999999998</v>
      </c>
      <c r="F273" s="3">
        <v>2</v>
      </c>
      <c r="G273" s="3">
        <v>135</v>
      </c>
      <c r="H273" s="3">
        <v>137</v>
      </c>
    </row>
    <row r="274" spans="1:8" ht="15.75" customHeight="1" x14ac:dyDescent="0.3">
      <c r="A274" s="3">
        <v>272</v>
      </c>
      <c r="B274" s="3">
        <v>273</v>
      </c>
      <c r="C274" s="3">
        <v>0.1515</v>
      </c>
      <c r="D274" s="3">
        <v>0.47</v>
      </c>
      <c r="E274" s="3">
        <v>0.41789999999999999</v>
      </c>
      <c r="F274" s="3">
        <v>1</v>
      </c>
      <c r="G274" s="3">
        <v>82</v>
      </c>
      <c r="H274" s="3">
        <v>83</v>
      </c>
    </row>
    <row r="275" spans="1:8" ht="15.75" customHeight="1" x14ac:dyDescent="0.3">
      <c r="A275" s="3">
        <v>273</v>
      </c>
      <c r="B275" s="3">
        <v>274</v>
      </c>
      <c r="C275" s="3">
        <v>0.13639999999999999</v>
      </c>
      <c r="D275" s="3">
        <v>0.5</v>
      </c>
      <c r="E275" s="3">
        <v>0.32840000000000003</v>
      </c>
      <c r="F275" s="3">
        <v>2</v>
      </c>
      <c r="G275" s="3">
        <v>54</v>
      </c>
      <c r="H275" s="3">
        <v>56</v>
      </c>
    </row>
    <row r="276" spans="1:8" ht="15.75" customHeight="1" x14ac:dyDescent="0.3">
      <c r="A276" s="3">
        <v>274</v>
      </c>
      <c r="B276" s="3">
        <v>275</v>
      </c>
      <c r="C276" s="3">
        <v>0.13639999999999999</v>
      </c>
      <c r="D276" s="3">
        <v>0.55000000000000004</v>
      </c>
      <c r="E276" s="3">
        <v>0.32840000000000003</v>
      </c>
      <c r="F276" s="3">
        <v>0</v>
      </c>
      <c r="G276" s="3">
        <v>57</v>
      </c>
      <c r="H276" s="3">
        <v>57</v>
      </c>
    </row>
    <row r="277" spans="1:8" ht="15.75" customHeight="1" x14ac:dyDescent="0.3">
      <c r="A277" s="3">
        <v>275</v>
      </c>
      <c r="B277" s="3">
        <v>276</v>
      </c>
      <c r="C277" s="3">
        <v>0.1212</v>
      </c>
      <c r="D277" s="3">
        <v>0.55000000000000004</v>
      </c>
      <c r="E277" s="3">
        <v>0.44779999999999998</v>
      </c>
      <c r="F277" s="3">
        <v>1</v>
      </c>
      <c r="G277" s="3">
        <v>32</v>
      </c>
      <c r="H277" s="3">
        <v>33</v>
      </c>
    </row>
    <row r="278" spans="1:8" ht="15.75" customHeight="1" x14ac:dyDescent="0.3">
      <c r="A278" s="3">
        <v>276</v>
      </c>
      <c r="B278" s="3">
        <v>277</v>
      </c>
      <c r="C278" s="3">
        <v>0.1061</v>
      </c>
      <c r="D278" s="3">
        <v>0.59</v>
      </c>
      <c r="E278" s="3">
        <v>0.41789999999999999</v>
      </c>
      <c r="F278" s="3">
        <v>1</v>
      </c>
      <c r="G278" s="3">
        <v>19</v>
      </c>
      <c r="H278" s="3">
        <v>20</v>
      </c>
    </row>
    <row r="279" spans="1:8" ht="15.75" customHeight="1" x14ac:dyDescent="0.3">
      <c r="A279" s="3">
        <v>277</v>
      </c>
      <c r="B279" s="3">
        <v>278</v>
      </c>
      <c r="C279" s="3">
        <v>0.1212</v>
      </c>
      <c r="D279" s="3">
        <v>0.59</v>
      </c>
      <c r="E279" s="3">
        <v>0.28360000000000002</v>
      </c>
      <c r="F279" s="3">
        <v>1</v>
      </c>
      <c r="G279" s="3">
        <v>6</v>
      </c>
      <c r="H279" s="3">
        <v>7</v>
      </c>
    </row>
    <row r="280" spans="1:8" ht="15.75" customHeight="1" x14ac:dyDescent="0.3">
      <c r="A280" s="3">
        <v>278</v>
      </c>
      <c r="B280" s="3">
        <v>279</v>
      </c>
      <c r="C280" s="3">
        <v>0.1212</v>
      </c>
      <c r="D280" s="3">
        <v>0.5</v>
      </c>
      <c r="E280" s="3">
        <v>0.28360000000000002</v>
      </c>
      <c r="F280" s="3">
        <v>0</v>
      </c>
      <c r="G280" s="3">
        <v>2</v>
      </c>
      <c r="H280" s="3">
        <v>2</v>
      </c>
    </row>
    <row r="281" spans="1:8" ht="15.75" customHeight="1" x14ac:dyDescent="0.3">
      <c r="A281" s="3">
        <v>279</v>
      </c>
      <c r="B281" s="3">
        <v>280</v>
      </c>
      <c r="C281" s="3">
        <v>0.1212</v>
      </c>
      <c r="D281" s="3">
        <v>0.5</v>
      </c>
      <c r="E281" s="3">
        <v>0.35820000000000002</v>
      </c>
      <c r="F281" s="3">
        <v>0</v>
      </c>
      <c r="G281" s="3">
        <v>2</v>
      </c>
      <c r="H281" s="3">
        <v>2</v>
      </c>
    </row>
    <row r="282" spans="1:8" ht="15.75" customHeight="1" x14ac:dyDescent="0.3">
      <c r="A282" s="3">
        <v>280</v>
      </c>
      <c r="B282" s="3">
        <v>281</v>
      </c>
      <c r="C282" s="3">
        <v>0.1212</v>
      </c>
      <c r="D282" s="3">
        <v>0.5</v>
      </c>
      <c r="E282" s="3">
        <v>0.32840000000000003</v>
      </c>
      <c r="F282" s="3">
        <v>0</v>
      </c>
      <c r="G282" s="3">
        <v>3</v>
      </c>
      <c r="H282" s="3">
        <v>3</v>
      </c>
    </row>
    <row r="283" spans="1:8" ht="15.75" customHeight="1" x14ac:dyDescent="0.3">
      <c r="A283" s="3">
        <v>281</v>
      </c>
      <c r="B283" s="3">
        <v>282</v>
      </c>
      <c r="C283" s="3">
        <v>0.1212</v>
      </c>
      <c r="D283" s="3">
        <v>0.5</v>
      </c>
      <c r="E283" s="3">
        <v>0.25369999999999998</v>
      </c>
      <c r="F283" s="3">
        <v>0</v>
      </c>
      <c r="G283" s="3">
        <v>4</v>
      </c>
      <c r="H283" s="3">
        <v>4</v>
      </c>
    </row>
    <row r="284" spans="1:8" ht="15.75" customHeight="1" x14ac:dyDescent="0.3">
      <c r="A284" s="3">
        <v>282</v>
      </c>
      <c r="B284" s="3">
        <v>283</v>
      </c>
      <c r="C284" s="3">
        <v>0.1212</v>
      </c>
      <c r="D284" s="3">
        <v>0.5</v>
      </c>
      <c r="E284" s="3">
        <v>0.29849999999999999</v>
      </c>
      <c r="F284" s="3">
        <v>0</v>
      </c>
      <c r="G284" s="3">
        <v>3</v>
      </c>
      <c r="H284" s="3">
        <v>3</v>
      </c>
    </row>
    <row r="285" spans="1:8" ht="15.75" customHeight="1" x14ac:dyDescent="0.3">
      <c r="A285" s="3">
        <v>283</v>
      </c>
      <c r="B285" s="3">
        <v>284</v>
      </c>
      <c r="C285" s="3">
        <v>0.1515</v>
      </c>
      <c r="D285" s="3">
        <v>0.54</v>
      </c>
      <c r="E285" s="3">
        <v>0.1343</v>
      </c>
      <c r="F285" s="3">
        <v>0</v>
      </c>
      <c r="G285" s="3">
        <v>28</v>
      </c>
      <c r="H285" s="3">
        <v>28</v>
      </c>
    </row>
    <row r="286" spans="1:8" ht="15.75" customHeight="1" x14ac:dyDescent="0.3">
      <c r="A286" s="3">
        <v>284</v>
      </c>
      <c r="B286" s="3">
        <v>285</v>
      </c>
      <c r="C286" s="3">
        <v>0.1515</v>
      </c>
      <c r="D286" s="3">
        <v>0.54</v>
      </c>
      <c r="E286" s="3">
        <v>0.1343</v>
      </c>
      <c r="F286" s="3">
        <v>0</v>
      </c>
      <c r="G286" s="3">
        <v>72</v>
      </c>
      <c r="H286" s="3">
        <v>72</v>
      </c>
    </row>
    <row r="287" spans="1:8" ht="15.75" customHeight="1" x14ac:dyDescent="0.3">
      <c r="A287" s="3">
        <v>285</v>
      </c>
      <c r="B287" s="3">
        <v>286</v>
      </c>
      <c r="C287" s="3">
        <v>0.13639999999999999</v>
      </c>
      <c r="D287" s="3">
        <v>0.5</v>
      </c>
      <c r="E287" s="3">
        <v>0.19400000000000001</v>
      </c>
      <c r="F287" s="3">
        <v>5</v>
      </c>
      <c r="G287" s="3">
        <v>197</v>
      </c>
      <c r="H287" s="3">
        <v>202</v>
      </c>
    </row>
    <row r="288" spans="1:8" ht="15.75" customHeight="1" x14ac:dyDescent="0.3">
      <c r="A288" s="3">
        <v>286</v>
      </c>
      <c r="B288" s="3">
        <v>287</v>
      </c>
      <c r="C288" s="3">
        <v>0.1212</v>
      </c>
      <c r="D288" s="3">
        <v>0.5</v>
      </c>
      <c r="E288" s="3">
        <v>0.32840000000000003</v>
      </c>
      <c r="F288" s="3">
        <v>2</v>
      </c>
      <c r="G288" s="3">
        <v>137</v>
      </c>
      <c r="H288" s="3">
        <v>139</v>
      </c>
    </row>
    <row r="289" spans="1:8" ht="15.75" customHeight="1" x14ac:dyDescent="0.3">
      <c r="A289" s="3">
        <v>287</v>
      </c>
      <c r="B289" s="3">
        <v>288</v>
      </c>
      <c r="C289" s="3">
        <v>0.13639999999999999</v>
      </c>
      <c r="D289" s="3">
        <v>0.5</v>
      </c>
      <c r="E289" s="3">
        <v>0.35820000000000002</v>
      </c>
      <c r="F289" s="3">
        <v>2</v>
      </c>
      <c r="G289" s="3">
        <v>36</v>
      </c>
      <c r="H289" s="3">
        <v>38</v>
      </c>
    </row>
    <row r="290" spans="1:8" ht="15.75" customHeight="1" x14ac:dyDescent="0.3">
      <c r="A290" s="3">
        <v>288</v>
      </c>
      <c r="B290" s="3">
        <v>289</v>
      </c>
      <c r="C290" s="3">
        <v>0.16669999999999999</v>
      </c>
      <c r="D290" s="3">
        <v>0.44</v>
      </c>
      <c r="E290" s="3">
        <v>0.44779999999999998</v>
      </c>
      <c r="F290" s="3">
        <v>4</v>
      </c>
      <c r="G290" s="3">
        <v>33</v>
      </c>
      <c r="H290" s="3">
        <v>37</v>
      </c>
    </row>
    <row r="291" spans="1:8" ht="15.75" customHeight="1" x14ac:dyDescent="0.3">
      <c r="A291" s="3">
        <v>289</v>
      </c>
      <c r="B291" s="3">
        <v>290</v>
      </c>
      <c r="C291" s="3">
        <v>0.16669999999999999</v>
      </c>
      <c r="D291" s="3">
        <v>0.44</v>
      </c>
      <c r="E291" s="3">
        <v>0.41789999999999999</v>
      </c>
      <c r="F291" s="3">
        <v>3</v>
      </c>
      <c r="G291" s="3">
        <v>49</v>
      </c>
      <c r="H291" s="3">
        <v>52</v>
      </c>
    </row>
    <row r="292" spans="1:8" ht="15.75" customHeight="1" x14ac:dyDescent="0.3">
      <c r="A292" s="3">
        <v>290</v>
      </c>
      <c r="B292" s="3">
        <v>291</v>
      </c>
      <c r="C292" s="3">
        <v>0.19700000000000001</v>
      </c>
      <c r="D292" s="3">
        <v>0.41</v>
      </c>
      <c r="E292" s="3">
        <v>0.44779999999999998</v>
      </c>
      <c r="F292" s="3">
        <v>2</v>
      </c>
      <c r="G292" s="3">
        <v>81</v>
      </c>
      <c r="H292" s="3">
        <v>83</v>
      </c>
    </row>
    <row r="293" spans="1:8" ht="15.75" customHeight="1" x14ac:dyDescent="0.3">
      <c r="A293" s="3">
        <v>291</v>
      </c>
      <c r="B293" s="3">
        <v>292</v>
      </c>
      <c r="C293" s="3">
        <v>0.19700000000000001</v>
      </c>
      <c r="D293" s="3">
        <v>0.41</v>
      </c>
      <c r="E293" s="3">
        <v>0.3881</v>
      </c>
      <c r="F293" s="3">
        <v>3</v>
      </c>
      <c r="G293" s="3">
        <v>39</v>
      </c>
      <c r="H293" s="3">
        <v>42</v>
      </c>
    </row>
    <row r="294" spans="1:8" ht="15.75" customHeight="1" x14ac:dyDescent="0.3">
      <c r="A294" s="3">
        <v>292</v>
      </c>
      <c r="B294" s="3">
        <v>293</v>
      </c>
      <c r="C294" s="3">
        <v>0.21210000000000001</v>
      </c>
      <c r="D294" s="3">
        <v>0.38</v>
      </c>
      <c r="E294" s="3">
        <v>0.29849999999999999</v>
      </c>
      <c r="F294" s="3">
        <v>5</v>
      </c>
      <c r="G294" s="3">
        <v>55</v>
      </c>
      <c r="H294" s="3">
        <v>60</v>
      </c>
    </row>
    <row r="295" spans="1:8" ht="15.75" customHeight="1" x14ac:dyDescent="0.3">
      <c r="A295" s="3">
        <v>293</v>
      </c>
      <c r="B295" s="3">
        <v>294</v>
      </c>
      <c r="C295" s="3">
        <v>0.21210000000000001</v>
      </c>
      <c r="D295" s="3">
        <v>0.38</v>
      </c>
      <c r="E295" s="3">
        <v>0.35820000000000002</v>
      </c>
      <c r="F295" s="3">
        <v>2</v>
      </c>
      <c r="G295" s="3">
        <v>76</v>
      </c>
      <c r="H295" s="3">
        <v>78</v>
      </c>
    </row>
    <row r="296" spans="1:8" ht="15.75" customHeight="1" x14ac:dyDescent="0.3">
      <c r="A296" s="3">
        <v>294</v>
      </c>
      <c r="B296" s="3">
        <v>295</v>
      </c>
      <c r="C296" s="3">
        <v>0.18179999999999999</v>
      </c>
      <c r="D296" s="3">
        <v>0.4</v>
      </c>
      <c r="E296" s="3">
        <v>0.28360000000000002</v>
      </c>
      <c r="F296" s="3">
        <v>4</v>
      </c>
      <c r="G296" s="3">
        <v>158</v>
      </c>
      <c r="H296" s="3">
        <v>162</v>
      </c>
    </row>
    <row r="297" spans="1:8" ht="15.75" customHeight="1" x14ac:dyDescent="0.3">
      <c r="A297" s="3">
        <v>295</v>
      </c>
      <c r="B297" s="3">
        <v>296</v>
      </c>
      <c r="C297" s="3">
        <v>0.18179999999999999</v>
      </c>
      <c r="D297" s="3">
        <v>0.4</v>
      </c>
      <c r="E297" s="3">
        <v>0.32840000000000003</v>
      </c>
      <c r="F297" s="3">
        <v>3</v>
      </c>
      <c r="G297" s="3">
        <v>141</v>
      </c>
      <c r="H297" s="3">
        <v>144</v>
      </c>
    </row>
    <row r="298" spans="1:8" ht="15.75" customHeight="1" x14ac:dyDescent="0.3">
      <c r="A298" s="3">
        <v>296</v>
      </c>
      <c r="B298" s="3">
        <v>297</v>
      </c>
      <c r="C298" s="3">
        <v>0.1515</v>
      </c>
      <c r="D298" s="3">
        <v>0.47</v>
      </c>
      <c r="E298" s="3">
        <v>0.25369999999999998</v>
      </c>
      <c r="F298" s="3">
        <v>1</v>
      </c>
      <c r="G298" s="3">
        <v>98</v>
      </c>
      <c r="H298" s="3">
        <v>99</v>
      </c>
    </row>
    <row r="299" spans="1:8" ht="15.75" customHeight="1" x14ac:dyDescent="0.3">
      <c r="A299" s="3">
        <v>297</v>
      </c>
      <c r="B299" s="3">
        <v>298</v>
      </c>
      <c r="C299" s="3">
        <v>0.1515</v>
      </c>
      <c r="D299" s="3">
        <v>0.47</v>
      </c>
      <c r="E299" s="3">
        <v>0.22389999999999999</v>
      </c>
      <c r="F299" s="3">
        <v>0</v>
      </c>
      <c r="G299" s="3">
        <v>64</v>
      </c>
      <c r="H299" s="3">
        <v>64</v>
      </c>
    </row>
    <row r="300" spans="1:8" ht="15.75" customHeight="1" x14ac:dyDescent="0.3">
      <c r="A300" s="3">
        <v>298</v>
      </c>
      <c r="B300" s="3">
        <v>299</v>
      </c>
      <c r="C300" s="3">
        <v>0.1212</v>
      </c>
      <c r="D300" s="3">
        <v>0.46</v>
      </c>
      <c r="E300" s="3">
        <v>0.29849999999999999</v>
      </c>
      <c r="F300" s="3">
        <v>0</v>
      </c>
      <c r="G300" s="3">
        <v>40</v>
      </c>
      <c r="H300" s="3">
        <v>40</v>
      </c>
    </row>
    <row r="301" spans="1:8" ht="15.75" customHeight="1" x14ac:dyDescent="0.3">
      <c r="A301" s="3">
        <v>299</v>
      </c>
      <c r="B301" s="3">
        <v>300</v>
      </c>
      <c r="C301" s="3">
        <v>0.1212</v>
      </c>
      <c r="D301" s="3">
        <v>0.46</v>
      </c>
      <c r="E301" s="3">
        <v>0.32840000000000003</v>
      </c>
      <c r="F301" s="3">
        <v>0</v>
      </c>
      <c r="G301" s="3">
        <v>30</v>
      </c>
      <c r="H301" s="3">
        <v>30</v>
      </c>
    </row>
    <row r="302" spans="1:8" ht="15.75" customHeight="1" x14ac:dyDescent="0.3">
      <c r="A302" s="3">
        <v>300</v>
      </c>
      <c r="B302" s="3">
        <v>301</v>
      </c>
      <c r="C302" s="3">
        <v>0.13639999999999999</v>
      </c>
      <c r="D302" s="3">
        <v>0.5</v>
      </c>
      <c r="E302" s="3">
        <v>0.19400000000000001</v>
      </c>
      <c r="F302" s="3">
        <v>1</v>
      </c>
      <c r="G302" s="3">
        <v>14</v>
      </c>
      <c r="H302" s="3">
        <v>15</v>
      </c>
    </row>
    <row r="303" spans="1:8" ht="15.75" customHeight="1" x14ac:dyDescent="0.3">
      <c r="A303" s="3">
        <v>301</v>
      </c>
      <c r="B303" s="3">
        <v>302</v>
      </c>
      <c r="C303" s="3">
        <v>0.13639999999999999</v>
      </c>
      <c r="D303" s="3">
        <v>0.5</v>
      </c>
      <c r="E303" s="3">
        <v>0.19400000000000001</v>
      </c>
      <c r="F303" s="3">
        <v>0</v>
      </c>
      <c r="G303" s="3">
        <v>14</v>
      </c>
      <c r="H303" s="3">
        <v>14</v>
      </c>
    </row>
    <row r="304" spans="1:8" ht="15.75" customHeight="1" x14ac:dyDescent="0.3">
      <c r="A304" s="3">
        <v>302</v>
      </c>
      <c r="B304" s="3">
        <v>303</v>
      </c>
      <c r="C304" s="3">
        <v>0.1212</v>
      </c>
      <c r="D304" s="3">
        <v>0.54</v>
      </c>
      <c r="E304" s="3">
        <v>0.16420000000000001</v>
      </c>
      <c r="F304" s="3">
        <v>0</v>
      </c>
      <c r="G304" s="3">
        <v>5</v>
      </c>
      <c r="H304" s="3">
        <v>5</v>
      </c>
    </row>
    <row r="305" spans="1:8" ht="15.75" customHeight="1" x14ac:dyDescent="0.3">
      <c r="A305" s="3">
        <v>303</v>
      </c>
      <c r="B305" s="3">
        <v>304</v>
      </c>
      <c r="C305" s="3">
        <v>0.1212</v>
      </c>
      <c r="D305" s="3">
        <v>0.54</v>
      </c>
      <c r="E305" s="3">
        <v>0.1343</v>
      </c>
      <c r="F305" s="3">
        <v>0</v>
      </c>
      <c r="G305" s="3">
        <v>1</v>
      </c>
      <c r="H305" s="3">
        <v>1</v>
      </c>
    </row>
    <row r="306" spans="1:8" ht="15.75" customHeight="1" x14ac:dyDescent="0.3">
      <c r="A306" s="3">
        <v>304</v>
      </c>
      <c r="B306" s="3">
        <v>305</v>
      </c>
      <c r="C306" s="3">
        <v>0.13639999999999999</v>
      </c>
      <c r="D306" s="3">
        <v>0.54</v>
      </c>
      <c r="E306" s="3">
        <v>0.1045</v>
      </c>
      <c r="F306" s="3">
        <v>0</v>
      </c>
      <c r="G306" s="3">
        <v>1</v>
      </c>
      <c r="H306" s="3">
        <v>1</v>
      </c>
    </row>
    <row r="307" spans="1:8" ht="15.75" customHeight="1" x14ac:dyDescent="0.3">
      <c r="A307" s="3">
        <v>305</v>
      </c>
      <c r="B307" s="3">
        <v>306</v>
      </c>
      <c r="C307" s="3">
        <v>0.13639999999999999</v>
      </c>
      <c r="D307" s="3">
        <v>0.54</v>
      </c>
      <c r="E307" s="3">
        <v>8.9599999999999999E-2</v>
      </c>
      <c r="F307" s="3">
        <v>0</v>
      </c>
      <c r="G307" s="3">
        <v>8</v>
      </c>
      <c r="H307" s="3">
        <v>8</v>
      </c>
    </row>
    <row r="308" spans="1:8" ht="15.75" customHeight="1" x14ac:dyDescent="0.3">
      <c r="A308" s="3">
        <v>306</v>
      </c>
      <c r="B308" s="3">
        <v>307</v>
      </c>
      <c r="C308" s="3">
        <v>0.18179999999999999</v>
      </c>
      <c r="D308" s="3">
        <v>0.54</v>
      </c>
      <c r="E308" s="3">
        <v>0</v>
      </c>
      <c r="F308" s="3">
        <v>0</v>
      </c>
      <c r="G308" s="3">
        <v>17</v>
      </c>
      <c r="H308" s="3">
        <v>17</v>
      </c>
    </row>
    <row r="309" spans="1:8" ht="15.75" customHeight="1" x14ac:dyDescent="0.3">
      <c r="A309" s="3">
        <v>307</v>
      </c>
      <c r="B309" s="3">
        <v>308</v>
      </c>
      <c r="C309" s="3">
        <v>0.1212</v>
      </c>
      <c r="D309" s="3">
        <v>0.74</v>
      </c>
      <c r="E309" s="3">
        <v>0.16420000000000001</v>
      </c>
      <c r="F309" s="3">
        <v>0</v>
      </c>
      <c r="G309" s="3">
        <v>70</v>
      </c>
      <c r="H309" s="3">
        <v>70</v>
      </c>
    </row>
    <row r="310" spans="1:8" ht="15.75" customHeight="1" x14ac:dyDescent="0.3">
      <c r="A310" s="3">
        <v>308</v>
      </c>
      <c r="B310" s="3">
        <v>309</v>
      </c>
      <c r="C310" s="3">
        <v>0.16669999999999999</v>
      </c>
      <c r="D310" s="3">
        <v>0.68</v>
      </c>
      <c r="E310" s="3">
        <v>0</v>
      </c>
      <c r="F310" s="3">
        <v>2</v>
      </c>
      <c r="G310" s="3">
        <v>156</v>
      </c>
      <c r="H310" s="3">
        <v>158</v>
      </c>
    </row>
    <row r="311" spans="1:8" ht="15.75" customHeight="1" x14ac:dyDescent="0.3">
      <c r="A311" s="3">
        <v>309</v>
      </c>
      <c r="B311" s="3">
        <v>310</v>
      </c>
      <c r="C311" s="3">
        <v>0.1515</v>
      </c>
      <c r="D311" s="3">
        <v>0.69</v>
      </c>
      <c r="E311" s="3">
        <v>0.1343</v>
      </c>
      <c r="F311" s="3">
        <v>0</v>
      </c>
      <c r="G311" s="3">
        <v>117</v>
      </c>
      <c r="H311" s="3">
        <v>117</v>
      </c>
    </row>
    <row r="312" spans="1:8" ht="15.75" customHeight="1" x14ac:dyDescent="0.3">
      <c r="A312" s="3">
        <v>310</v>
      </c>
      <c r="B312" s="3">
        <v>311</v>
      </c>
      <c r="C312" s="3">
        <v>0.18179999999999999</v>
      </c>
      <c r="D312" s="3">
        <v>0.55000000000000004</v>
      </c>
      <c r="E312" s="3">
        <v>0.19400000000000001</v>
      </c>
      <c r="F312" s="3">
        <v>4</v>
      </c>
      <c r="G312" s="3">
        <v>40</v>
      </c>
      <c r="H312" s="3">
        <v>44</v>
      </c>
    </row>
    <row r="313" spans="1:8" ht="15.75" customHeight="1" x14ac:dyDescent="0.3">
      <c r="A313" s="3">
        <v>311</v>
      </c>
      <c r="B313" s="3">
        <v>312</v>
      </c>
      <c r="C313" s="3">
        <v>0.16669999999999999</v>
      </c>
      <c r="D313" s="3">
        <v>0.51</v>
      </c>
      <c r="E313" s="3">
        <v>0.28360000000000002</v>
      </c>
      <c r="F313" s="3">
        <v>6</v>
      </c>
      <c r="G313" s="3">
        <v>47</v>
      </c>
      <c r="H313" s="3">
        <v>53</v>
      </c>
    </row>
    <row r="314" spans="1:8" ht="15.75" customHeight="1" x14ac:dyDescent="0.3">
      <c r="A314" s="3">
        <v>312</v>
      </c>
      <c r="B314" s="3">
        <v>313</v>
      </c>
      <c r="C314" s="3">
        <v>0.19700000000000001</v>
      </c>
      <c r="D314" s="3">
        <v>0.44</v>
      </c>
      <c r="E314" s="3">
        <v>0.25369999999999998</v>
      </c>
      <c r="F314" s="3">
        <v>2</v>
      </c>
      <c r="G314" s="3">
        <v>59</v>
      </c>
      <c r="H314" s="3">
        <v>61</v>
      </c>
    </row>
    <row r="315" spans="1:8" ht="15.75" customHeight="1" x14ac:dyDescent="0.3">
      <c r="A315" s="3">
        <v>313</v>
      </c>
      <c r="B315" s="3">
        <v>314</v>
      </c>
      <c r="C315" s="3">
        <v>0.19700000000000001</v>
      </c>
      <c r="D315" s="3">
        <v>0.37</v>
      </c>
      <c r="E315" s="3">
        <v>0.3881</v>
      </c>
      <c r="F315" s="3">
        <v>4</v>
      </c>
      <c r="G315" s="3">
        <v>73</v>
      </c>
      <c r="H315" s="3">
        <v>77</v>
      </c>
    </row>
    <row r="316" spans="1:8" ht="15.75" customHeight="1" x14ac:dyDescent="0.3">
      <c r="A316" s="3">
        <v>314</v>
      </c>
      <c r="B316" s="3">
        <v>315</v>
      </c>
      <c r="C316" s="3">
        <v>0.21210000000000001</v>
      </c>
      <c r="D316" s="3">
        <v>0.41</v>
      </c>
      <c r="E316" s="3">
        <v>0.28360000000000002</v>
      </c>
      <c r="F316" s="3">
        <v>5</v>
      </c>
      <c r="G316" s="3">
        <v>59</v>
      </c>
      <c r="H316" s="3">
        <v>64</v>
      </c>
    </row>
    <row r="317" spans="1:8" ht="15.75" customHeight="1" x14ac:dyDescent="0.3">
      <c r="A317" s="3">
        <v>315</v>
      </c>
      <c r="B317" s="3">
        <v>316</v>
      </c>
      <c r="C317" s="3">
        <v>0.2424</v>
      </c>
      <c r="D317" s="3">
        <v>0.38</v>
      </c>
      <c r="E317" s="3">
        <v>0.16420000000000001</v>
      </c>
      <c r="F317" s="3">
        <v>9</v>
      </c>
      <c r="G317" s="3">
        <v>59</v>
      </c>
      <c r="H317" s="3">
        <v>68</v>
      </c>
    </row>
    <row r="318" spans="1:8" ht="15.75" customHeight="1" x14ac:dyDescent="0.3">
      <c r="A318" s="3">
        <v>316</v>
      </c>
      <c r="B318" s="3">
        <v>317</v>
      </c>
      <c r="C318" s="3">
        <v>0.2424</v>
      </c>
      <c r="D318" s="3">
        <v>0.41</v>
      </c>
      <c r="E318" s="3">
        <v>0.1045</v>
      </c>
      <c r="F318" s="3">
        <v>3</v>
      </c>
      <c r="G318" s="3">
        <v>87</v>
      </c>
      <c r="H318" s="3">
        <v>90</v>
      </c>
    </row>
    <row r="319" spans="1:8" ht="15.75" customHeight="1" x14ac:dyDescent="0.3">
      <c r="A319" s="3">
        <v>317</v>
      </c>
      <c r="B319" s="3">
        <v>318</v>
      </c>
      <c r="C319" s="3">
        <v>0.2273</v>
      </c>
      <c r="D319" s="3">
        <v>0.41</v>
      </c>
      <c r="E319" s="3">
        <v>0.16420000000000001</v>
      </c>
      <c r="F319" s="3">
        <v>4</v>
      </c>
      <c r="G319" s="3">
        <v>155</v>
      </c>
      <c r="H319" s="3">
        <v>159</v>
      </c>
    </row>
    <row r="320" spans="1:8" ht="15.75" customHeight="1" x14ac:dyDescent="0.3">
      <c r="A320" s="3">
        <v>318</v>
      </c>
      <c r="B320" s="3">
        <v>319</v>
      </c>
      <c r="C320" s="3">
        <v>0.2576</v>
      </c>
      <c r="D320" s="3">
        <v>0.47</v>
      </c>
      <c r="E320" s="3">
        <v>0</v>
      </c>
      <c r="F320" s="3">
        <v>5</v>
      </c>
      <c r="G320" s="3">
        <v>134</v>
      </c>
      <c r="H320" s="3">
        <v>139</v>
      </c>
    </row>
    <row r="321" spans="1:8" ht="15.75" customHeight="1" x14ac:dyDescent="0.3">
      <c r="A321" s="3">
        <v>319</v>
      </c>
      <c r="B321" s="3">
        <v>320</v>
      </c>
      <c r="C321" s="3">
        <v>0.19700000000000001</v>
      </c>
      <c r="D321" s="3">
        <v>0.59</v>
      </c>
      <c r="E321" s="3">
        <v>8.9599999999999999E-2</v>
      </c>
      <c r="F321" s="3">
        <v>3</v>
      </c>
      <c r="G321" s="3">
        <v>89</v>
      </c>
      <c r="H321" s="3">
        <v>92</v>
      </c>
    </row>
    <row r="322" spans="1:8" ht="15.75" customHeight="1" x14ac:dyDescent="0.3">
      <c r="A322" s="3">
        <v>320</v>
      </c>
      <c r="B322" s="3">
        <v>321</v>
      </c>
      <c r="C322" s="3">
        <v>0.2424</v>
      </c>
      <c r="D322" s="3">
        <v>0.59</v>
      </c>
      <c r="E322" s="3">
        <v>0</v>
      </c>
      <c r="F322" s="3">
        <v>0</v>
      </c>
      <c r="G322" s="3">
        <v>68</v>
      </c>
      <c r="H322" s="3">
        <v>68</v>
      </c>
    </row>
    <row r="323" spans="1:8" ht="15.75" customHeight="1" x14ac:dyDescent="0.3">
      <c r="A323" s="3">
        <v>321</v>
      </c>
      <c r="B323" s="3">
        <v>322</v>
      </c>
      <c r="C323" s="3">
        <v>0.2273</v>
      </c>
      <c r="D323" s="3">
        <v>0.69</v>
      </c>
      <c r="E323" s="3">
        <v>0</v>
      </c>
      <c r="F323" s="3">
        <v>4</v>
      </c>
      <c r="G323" s="3">
        <v>48</v>
      </c>
      <c r="H323" s="3">
        <v>52</v>
      </c>
    </row>
    <row r="324" spans="1:8" ht="15.75" customHeight="1" x14ac:dyDescent="0.3">
      <c r="A324" s="3">
        <v>322</v>
      </c>
      <c r="B324" s="3">
        <v>323</v>
      </c>
      <c r="C324" s="3">
        <v>0.2273</v>
      </c>
      <c r="D324" s="3">
        <v>0.69</v>
      </c>
      <c r="E324" s="3">
        <v>0</v>
      </c>
      <c r="F324" s="3">
        <v>2</v>
      </c>
      <c r="G324" s="3">
        <v>34</v>
      </c>
      <c r="H324" s="3">
        <v>36</v>
      </c>
    </row>
    <row r="325" spans="1:8" ht="15.75" customHeight="1" x14ac:dyDescent="0.3">
      <c r="A325" s="3">
        <v>323</v>
      </c>
      <c r="B325" s="3">
        <v>324</v>
      </c>
      <c r="C325" s="3">
        <v>0.2424</v>
      </c>
      <c r="D325" s="3">
        <v>0.55000000000000004</v>
      </c>
      <c r="E325" s="3">
        <v>0</v>
      </c>
      <c r="F325" s="3">
        <v>1</v>
      </c>
      <c r="G325" s="3">
        <v>26</v>
      </c>
      <c r="H325" s="3">
        <v>27</v>
      </c>
    </row>
    <row r="326" spans="1:8" ht="15.75" customHeight="1" x14ac:dyDescent="0.3">
      <c r="A326" s="3">
        <v>324</v>
      </c>
      <c r="B326" s="3">
        <v>325</v>
      </c>
      <c r="C326" s="3">
        <v>0.2424</v>
      </c>
      <c r="D326" s="3">
        <v>0.55000000000000004</v>
      </c>
      <c r="E326" s="3">
        <v>0</v>
      </c>
      <c r="F326" s="3">
        <v>3</v>
      </c>
      <c r="G326" s="3">
        <v>25</v>
      </c>
      <c r="H326" s="3">
        <v>28</v>
      </c>
    </row>
    <row r="327" spans="1:8" ht="15.75" customHeight="1" x14ac:dyDescent="0.3">
      <c r="A327" s="3">
        <v>325</v>
      </c>
      <c r="B327" s="3">
        <v>326</v>
      </c>
      <c r="C327" s="3">
        <v>0.19700000000000001</v>
      </c>
      <c r="D327" s="3">
        <v>0.59</v>
      </c>
      <c r="E327" s="3">
        <v>8.9599999999999999E-2</v>
      </c>
      <c r="F327" s="3">
        <v>2</v>
      </c>
      <c r="G327" s="3">
        <v>18</v>
      </c>
      <c r="H327" s="3">
        <v>20</v>
      </c>
    </row>
    <row r="328" spans="1:8" ht="15.75" customHeight="1" x14ac:dyDescent="0.3">
      <c r="A328" s="3">
        <v>326</v>
      </c>
      <c r="B328" s="3">
        <v>327</v>
      </c>
      <c r="C328" s="3">
        <v>0.19700000000000001</v>
      </c>
      <c r="D328" s="3">
        <v>0.59</v>
      </c>
      <c r="E328" s="3">
        <v>8.9599999999999999E-2</v>
      </c>
      <c r="F328" s="3">
        <v>0</v>
      </c>
      <c r="G328" s="3">
        <v>12</v>
      </c>
      <c r="H328" s="3">
        <v>12</v>
      </c>
    </row>
    <row r="329" spans="1:8" ht="15.75" customHeight="1" x14ac:dyDescent="0.3">
      <c r="A329" s="3">
        <v>327</v>
      </c>
      <c r="B329" s="3">
        <v>328</v>
      </c>
      <c r="C329" s="3">
        <v>0.2273</v>
      </c>
      <c r="D329" s="3">
        <v>0.59</v>
      </c>
      <c r="E329" s="3">
        <v>0</v>
      </c>
      <c r="F329" s="3">
        <v>1</v>
      </c>
      <c r="G329" s="3">
        <v>7</v>
      </c>
      <c r="H329" s="3">
        <v>8</v>
      </c>
    </row>
    <row r="330" spans="1:8" ht="15.75" customHeight="1" x14ac:dyDescent="0.3">
      <c r="A330" s="3">
        <v>328</v>
      </c>
      <c r="B330" s="3">
        <v>329</v>
      </c>
      <c r="C330" s="3">
        <v>0.2273</v>
      </c>
      <c r="D330" s="3">
        <v>0.59</v>
      </c>
      <c r="E330" s="3">
        <v>0</v>
      </c>
      <c r="F330" s="3">
        <v>0</v>
      </c>
      <c r="G330" s="3">
        <v>5</v>
      </c>
      <c r="H330" s="3">
        <v>5</v>
      </c>
    </row>
    <row r="331" spans="1:8" ht="15.75" customHeight="1" x14ac:dyDescent="0.3">
      <c r="A331" s="3">
        <v>329</v>
      </c>
      <c r="B331" s="3">
        <v>330</v>
      </c>
      <c r="C331" s="3">
        <v>0.2273</v>
      </c>
      <c r="D331" s="3">
        <v>0.59</v>
      </c>
      <c r="E331" s="3">
        <v>0</v>
      </c>
      <c r="F331" s="3">
        <v>0</v>
      </c>
      <c r="G331" s="3">
        <v>1</v>
      </c>
      <c r="H331" s="3">
        <v>1</v>
      </c>
    </row>
    <row r="332" spans="1:8" ht="15.75" customHeight="1" x14ac:dyDescent="0.3">
      <c r="A332" s="3">
        <v>330</v>
      </c>
      <c r="B332" s="3">
        <v>331</v>
      </c>
      <c r="C332" s="3">
        <v>0.16669999999999999</v>
      </c>
      <c r="D332" s="3">
        <v>0.63</v>
      </c>
      <c r="E332" s="3">
        <v>0.1045</v>
      </c>
      <c r="F332" s="3">
        <v>1</v>
      </c>
      <c r="G332" s="3">
        <v>2</v>
      </c>
      <c r="H332" s="3">
        <v>3</v>
      </c>
    </row>
    <row r="333" spans="1:8" ht="15.75" customHeight="1" x14ac:dyDescent="0.3">
      <c r="A333" s="3">
        <v>331</v>
      </c>
      <c r="B333" s="3">
        <v>332</v>
      </c>
      <c r="C333" s="3">
        <v>0.21210000000000001</v>
      </c>
      <c r="D333" s="3">
        <v>0.63</v>
      </c>
      <c r="E333" s="3">
        <v>0</v>
      </c>
      <c r="F333" s="3">
        <v>1</v>
      </c>
      <c r="G333" s="3">
        <v>9</v>
      </c>
      <c r="H333" s="3">
        <v>10</v>
      </c>
    </row>
    <row r="334" spans="1:8" ht="15.75" customHeight="1" x14ac:dyDescent="0.3">
      <c r="A334" s="3">
        <v>332</v>
      </c>
      <c r="B334" s="3">
        <v>333</v>
      </c>
      <c r="C334" s="3">
        <v>0.1515</v>
      </c>
      <c r="D334" s="3">
        <v>0.63</v>
      </c>
      <c r="E334" s="3">
        <v>0.1343</v>
      </c>
      <c r="F334" s="3">
        <v>1</v>
      </c>
      <c r="G334" s="3">
        <v>22</v>
      </c>
      <c r="H334" s="3">
        <v>23</v>
      </c>
    </row>
    <row r="335" spans="1:8" ht="15.75" customHeight="1" x14ac:dyDescent="0.3">
      <c r="A335" s="3">
        <v>333</v>
      </c>
      <c r="B335" s="3">
        <v>334</v>
      </c>
      <c r="C335" s="3">
        <v>0.18179999999999999</v>
      </c>
      <c r="D335" s="3">
        <v>0.64</v>
      </c>
      <c r="E335" s="3">
        <v>0.1343</v>
      </c>
      <c r="F335" s="3">
        <v>2</v>
      </c>
      <c r="G335" s="3">
        <v>31</v>
      </c>
      <c r="H335" s="3">
        <v>33</v>
      </c>
    </row>
    <row r="336" spans="1:8" ht="15.75" customHeight="1" x14ac:dyDescent="0.3">
      <c r="A336" s="3">
        <v>334</v>
      </c>
      <c r="B336" s="3">
        <v>335</v>
      </c>
      <c r="C336" s="3">
        <v>0.19700000000000001</v>
      </c>
      <c r="D336" s="3">
        <v>0.59</v>
      </c>
      <c r="E336" s="3">
        <v>0.16420000000000001</v>
      </c>
      <c r="F336" s="3">
        <v>2</v>
      </c>
      <c r="G336" s="3">
        <v>57</v>
      </c>
      <c r="H336" s="3">
        <v>59</v>
      </c>
    </row>
    <row r="337" spans="1:8" ht="15.75" customHeight="1" x14ac:dyDescent="0.3">
      <c r="A337" s="3">
        <v>335</v>
      </c>
      <c r="B337" s="3">
        <v>336</v>
      </c>
      <c r="C337" s="3">
        <v>0.19700000000000001</v>
      </c>
      <c r="D337" s="3">
        <v>0.55000000000000004</v>
      </c>
      <c r="E337" s="3">
        <v>0.22389999999999999</v>
      </c>
      <c r="F337" s="3">
        <v>18</v>
      </c>
      <c r="G337" s="3">
        <v>54</v>
      </c>
      <c r="H337" s="3">
        <v>72</v>
      </c>
    </row>
    <row r="338" spans="1:8" ht="15.75" customHeight="1" x14ac:dyDescent="0.3">
      <c r="A338" s="3">
        <v>336</v>
      </c>
      <c r="B338" s="3">
        <v>337</v>
      </c>
      <c r="C338" s="3">
        <v>0.2273</v>
      </c>
      <c r="D338" s="3">
        <v>0.48</v>
      </c>
      <c r="E338" s="3">
        <v>0.22389999999999999</v>
      </c>
      <c r="F338" s="3">
        <v>15</v>
      </c>
      <c r="G338" s="3">
        <v>74</v>
      </c>
      <c r="H338" s="3">
        <v>89</v>
      </c>
    </row>
    <row r="339" spans="1:8" ht="15.75" customHeight="1" x14ac:dyDescent="0.3">
      <c r="A339" s="3">
        <v>337</v>
      </c>
      <c r="B339" s="3">
        <v>338</v>
      </c>
      <c r="C339" s="3">
        <v>0.2576</v>
      </c>
      <c r="D339" s="3">
        <v>0.38</v>
      </c>
      <c r="E339" s="3">
        <v>0.29849999999999999</v>
      </c>
      <c r="F339" s="3">
        <v>21</v>
      </c>
      <c r="G339" s="3">
        <v>80</v>
      </c>
      <c r="H339" s="3">
        <v>101</v>
      </c>
    </row>
    <row r="340" spans="1:8" ht="15.75" customHeight="1" x14ac:dyDescent="0.3">
      <c r="A340" s="3">
        <v>338</v>
      </c>
      <c r="B340" s="3">
        <v>339</v>
      </c>
      <c r="C340" s="3">
        <v>0.28789999999999999</v>
      </c>
      <c r="D340" s="3">
        <v>0.39</v>
      </c>
      <c r="E340" s="3">
        <v>0.28360000000000002</v>
      </c>
      <c r="F340" s="3">
        <v>26</v>
      </c>
      <c r="G340" s="3">
        <v>92</v>
      </c>
      <c r="H340" s="3">
        <v>118</v>
      </c>
    </row>
    <row r="341" spans="1:8" ht="15.75" customHeight="1" x14ac:dyDescent="0.3">
      <c r="A341" s="3">
        <v>339</v>
      </c>
      <c r="B341" s="3">
        <v>340</v>
      </c>
      <c r="C341" s="3">
        <v>0.31819999999999998</v>
      </c>
      <c r="D341" s="3">
        <v>0.36</v>
      </c>
      <c r="E341" s="3">
        <v>0.19400000000000001</v>
      </c>
      <c r="F341" s="3">
        <v>21</v>
      </c>
      <c r="G341" s="3">
        <v>108</v>
      </c>
      <c r="H341" s="3">
        <v>129</v>
      </c>
    </row>
    <row r="342" spans="1:8" ht="15.75" customHeight="1" x14ac:dyDescent="0.3">
      <c r="A342" s="3">
        <v>340</v>
      </c>
      <c r="B342" s="3">
        <v>341</v>
      </c>
      <c r="C342" s="3">
        <v>0.33329999999999999</v>
      </c>
      <c r="D342" s="3">
        <v>0.34</v>
      </c>
      <c r="E342" s="3">
        <v>0.19400000000000001</v>
      </c>
      <c r="F342" s="3">
        <v>33</v>
      </c>
      <c r="G342" s="3">
        <v>95</v>
      </c>
      <c r="H342" s="3">
        <v>128</v>
      </c>
    </row>
    <row r="343" spans="1:8" ht="15.75" customHeight="1" x14ac:dyDescent="0.3">
      <c r="A343" s="3">
        <v>341</v>
      </c>
      <c r="B343" s="3">
        <v>342</v>
      </c>
      <c r="C343" s="3">
        <v>0.30299999999999999</v>
      </c>
      <c r="D343" s="3">
        <v>0.36</v>
      </c>
      <c r="E343" s="3">
        <v>0.28360000000000002</v>
      </c>
      <c r="F343" s="3">
        <v>29</v>
      </c>
      <c r="G343" s="3">
        <v>54</v>
      </c>
      <c r="H343" s="3">
        <v>83</v>
      </c>
    </row>
    <row r="344" spans="1:8" ht="15.75" customHeight="1" x14ac:dyDescent="0.3">
      <c r="A344" s="3">
        <v>342</v>
      </c>
      <c r="B344" s="3">
        <v>343</v>
      </c>
      <c r="C344" s="3">
        <v>0.28789999999999999</v>
      </c>
      <c r="D344" s="3">
        <v>0.45</v>
      </c>
      <c r="E344" s="3">
        <v>0.25369999999999998</v>
      </c>
      <c r="F344" s="3">
        <v>15</v>
      </c>
      <c r="G344" s="3">
        <v>69</v>
      </c>
      <c r="H344" s="3">
        <v>84</v>
      </c>
    </row>
    <row r="345" spans="1:8" ht="15.75" customHeight="1" x14ac:dyDescent="0.3">
      <c r="A345" s="3">
        <v>343</v>
      </c>
      <c r="B345" s="3">
        <v>344</v>
      </c>
      <c r="C345" s="3">
        <v>0.30299999999999999</v>
      </c>
      <c r="D345" s="3">
        <v>0.39</v>
      </c>
      <c r="E345" s="3">
        <v>0.25369999999999998</v>
      </c>
      <c r="F345" s="3">
        <v>14</v>
      </c>
      <c r="G345" s="3">
        <v>60</v>
      </c>
      <c r="H345" s="3">
        <v>74</v>
      </c>
    </row>
    <row r="346" spans="1:8" ht="15.75" customHeight="1" x14ac:dyDescent="0.3">
      <c r="A346" s="3">
        <v>344</v>
      </c>
      <c r="B346" s="3">
        <v>345</v>
      </c>
      <c r="C346" s="3">
        <v>0.30299999999999999</v>
      </c>
      <c r="D346" s="3">
        <v>0.39</v>
      </c>
      <c r="E346" s="3">
        <v>0.25369999999999998</v>
      </c>
      <c r="F346" s="3">
        <v>6</v>
      </c>
      <c r="G346" s="3">
        <v>35</v>
      </c>
      <c r="H346" s="3">
        <v>41</v>
      </c>
    </row>
    <row r="347" spans="1:8" ht="15.75" customHeight="1" x14ac:dyDescent="0.3">
      <c r="A347" s="3">
        <v>345</v>
      </c>
      <c r="B347" s="3">
        <v>346</v>
      </c>
      <c r="C347" s="3">
        <v>0.30299999999999999</v>
      </c>
      <c r="D347" s="3">
        <v>0.39</v>
      </c>
      <c r="E347" s="3">
        <v>0.22389999999999999</v>
      </c>
      <c r="F347" s="3">
        <v>6</v>
      </c>
      <c r="G347" s="3">
        <v>51</v>
      </c>
      <c r="H347" s="3">
        <v>57</v>
      </c>
    </row>
    <row r="348" spans="1:8" ht="15.75" customHeight="1" x14ac:dyDescent="0.3">
      <c r="A348" s="3">
        <v>346</v>
      </c>
      <c r="B348" s="3">
        <v>347</v>
      </c>
      <c r="C348" s="3">
        <v>0.31819999999999998</v>
      </c>
      <c r="D348" s="3">
        <v>0.42</v>
      </c>
      <c r="E348" s="3">
        <v>0.1045</v>
      </c>
      <c r="F348" s="3">
        <v>0</v>
      </c>
      <c r="G348" s="3">
        <v>26</v>
      </c>
      <c r="H348" s="3">
        <v>26</v>
      </c>
    </row>
    <row r="349" spans="1:8" ht="15.75" customHeight="1" x14ac:dyDescent="0.3">
      <c r="A349" s="3">
        <v>347</v>
      </c>
      <c r="B349" s="3">
        <v>348</v>
      </c>
      <c r="C349" s="3">
        <v>0.28789999999999999</v>
      </c>
      <c r="D349" s="3">
        <v>0.45</v>
      </c>
      <c r="E349" s="3">
        <v>0.28360000000000002</v>
      </c>
      <c r="F349" s="3">
        <v>5</v>
      </c>
      <c r="G349" s="3">
        <v>39</v>
      </c>
      <c r="H349" s="3">
        <v>44</v>
      </c>
    </row>
    <row r="350" spans="1:8" ht="15.75" customHeight="1" x14ac:dyDescent="0.3">
      <c r="A350" s="3">
        <v>348</v>
      </c>
      <c r="B350" s="3">
        <v>349</v>
      </c>
      <c r="C350" s="3">
        <v>0.30299999999999999</v>
      </c>
      <c r="D350" s="3">
        <v>0.56000000000000005</v>
      </c>
      <c r="E350" s="3">
        <v>0</v>
      </c>
      <c r="F350" s="3">
        <v>6</v>
      </c>
      <c r="G350" s="3">
        <v>33</v>
      </c>
      <c r="H350" s="3">
        <v>39</v>
      </c>
    </row>
    <row r="351" spans="1:8" ht="15.75" customHeight="1" x14ac:dyDescent="0.3">
      <c r="A351" s="3">
        <v>349</v>
      </c>
      <c r="B351" s="3">
        <v>350</v>
      </c>
      <c r="C351" s="3">
        <v>0.2727</v>
      </c>
      <c r="D351" s="3">
        <v>0.56000000000000005</v>
      </c>
      <c r="E351" s="3">
        <v>0.1343</v>
      </c>
      <c r="F351" s="3">
        <v>4</v>
      </c>
      <c r="G351" s="3">
        <v>19</v>
      </c>
      <c r="H351" s="3">
        <v>23</v>
      </c>
    </row>
    <row r="352" spans="1:8" ht="15.75" customHeight="1" x14ac:dyDescent="0.3">
      <c r="A352" s="3">
        <v>350</v>
      </c>
      <c r="B352" s="3">
        <v>351</v>
      </c>
      <c r="C352" s="3">
        <v>0.28789999999999999</v>
      </c>
      <c r="D352" s="3">
        <v>0.56000000000000005</v>
      </c>
      <c r="E352" s="3">
        <v>8.9599999999999999E-2</v>
      </c>
      <c r="F352" s="3">
        <v>3</v>
      </c>
      <c r="G352" s="3">
        <v>13</v>
      </c>
      <c r="H352" s="3">
        <v>16</v>
      </c>
    </row>
    <row r="353" spans="1:8" ht="15.75" customHeight="1" x14ac:dyDescent="0.3">
      <c r="A353" s="3">
        <v>351</v>
      </c>
      <c r="B353" s="3">
        <v>352</v>
      </c>
      <c r="C353" s="3">
        <v>0.2727</v>
      </c>
      <c r="D353" s="3">
        <v>0.69</v>
      </c>
      <c r="E353" s="3">
        <v>0</v>
      </c>
      <c r="F353" s="3">
        <v>9</v>
      </c>
      <c r="G353" s="3">
        <v>6</v>
      </c>
      <c r="H353" s="3">
        <v>15</v>
      </c>
    </row>
    <row r="354" spans="1:8" ht="15.75" customHeight="1" x14ac:dyDescent="0.3">
      <c r="A354" s="3">
        <v>352</v>
      </c>
      <c r="B354" s="3">
        <v>353</v>
      </c>
      <c r="C354" s="3">
        <v>0.2576</v>
      </c>
      <c r="D354" s="3">
        <v>0.56000000000000005</v>
      </c>
      <c r="E354" s="3">
        <v>0.16420000000000001</v>
      </c>
      <c r="F354" s="3">
        <v>0</v>
      </c>
      <c r="G354" s="3">
        <v>1</v>
      </c>
      <c r="H354" s="3">
        <v>1</v>
      </c>
    </row>
    <row r="355" spans="1:8" ht="15.75" customHeight="1" x14ac:dyDescent="0.3">
      <c r="A355" s="3">
        <v>353</v>
      </c>
      <c r="B355" s="3">
        <v>354</v>
      </c>
      <c r="C355" s="3">
        <v>0.2576</v>
      </c>
      <c r="D355" s="3">
        <v>0.56000000000000005</v>
      </c>
      <c r="E355" s="3">
        <v>0.16420000000000001</v>
      </c>
      <c r="F355" s="3">
        <v>1</v>
      </c>
      <c r="G355" s="3">
        <v>1</v>
      </c>
      <c r="H355" s="3">
        <v>2</v>
      </c>
    </row>
    <row r="356" spans="1:8" ht="15.75" customHeight="1" x14ac:dyDescent="0.3">
      <c r="A356" s="3">
        <v>354</v>
      </c>
      <c r="B356" s="3">
        <v>355</v>
      </c>
      <c r="C356" s="3">
        <v>0.2576</v>
      </c>
      <c r="D356" s="3">
        <v>0.56000000000000005</v>
      </c>
      <c r="E356" s="3">
        <v>0.16420000000000001</v>
      </c>
      <c r="F356" s="3">
        <v>0</v>
      </c>
      <c r="G356" s="3">
        <v>1</v>
      </c>
      <c r="H356" s="3">
        <v>1</v>
      </c>
    </row>
    <row r="357" spans="1:8" ht="15.75" customHeight="1" x14ac:dyDescent="0.3">
      <c r="A357" s="3">
        <v>355</v>
      </c>
      <c r="B357" s="3">
        <v>356</v>
      </c>
      <c r="C357" s="3">
        <v>0.21210000000000001</v>
      </c>
      <c r="D357" s="3">
        <v>0.56000000000000005</v>
      </c>
      <c r="E357" s="3">
        <v>0.29849999999999999</v>
      </c>
      <c r="F357" s="3">
        <v>0</v>
      </c>
      <c r="G357" s="3">
        <v>3</v>
      </c>
      <c r="H357" s="3">
        <v>3</v>
      </c>
    </row>
    <row r="358" spans="1:8" ht="15.75" customHeight="1" x14ac:dyDescent="0.3">
      <c r="A358" s="3">
        <v>356</v>
      </c>
      <c r="B358" s="3">
        <v>357</v>
      </c>
      <c r="C358" s="3">
        <v>0.21210000000000001</v>
      </c>
      <c r="D358" s="3">
        <v>0.55000000000000004</v>
      </c>
      <c r="E358" s="3">
        <v>0.28360000000000002</v>
      </c>
      <c r="F358" s="3">
        <v>0</v>
      </c>
      <c r="G358" s="3">
        <v>18</v>
      </c>
      <c r="H358" s="3">
        <v>18</v>
      </c>
    </row>
    <row r="359" spans="1:8" ht="15.75" customHeight="1" x14ac:dyDescent="0.3">
      <c r="A359" s="3">
        <v>357</v>
      </c>
      <c r="B359" s="3">
        <v>358</v>
      </c>
      <c r="C359" s="3">
        <v>0.21210000000000001</v>
      </c>
      <c r="D359" s="3">
        <v>0.51</v>
      </c>
      <c r="E359" s="3">
        <v>0.25369999999999998</v>
      </c>
      <c r="F359" s="3">
        <v>3</v>
      </c>
      <c r="G359" s="3">
        <v>29</v>
      </c>
      <c r="H359" s="3">
        <v>32</v>
      </c>
    </row>
    <row r="360" spans="1:8" ht="15.75" customHeight="1" x14ac:dyDescent="0.3">
      <c r="A360" s="3">
        <v>358</v>
      </c>
      <c r="B360" s="3">
        <v>359</v>
      </c>
      <c r="C360" s="3">
        <v>0.21210000000000001</v>
      </c>
      <c r="D360" s="3">
        <v>0.51</v>
      </c>
      <c r="E360" s="3">
        <v>0.28360000000000002</v>
      </c>
      <c r="F360" s="3">
        <v>8</v>
      </c>
      <c r="G360" s="3">
        <v>71</v>
      </c>
      <c r="H360" s="3">
        <v>79</v>
      </c>
    </row>
    <row r="361" spans="1:8" ht="15.75" customHeight="1" x14ac:dyDescent="0.3">
      <c r="A361" s="3">
        <v>359</v>
      </c>
      <c r="B361" s="3">
        <v>360</v>
      </c>
      <c r="C361" s="3">
        <v>0.2273</v>
      </c>
      <c r="D361" s="3">
        <v>0.44</v>
      </c>
      <c r="E361" s="3">
        <v>0.25369999999999998</v>
      </c>
      <c r="F361" s="3">
        <v>23</v>
      </c>
      <c r="G361" s="3">
        <v>70</v>
      </c>
      <c r="H361" s="3">
        <v>93</v>
      </c>
    </row>
    <row r="362" spans="1:8" ht="15.75" customHeight="1" x14ac:dyDescent="0.3">
      <c r="A362" s="3">
        <v>360</v>
      </c>
      <c r="B362" s="3">
        <v>361</v>
      </c>
      <c r="C362" s="3">
        <v>0.21210000000000001</v>
      </c>
      <c r="D362" s="3">
        <v>0.41</v>
      </c>
      <c r="E362" s="3">
        <v>0.28360000000000002</v>
      </c>
      <c r="F362" s="3">
        <v>29</v>
      </c>
      <c r="G362" s="3">
        <v>75</v>
      </c>
      <c r="H362" s="3">
        <v>104</v>
      </c>
    </row>
    <row r="363" spans="1:8" ht="15.75" customHeight="1" x14ac:dyDescent="0.3">
      <c r="A363" s="3">
        <v>361</v>
      </c>
      <c r="B363" s="3">
        <v>362</v>
      </c>
      <c r="C363" s="3">
        <v>0.2273</v>
      </c>
      <c r="D363" s="3">
        <v>0.35</v>
      </c>
      <c r="E363" s="3">
        <v>0.29849999999999999</v>
      </c>
      <c r="F363" s="3">
        <v>23</v>
      </c>
      <c r="G363" s="3">
        <v>95</v>
      </c>
      <c r="H363" s="3">
        <v>118</v>
      </c>
    </row>
    <row r="364" spans="1:8" ht="15.75" customHeight="1" x14ac:dyDescent="0.3">
      <c r="A364" s="3">
        <v>362</v>
      </c>
      <c r="B364" s="3">
        <v>363</v>
      </c>
      <c r="C364" s="3">
        <v>0.2727</v>
      </c>
      <c r="D364" s="3">
        <v>0.36</v>
      </c>
      <c r="E364" s="3">
        <v>0.25369999999999998</v>
      </c>
      <c r="F364" s="3">
        <v>22</v>
      </c>
      <c r="G364" s="3">
        <v>69</v>
      </c>
      <c r="H364" s="3">
        <v>91</v>
      </c>
    </row>
    <row r="365" spans="1:8" ht="15.75" customHeight="1" x14ac:dyDescent="0.3">
      <c r="A365" s="3">
        <v>363</v>
      </c>
      <c r="B365" s="3">
        <v>364</v>
      </c>
      <c r="C365" s="3">
        <v>0.2424</v>
      </c>
      <c r="D365" s="3">
        <v>0.38</v>
      </c>
      <c r="E365" s="3">
        <v>0.25369999999999998</v>
      </c>
      <c r="F365" s="3">
        <v>35</v>
      </c>
      <c r="G365" s="3">
        <v>78</v>
      </c>
      <c r="H365" s="3">
        <v>113</v>
      </c>
    </row>
    <row r="366" spans="1:8" ht="15.75" customHeight="1" x14ac:dyDescent="0.3">
      <c r="A366" s="3">
        <v>364</v>
      </c>
      <c r="B366" s="3">
        <v>365</v>
      </c>
      <c r="C366" s="3">
        <v>0.2273</v>
      </c>
      <c r="D366" s="3">
        <v>0.38</v>
      </c>
      <c r="E366" s="3">
        <v>0.22389999999999999</v>
      </c>
      <c r="F366" s="3">
        <v>22</v>
      </c>
      <c r="G366" s="3">
        <v>77</v>
      </c>
      <c r="H366" s="3">
        <v>99</v>
      </c>
    </row>
    <row r="367" spans="1:8" ht="15.75" customHeight="1" x14ac:dyDescent="0.3">
      <c r="A367" s="3">
        <v>365</v>
      </c>
      <c r="B367" s="3">
        <v>366</v>
      </c>
      <c r="C367" s="3">
        <v>0.21210000000000001</v>
      </c>
      <c r="D367" s="3">
        <v>0.37</v>
      </c>
      <c r="E367" s="3">
        <v>0.25369999999999998</v>
      </c>
      <c r="F367" s="3">
        <v>23</v>
      </c>
      <c r="G367" s="3">
        <v>82</v>
      </c>
      <c r="H367" s="3">
        <v>105</v>
      </c>
    </row>
    <row r="368" spans="1:8" ht="15.75" customHeight="1" x14ac:dyDescent="0.3">
      <c r="A368" s="3">
        <v>366</v>
      </c>
      <c r="B368" s="3">
        <v>367</v>
      </c>
      <c r="C368" s="3">
        <v>0.21210000000000001</v>
      </c>
      <c r="D368" s="3">
        <v>0.4</v>
      </c>
      <c r="E368" s="3">
        <v>0.16420000000000001</v>
      </c>
      <c r="F368" s="3">
        <v>11</v>
      </c>
      <c r="G368" s="3">
        <v>56</v>
      </c>
      <c r="H368" s="3">
        <v>67</v>
      </c>
    </row>
    <row r="369" spans="1:8" ht="15.75" customHeight="1" x14ac:dyDescent="0.3">
      <c r="A369" s="3">
        <v>367</v>
      </c>
      <c r="B369" s="3">
        <v>368</v>
      </c>
      <c r="C369" s="3">
        <v>0.19700000000000001</v>
      </c>
      <c r="D369" s="3">
        <v>0.47</v>
      </c>
      <c r="E369" s="3">
        <v>0.1343</v>
      </c>
      <c r="F369" s="3">
        <v>14</v>
      </c>
      <c r="G369" s="3">
        <v>47</v>
      </c>
      <c r="H369" s="3">
        <v>61</v>
      </c>
    </row>
    <row r="370" spans="1:8" ht="15.75" customHeight="1" x14ac:dyDescent="0.3">
      <c r="A370" s="3">
        <v>368</v>
      </c>
      <c r="B370" s="3">
        <v>369</v>
      </c>
      <c r="C370" s="3">
        <v>0.19700000000000001</v>
      </c>
      <c r="D370" s="3">
        <v>0.47</v>
      </c>
      <c r="E370" s="3">
        <v>0.16420000000000001</v>
      </c>
      <c r="F370" s="3">
        <v>7</v>
      </c>
      <c r="G370" s="3">
        <v>50</v>
      </c>
      <c r="H370" s="3">
        <v>57</v>
      </c>
    </row>
    <row r="371" spans="1:8" ht="15.75" customHeight="1" x14ac:dyDescent="0.3">
      <c r="A371" s="3">
        <v>369</v>
      </c>
      <c r="B371" s="3">
        <v>370</v>
      </c>
      <c r="C371" s="3">
        <v>0.19700000000000001</v>
      </c>
      <c r="D371" s="3">
        <v>0.51</v>
      </c>
      <c r="E371" s="3">
        <v>0.16420000000000001</v>
      </c>
      <c r="F371" s="3">
        <v>6</v>
      </c>
      <c r="G371" s="3">
        <v>22</v>
      </c>
      <c r="H371" s="3">
        <v>28</v>
      </c>
    </row>
    <row r="372" spans="1:8" ht="15.75" customHeight="1" x14ac:dyDescent="0.3">
      <c r="A372" s="3">
        <v>370</v>
      </c>
      <c r="B372" s="3">
        <v>371</v>
      </c>
      <c r="C372" s="3">
        <v>0.21210000000000001</v>
      </c>
      <c r="D372" s="3">
        <v>0.49</v>
      </c>
      <c r="E372" s="3">
        <v>0.1343</v>
      </c>
      <c r="F372" s="3">
        <v>2</v>
      </c>
      <c r="G372" s="3">
        <v>19</v>
      </c>
      <c r="H372" s="3">
        <v>21</v>
      </c>
    </row>
    <row r="373" spans="1:8" ht="15.75" customHeight="1" x14ac:dyDescent="0.3">
      <c r="A373" s="3">
        <v>371</v>
      </c>
      <c r="B373" s="3">
        <v>372</v>
      </c>
      <c r="C373" s="3">
        <v>0.2273</v>
      </c>
      <c r="D373" s="3">
        <v>0.4</v>
      </c>
      <c r="E373" s="3">
        <v>0.1045</v>
      </c>
      <c r="F373" s="3">
        <v>0</v>
      </c>
      <c r="G373" s="3">
        <v>18</v>
      </c>
      <c r="H373" s="3">
        <v>18</v>
      </c>
    </row>
    <row r="374" spans="1:8" ht="15.75" customHeight="1" x14ac:dyDescent="0.3">
      <c r="A374" s="3">
        <v>372</v>
      </c>
      <c r="B374" s="3">
        <v>373</v>
      </c>
      <c r="C374" s="3">
        <v>0.19700000000000001</v>
      </c>
      <c r="D374" s="3">
        <v>0.47</v>
      </c>
      <c r="E374" s="3">
        <v>0.22389999999999999</v>
      </c>
      <c r="F374" s="3">
        <v>1</v>
      </c>
      <c r="G374" s="3">
        <v>16</v>
      </c>
      <c r="H374" s="3">
        <v>17</v>
      </c>
    </row>
    <row r="375" spans="1:8" ht="15.75" customHeight="1" x14ac:dyDescent="0.3">
      <c r="A375" s="3">
        <v>373</v>
      </c>
      <c r="B375" s="3">
        <v>374</v>
      </c>
      <c r="C375" s="3">
        <v>0.19700000000000001</v>
      </c>
      <c r="D375" s="3">
        <v>0.44</v>
      </c>
      <c r="E375" s="3">
        <v>0.19400000000000001</v>
      </c>
      <c r="F375" s="3">
        <v>1</v>
      </c>
      <c r="G375" s="3">
        <v>15</v>
      </c>
      <c r="H375" s="3">
        <v>16</v>
      </c>
    </row>
    <row r="376" spans="1:8" ht="15.75" customHeight="1" x14ac:dyDescent="0.3">
      <c r="A376" s="3">
        <v>374</v>
      </c>
      <c r="B376" s="3">
        <v>375</v>
      </c>
      <c r="C376" s="3">
        <v>0.16669999999999999</v>
      </c>
      <c r="D376" s="3">
        <v>0.43</v>
      </c>
      <c r="E376" s="3">
        <v>0.25369999999999998</v>
      </c>
      <c r="F376" s="3">
        <v>0</v>
      </c>
      <c r="G376" s="3">
        <v>8</v>
      </c>
      <c r="H376" s="3">
        <v>8</v>
      </c>
    </row>
    <row r="377" spans="1:8" ht="15.75" customHeight="1" x14ac:dyDescent="0.3">
      <c r="A377" s="3">
        <v>375</v>
      </c>
      <c r="B377" s="3">
        <v>376</v>
      </c>
      <c r="C377" s="3">
        <v>0.18179999999999999</v>
      </c>
      <c r="D377" s="3">
        <v>0.43</v>
      </c>
      <c r="E377" s="3">
        <v>0.19400000000000001</v>
      </c>
      <c r="F377" s="3">
        <v>0</v>
      </c>
      <c r="G377" s="3">
        <v>2</v>
      </c>
      <c r="H377" s="3">
        <v>2</v>
      </c>
    </row>
    <row r="378" spans="1:8" ht="15.75" customHeight="1" x14ac:dyDescent="0.3">
      <c r="A378" s="3">
        <v>376</v>
      </c>
      <c r="B378" s="3">
        <v>377</v>
      </c>
      <c r="C378" s="3">
        <v>0.19700000000000001</v>
      </c>
      <c r="D378" s="3">
        <v>0.43</v>
      </c>
      <c r="E378" s="3">
        <v>0.1343</v>
      </c>
      <c r="F378" s="3">
        <v>1</v>
      </c>
      <c r="G378" s="3">
        <v>2</v>
      </c>
      <c r="H378" s="3">
        <v>3</v>
      </c>
    </row>
    <row r="379" spans="1:8" ht="15.75" customHeight="1" x14ac:dyDescent="0.3">
      <c r="A379" s="3">
        <v>377</v>
      </c>
      <c r="B379" s="3">
        <v>378</v>
      </c>
      <c r="C379" s="3">
        <v>0.19700000000000001</v>
      </c>
      <c r="D379" s="3">
        <v>0.43</v>
      </c>
      <c r="E379" s="3">
        <v>0.16420000000000001</v>
      </c>
      <c r="F379" s="3">
        <v>0</v>
      </c>
      <c r="G379" s="3">
        <v>1</v>
      </c>
      <c r="H379" s="3">
        <v>1</v>
      </c>
    </row>
    <row r="380" spans="1:8" ht="15.75" customHeight="1" x14ac:dyDescent="0.3">
      <c r="A380" s="3">
        <v>378</v>
      </c>
      <c r="B380" s="3">
        <v>379</v>
      </c>
      <c r="C380" s="3">
        <v>0.18179999999999999</v>
      </c>
      <c r="D380" s="3">
        <v>0.43</v>
      </c>
      <c r="E380" s="3">
        <v>0.19400000000000001</v>
      </c>
      <c r="F380" s="3">
        <v>0</v>
      </c>
      <c r="G380" s="3">
        <v>5</v>
      </c>
      <c r="H380" s="3">
        <v>5</v>
      </c>
    </row>
    <row r="381" spans="1:8" ht="15.75" customHeight="1" x14ac:dyDescent="0.3">
      <c r="A381" s="3">
        <v>379</v>
      </c>
      <c r="B381" s="3">
        <v>380</v>
      </c>
      <c r="C381" s="3">
        <v>0.18179999999999999</v>
      </c>
      <c r="D381" s="3">
        <v>0.5</v>
      </c>
      <c r="E381" s="3">
        <v>0.1343</v>
      </c>
      <c r="F381" s="3">
        <v>4</v>
      </c>
      <c r="G381" s="3">
        <v>9</v>
      </c>
      <c r="H381" s="3">
        <v>13</v>
      </c>
    </row>
    <row r="382" spans="1:8" ht="15.75" customHeight="1" x14ac:dyDescent="0.3">
      <c r="A382" s="3">
        <v>380</v>
      </c>
      <c r="B382" s="3">
        <v>381</v>
      </c>
      <c r="C382" s="3">
        <v>0.1515</v>
      </c>
      <c r="D382" s="3">
        <v>0.47</v>
      </c>
      <c r="E382" s="3">
        <v>0.22389999999999999</v>
      </c>
      <c r="F382" s="3">
        <v>3</v>
      </c>
      <c r="G382" s="3">
        <v>30</v>
      </c>
      <c r="H382" s="3">
        <v>33</v>
      </c>
    </row>
    <row r="383" spans="1:8" ht="15.75" customHeight="1" x14ac:dyDescent="0.3">
      <c r="A383" s="3">
        <v>381</v>
      </c>
      <c r="B383" s="3">
        <v>382</v>
      </c>
      <c r="C383" s="3">
        <v>0.1515</v>
      </c>
      <c r="D383" s="3">
        <v>0.47</v>
      </c>
      <c r="E383" s="3">
        <v>0.22389999999999999</v>
      </c>
      <c r="F383" s="3">
        <v>8</v>
      </c>
      <c r="G383" s="3">
        <v>39</v>
      </c>
      <c r="H383" s="3">
        <v>47</v>
      </c>
    </row>
    <row r="384" spans="1:8" ht="15.75" customHeight="1" x14ac:dyDescent="0.3">
      <c r="A384" s="3">
        <v>382</v>
      </c>
      <c r="B384" s="3">
        <v>383</v>
      </c>
      <c r="C384" s="3">
        <v>0.1515</v>
      </c>
      <c r="D384" s="3">
        <v>0.5</v>
      </c>
      <c r="E384" s="3">
        <v>0.25369999999999998</v>
      </c>
      <c r="F384" s="3">
        <v>7</v>
      </c>
      <c r="G384" s="3">
        <v>50</v>
      </c>
      <c r="H384" s="3">
        <v>57</v>
      </c>
    </row>
    <row r="385" spans="1:8" ht="15.75" customHeight="1" x14ac:dyDescent="0.3">
      <c r="A385" s="3">
        <v>383</v>
      </c>
      <c r="B385" s="3">
        <v>384</v>
      </c>
      <c r="C385" s="3">
        <v>0.1515</v>
      </c>
      <c r="D385" s="3">
        <v>0.55000000000000004</v>
      </c>
      <c r="E385" s="3">
        <v>0.19400000000000001</v>
      </c>
      <c r="F385" s="3">
        <v>9</v>
      </c>
      <c r="G385" s="3">
        <v>55</v>
      </c>
      <c r="H385" s="3">
        <v>64</v>
      </c>
    </row>
    <row r="386" spans="1:8" ht="15.75" customHeight="1" x14ac:dyDescent="0.3">
      <c r="A386" s="3">
        <v>384</v>
      </c>
      <c r="B386" s="3">
        <v>385</v>
      </c>
      <c r="C386" s="3">
        <v>0.19700000000000001</v>
      </c>
      <c r="D386" s="3">
        <v>0.47</v>
      </c>
      <c r="E386" s="3">
        <v>0.1343</v>
      </c>
      <c r="F386" s="3">
        <v>10</v>
      </c>
      <c r="G386" s="3">
        <v>70</v>
      </c>
      <c r="H386" s="3">
        <v>80</v>
      </c>
    </row>
    <row r="387" spans="1:8" ht="15.75" customHeight="1" x14ac:dyDescent="0.3">
      <c r="A387" s="3">
        <v>385</v>
      </c>
      <c r="B387" s="3">
        <v>386</v>
      </c>
      <c r="C387" s="3">
        <v>0.19700000000000001</v>
      </c>
      <c r="D387" s="3">
        <v>0.47</v>
      </c>
      <c r="E387" s="3">
        <v>0.1343</v>
      </c>
      <c r="F387" s="3">
        <v>13</v>
      </c>
      <c r="G387" s="3">
        <v>80</v>
      </c>
      <c r="H387" s="3">
        <v>93</v>
      </c>
    </row>
    <row r="388" spans="1:8" ht="15.75" customHeight="1" x14ac:dyDescent="0.3">
      <c r="A388" s="3">
        <v>386</v>
      </c>
      <c r="B388" s="3">
        <v>387</v>
      </c>
      <c r="C388" s="3">
        <v>0.21210000000000001</v>
      </c>
      <c r="D388" s="3">
        <v>0.43</v>
      </c>
      <c r="E388" s="3">
        <v>0.1045</v>
      </c>
      <c r="F388" s="3">
        <v>12</v>
      </c>
      <c r="G388" s="3">
        <v>74</v>
      </c>
      <c r="H388" s="3">
        <v>86</v>
      </c>
    </row>
    <row r="389" spans="1:8" ht="15.75" customHeight="1" x14ac:dyDescent="0.3">
      <c r="A389" s="3">
        <v>387</v>
      </c>
      <c r="B389" s="3">
        <v>388</v>
      </c>
      <c r="C389" s="3">
        <v>0.21210000000000001</v>
      </c>
      <c r="D389" s="3">
        <v>0.47</v>
      </c>
      <c r="E389" s="3">
        <v>0.16420000000000001</v>
      </c>
      <c r="F389" s="3">
        <v>21</v>
      </c>
      <c r="G389" s="3">
        <v>72</v>
      </c>
      <c r="H389" s="3">
        <v>93</v>
      </c>
    </row>
    <row r="390" spans="1:8" ht="15.75" customHeight="1" x14ac:dyDescent="0.3">
      <c r="A390" s="3">
        <v>388</v>
      </c>
      <c r="B390" s="3">
        <v>389</v>
      </c>
      <c r="C390" s="3">
        <v>0.21210000000000001</v>
      </c>
      <c r="D390" s="3">
        <v>0.47</v>
      </c>
      <c r="E390" s="3">
        <v>0.16420000000000001</v>
      </c>
      <c r="F390" s="3">
        <v>6</v>
      </c>
      <c r="G390" s="3">
        <v>76</v>
      </c>
      <c r="H390" s="3">
        <v>82</v>
      </c>
    </row>
    <row r="391" spans="1:8" ht="15.75" customHeight="1" x14ac:dyDescent="0.3">
      <c r="A391" s="3">
        <v>389</v>
      </c>
      <c r="B391" s="3">
        <v>390</v>
      </c>
      <c r="C391" s="3">
        <v>0.19700000000000001</v>
      </c>
      <c r="D391" s="3">
        <v>0.51</v>
      </c>
      <c r="E391" s="3">
        <v>0.19400000000000001</v>
      </c>
      <c r="F391" s="3">
        <v>4</v>
      </c>
      <c r="G391" s="3">
        <v>67</v>
      </c>
      <c r="H391" s="3">
        <v>71</v>
      </c>
    </row>
    <row r="392" spans="1:8" ht="15.75" customHeight="1" x14ac:dyDescent="0.3">
      <c r="A392" s="3">
        <v>390</v>
      </c>
      <c r="B392" s="3">
        <v>391</v>
      </c>
      <c r="C392" s="3">
        <v>0.16669999999999999</v>
      </c>
      <c r="D392" s="3">
        <v>0.55000000000000004</v>
      </c>
      <c r="E392" s="3">
        <v>0.25369999999999998</v>
      </c>
      <c r="F392" s="3">
        <v>7</v>
      </c>
      <c r="G392" s="3">
        <v>85</v>
      </c>
      <c r="H392" s="3">
        <v>92</v>
      </c>
    </row>
    <row r="393" spans="1:8" ht="15.75" customHeight="1" x14ac:dyDescent="0.3">
      <c r="A393" s="3">
        <v>391</v>
      </c>
      <c r="B393" s="3">
        <v>392</v>
      </c>
      <c r="C393" s="3">
        <v>0.18179999999999999</v>
      </c>
      <c r="D393" s="3">
        <v>0.59</v>
      </c>
      <c r="E393" s="3">
        <v>0.19400000000000001</v>
      </c>
      <c r="F393" s="3">
        <v>2</v>
      </c>
      <c r="G393" s="3">
        <v>58</v>
      </c>
      <c r="H393" s="3">
        <v>60</v>
      </c>
    </row>
    <row r="394" spans="1:8" ht="15.75" customHeight="1" x14ac:dyDescent="0.3">
      <c r="A394" s="3">
        <v>392</v>
      </c>
      <c r="B394" s="3">
        <v>393</v>
      </c>
      <c r="C394" s="3">
        <v>0.1515</v>
      </c>
      <c r="D394" s="3">
        <v>0.8</v>
      </c>
      <c r="E394" s="3">
        <v>0.19400000000000001</v>
      </c>
      <c r="F394" s="3">
        <v>4</v>
      </c>
      <c r="G394" s="3">
        <v>29</v>
      </c>
      <c r="H394" s="3">
        <v>33</v>
      </c>
    </row>
    <row r="395" spans="1:8" ht="15.75" customHeight="1" x14ac:dyDescent="0.3">
      <c r="A395" s="3">
        <v>393</v>
      </c>
      <c r="B395" s="3">
        <v>394</v>
      </c>
      <c r="C395" s="3">
        <v>0.1515</v>
      </c>
      <c r="D395" s="3">
        <v>0.8</v>
      </c>
      <c r="E395" s="3">
        <v>0.19400000000000001</v>
      </c>
      <c r="F395" s="3">
        <v>3</v>
      </c>
      <c r="G395" s="3">
        <v>24</v>
      </c>
      <c r="H395" s="3">
        <v>27</v>
      </c>
    </row>
    <row r="396" spans="1:8" ht="15.75" customHeight="1" x14ac:dyDescent="0.3">
      <c r="A396" s="3">
        <v>394</v>
      </c>
      <c r="B396" s="3">
        <v>395</v>
      </c>
      <c r="C396" s="3">
        <v>0.1212</v>
      </c>
      <c r="D396" s="3">
        <v>0.93</v>
      </c>
      <c r="E396" s="3">
        <v>0.25369999999999998</v>
      </c>
      <c r="F396" s="3">
        <v>0</v>
      </c>
      <c r="G396" s="3">
        <v>13</v>
      </c>
      <c r="H396" s="3">
        <v>13</v>
      </c>
    </row>
    <row r="397" spans="1:8" ht="15.75" customHeight="1" x14ac:dyDescent="0.3">
      <c r="A397" s="3">
        <v>395</v>
      </c>
      <c r="B397" s="3">
        <v>396</v>
      </c>
      <c r="C397" s="3">
        <v>0.13639999999999999</v>
      </c>
      <c r="D397" s="3">
        <v>0.86</v>
      </c>
      <c r="E397" s="3">
        <v>0.28360000000000002</v>
      </c>
      <c r="F397" s="3">
        <v>1</v>
      </c>
      <c r="G397" s="3">
        <v>3</v>
      </c>
      <c r="H397" s="3">
        <v>4</v>
      </c>
    </row>
    <row r="398" spans="1:8" ht="15.75" customHeight="1" x14ac:dyDescent="0.3">
      <c r="A398" s="3">
        <v>396</v>
      </c>
      <c r="B398" s="3">
        <v>397</v>
      </c>
      <c r="C398" s="3">
        <v>0.18179999999999999</v>
      </c>
      <c r="D398" s="3">
        <v>0.86</v>
      </c>
      <c r="E398" s="3">
        <v>0.32840000000000003</v>
      </c>
      <c r="F398" s="3">
        <v>0</v>
      </c>
      <c r="G398" s="3">
        <v>3</v>
      </c>
      <c r="H398" s="3">
        <v>3</v>
      </c>
    </row>
    <row r="399" spans="1:8" ht="15.75" customHeight="1" x14ac:dyDescent="0.3">
      <c r="A399" s="3">
        <v>397</v>
      </c>
      <c r="B399" s="3">
        <v>398</v>
      </c>
      <c r="C399" s="3">
        <v>0.19700000000000001</v>
      </c>
      <c r="D399" s="3">
        <v>0.86</v>
      </c>
      <c r="E399" s="3">
        <v>0.22389999999999999</v>
      </c>
      <c r="F399" s="3">
        <v>0</v>
      </c>
      <c r="G399" s="3">
        <v>22</v>
      </c>
      <c r="H399" s="3">
        <v>22</v>
      </c>
    </row>
    <row r="400" spans="1:8" ht="15.75" customHeight="1" x14ac:dyDescent="0.3">
      <c r="A400" s="3">
        <v>398</v>
      </c>
      <c r="B400" s="3">
        <v>399</v>
      </c>
      <c r="C400" s="3">
        <v>0.2273</v>
      </c>
      <c r="D400" s="3">
        <v>0.8</v>
      </c>
      <c r="E400" s="3">
        <v>0.16420000000000001</v>
      </c>
      <c r="F400" s="3">
        <v>2</v>
      </c>
      <c r="G400" s="3">
        <v>26</v>
      </c>
      <c r="H400" s="3">
        <v>28</v>
      </c>
    </row>
    <row r="401" spans="1:8" ht="15.75" customHeight="1" x14ac:dyDescent="0.3">
      <c r="A401" s="3">
        <v>399</v>
      </c>
      <c r="B401" s="3">
        <v>400</v>
      </c>
      <c r="C401" s="3">
        <v>0.2273</v>
      </c>
      <c r="D401" s="3">
        <v>0.87</v>
      </c>
      <c r="E401" s="3">
        <v>0.16420000000000001</v>
      </c>
      <c r="F401" s="3">
        <v>3</v>
      </c>
      <c r="G401" s="3">
        <v>32</v>
      </c>
      <c r="H401" s="3">
        <v>35</v>
      </c>
    </row>
    <row r="402" spans="1:8" ht="15.75" customHeight="1" x14ac:dyDescent="0.3">
      <c r="A402" s="3">
        <v>400</v>
      </c>
      <c r="B402" s="3">
        <v>401</v>
      </c>
      <c r="C402" s="3">
        <v>0.2273</v>
      </c>
      <c r="D402" s="3">
        <v>0.87</v>
      </c>
      <c r="E402" s="3">
        <v>0.19400000000000001</v>
      </c>
      <c r="F402" s="3">
        <v>0</v>
      </c>
      <c r="G402" s="3">
        <v>61</v>
      </c>
      <c r="H402" s="3">
        <v>61</v>
      </c>
    </row>
    <row r="403" spans="1:8" ht="15.75" customHeight="1" x14ac:dyDescent="0.3">
      <c r="A403" s="3">
        <v>401</v>
      </c>
      <c r="B403" s="3">
        <v>402</v>
      </c>
      <c r="C403" s="3">
        <v>0.2273</v>
      </c>
      <c r="D403" s="3">
        <v>0.82</v>
      </c>
      <c r="E403" s="3">
        <v>0.19400000000000001</v>
      </c>
      <c r="F403" s="3">
        <v>1</v>
      </c>
      <c r="G403" s="3">
        <v>124</v>
      </c>
      <c r="H403" s="3">
        <v>125</v>
      </c>
    </row>
    <row r="404" spans="1:8" ht="15.75" customHeight="1" x14ac:dyDescent="0.3">
      <c r="A404" s="3">
        <v>402</v>
      </c>
      <c r="B404" s="3">
        <v>403</v>
      </c>
      <c r="C404" s="3">
        <v>0.2273</v>
      </c>
      <c r="D404" s="3">
        <v>0.8</v>
      </c>
      <c r="E404" s="3">
        <v>0.16420000000000001</v>
      </c>
      <c r="F404" s="3">
        <v>1</v>
      </c>
      <c r="G404" s="3">
        <v>132</v>
      </c>
      <c r="H404" s="3">
        <v>133</v>
      </c>
    </row>
    <row r="405" spans="1:8" ht="15.75" customHeight="1" x14ac:dyDescent="0.3">
      <c r="A405" s="3">
        <v>403</v>
      </c>
      <c r="B405" s="3">
        <v>404</v>
      </c>
      <c r="C405" s="3">
        <v>0.2273</v>
      </c>
      <c r="D405" s="3">
        <v>0.8</v>
      </c>
      <c r="E405" s="3">
        <v>0.1343</v>
      </c>
      <c r="F405" s="3">
        <v>1</v>
      </c>
      <c r="G405" s="3">
        <v>98</v>
      </c>
      <c r="H405" s="3">
        <v>99</v>
      </c>
    </row>
    <row r="406" spans="1:8" ht="15.75" customHeight="1" x14ac:dyDescent="0.3">
      <c r="A406" s="3">
        <v>404</v>
      </c>
      <c r="B406" s="3">
        <v>405</v>
      </c>
      <c r="C406" s="3">
        <v>0.2727</v>
      </c>
      <c r="D406" s="3">
        <v>0.87</v>
      </c>
      <c r="E406" s="3">
        <v>0</v>
      </c>
      <c r="F406" s="3">
        <v>0</v>
      </c>
      <c r="G406" s="3">
        <v>83</v>
      </c>
      <c r="H406" s="3">
        <v>83</v>
      </c>
    </row>
    <row r="407" spans="1:8" ht="15.75" customHeight="1" x14ac:dyDescent="0.3">
      <c r="A407" s="3">
        <v>405</v>
      </c>
      <c r="B407" s="3">
        <v>406</v>
      </c>
      <c r="C407" s="3">
        <v>0.2424</v>
      </c>
      <c r="D407" s="3">
        <v>0.93</v>
      </c>
      <c r="E407" s="3">
        <v>0.1045</v>
      </c>
      <c r="F407" s="3">
        <v>0</v>
      </c>
      <c r="G407" s="3">
        <v>41</v>
      </c>
      <c r="H407" s="3">
        <v>41</v>
      </c>
    </row>
    <row r="408" spans="1:8" ht="15.75" customHeight="1" x14ac:dyDescent="0.3">
      <c r="A408" s="3">
        <v>406</v>
      </c>
      <c r="B408" s="3">
        <v>407</v>
      </c>
      <c r="C408" s="3">
        <v>0.2576</v>
      </c>
      <c r="D408" s="3">
        <v>0.93</v>
      </c>
      <c r="E408" s="3">
        <v>8.9599999999999999E-2</v>
      </c>
      <c r="F408" s="3">
        <v>0</v>
      </c>
      <c r="G408" s="3">
        <v>33</v>
      </c>
      <c r="H408" s="3">
        <v>33</v>
      </c>
    </row>
    <row r="409" spans="1:8" ht="15.75" customHeight="1" x14ac:dyDescent="0.3">
      <c r="A409" s="3">
        <v>407</v>
      </c>
      <c r="B409" s="3">
        <v>408</v>
      </c>
      <c r="C409" s="3">
        <v>0.2727</v>
      </c>
      <c r="D409" s="3">
        <v>0.93</v>
      </c>
      <c r="E409" s="3">
        <v>0</v>
      </c>
      <c r="F409" s="3">
        <v>1</v>
      </c>
      <c r="G409" s="3">
        <v>19</v>
      </c>
      <c r="H409" s="3">
        <v>20</v>
      </c>
    </row>
    <row r="410" spans="1:8" ht="15.75" customHeight="1" x14ac:dyDescent="0.3">
      <c r="A410" s="3">
        <v>408</v>
      </c>
      <c r="B410" s="3">
        <v>409</v>
      </c>
      <c r="C410" s="3">
        <v>0.2727</v>
      </c>
      <c r="D410" s="3">
        <v>0.93</v>
      </c>
      <c r="E410" s="3">
        <v>0</v>
      </c>
      <c r="F410" s="3">
        <v>0</v>
      </c>
      <c r="G410" s="3">
        <v>3</v>
      </c>
      <c r="H410" s="3">
        <v>3</v>
      </c>
    </row>
    <row r="411" spans="1:8" ht="15.75" customHeight="1" x14ac:dyDescent="0.3">
      <c r="A411" s="3">
        <v>409</v>
      </c>
      <c r="B411" s="3">
        <v>410</v>
      </c>
      <c r="C411" s="3">
        <v>0.2273</v>
      </c>
      <c r="D411" s="3">
        <v>0.93</v>
      </c>
      <c r="E411" s="3">
        <v>0.1343</v>
      </c>
      <c r="F411" s="3">
        <v>1</v>
      </c>
      <c r="G411" s="3">
        <v>6</v>
      </c>
      <c r="H411" s="3">
        <v>7</v>
      </c>
    </row>
    <row r="412" spans="1:8" ht="15.75" customHeight="1" x14ac:dyDescent="0.3">
      <c r="A412" s="3">
        <v>410</v>
      </c>
      <c r="B412" s="3">
        <v>411</v>
      </c>
      <c r="C412" s="3">
        <v>0.2273</v>
      </c>
      <c r="D412" s="3">
        <v>0.93</v>
      </c>
      <c r="E412" s="3">
        <v>0.1343</v>
      </c>
      <c r="F412" s="3">
        <v>0</v>
      </c>
      <c r="G412" s="3">
        <v>3</v>
      </c>
      <c r="H412" s="3">
        <v>3</v>
      </c>
    </row>
    <row r="413" spans="1:8" ht="15.75" customHeight="1" x14ac:dyDescent="0.3">
      <c r="A413" s="3">
        <v>411</v>
      </c>
      <c r="B413" s="3">
        <v>412</v>
      </c>
      <c r="C413" s="3">
        <v>0.2273</v>
      </c>
      <c r="D413" s="3">
        <v>0.93</v>
      </c>
      <c r="E413" s="3">
        <v>0.1343</v>
      </c>
      <c r="F413" s="3">
        <v>1</v>
      </c>
      <c r="G413" s="3">
        <v>1</v>
      </c>
      <c r="H413" s="3">
        <v>2</v>
      </c>
    </row>
    <row r="414" spans="1:8" ht="15.75" customHeight="1" x14ac:dyDescent="0.3">
      <c r="A414" s="3">
        <v>412</v>
      </c>
      <c r="B414" s="3">
        <v>413</v>
      </c>
      <c r="C414" s="3">
        <v>0.2576</v>
      </c>
      <c r="D414" s="3">
        <v>0.93</v>
      </c>
      <c r="E414" s="3">
        <v>8.9599999999999999E-2</v>
      </c>
      <c r="F414" s="3">
        <v>0</v>
      </c>
      <c r="G414" s="3">
        <v>7</v>
      </c>
      <c r="H414" s="3">
        <v>7</v>
      </c>
    </row>
    <row r="415" spans="1:8" ht="15.75" customHeight="1" x14ac:dyDescent="0.3">
      <c r="A415" s="3">
        <v>413</v>
      </c>
      <c r="B415" s="3">
        <v>414</v>
      </c>
      <c r="C415" s="3">
        <v>0.2576</v>
      </c>
      <c r="D415" s="3">
        <v>0.93</v>
      </c>
      <c r="E415" s="3">
        <v>8.9599999999999999E-2</v>
      </c>
      <c r="F415" s="3">
        <v>0</v>
      </c>
      <c r="G415" s="3">
        <v>32</v>
      </c>
      <c r="H415" s="3">
        <v>32</v>
      </c>
    </row>
    <row r="416" spans="1:8" ht="15.75" customHeight="1" x14ac:dyDescent="0.3">
      <c r="A416" s="3">
        <v>414</v>
      </c>
      <c r="B416" s="3">
        <v>415</v>
      </c>
      <c r="C416" s="3">
        <v>0.2576</v>
      </c>
      <c r="D416" s="3">
        <v>0.92</v>
      </c>
      <c r="E416" s="3">
        <v>0.1045</v>
      </c>
      <c r="F416" s="3">
        <v>1</v>
      </c>
      <c r="G416" s="3">
        <v>89</v>
      </c>
      <c r="H416" s="3">
        <v>90</v>
      </c>
    </row>
    <row r="417" spans="1:8" ht="15.75" customHeight="1" x14ac:dyDescent="0.3">
      <c r="A417" s="3">
        <v>415</v>
      </c>
      <c r="B417" s="3">
        <v>416</v>
      </c>
      <c r="C417" s="3">
        <v>0.2576</v>
      </c>
      <c r="D417" s="3">
        <v>0.93</v>
      </c>
      <c r="E417" s="3">
        <v>0.1045</v>
      </c>
      <c r="F417" s="3">
        <v>1</v>
      </c>
      <c r="G417" s="3">
        <v>196</v>
      </c>
      <c r="H417" s="3">
        <v>197</v>
      </c>
    </row>
    <row r="418" spans="1:8" ht="15.75" customHeight="1" x14ac:dyDescent="0.3">
      <c r="A418" s="3">
        <v>416</v>
      </c>
      <c r="B418" s="3">
        <v>417</v>
      </c>
      <c r="C418" s="3">
        <v>0.2576</v>
      </c>
      <c r="D418" s="3">
        <v>0.93</v>
      </c>
      <c r="E418" s="3">
        <v>0.1045</v>
      </c>
      <c r="F418" s="3">
        <v>2</v>
      </c>
      <c r="G418" s="3">
        <v>107</v>
      </c>
      <c r="H418" s="3">
        <v>109</v>
      </c>
    </row>
    <row r="419" spans="1:8" ht="15.75" customHeight="1" x14ac:dyDescent="0.3">
      <c r="A419" s="3">
        <v>417</v>
      </c>
      <c r="B419" s="3">
        <v>418</v>
      </c>
      <c r="C419" s="3">
        <v>0.2727</v>
      </c>
      <c r="D419" s="3">
        <v>0.93</v>
      </c>
      <c r="E419" s="3">
        <v>0.1343</v>
      </c>
      <c r="F419" s="3">
        <v>1</v>
      </c>
      <c r="G419" s="3">
        <v>46</v>
      </c>
      <c r="H419" s="3">
        <v>47</v>
      </c>
    </row>
    <row r="420" spans="1:8" ht="15.75" customHeight="1" x14ac:dyDescent="0.3">
      <c r="A420" s="3">
        <v>418</v>
      </c>
      <c r="B420" s="3">
        <v>419</v>
      </c>
      <c r="C420" s="3">
        <v>0.30299999999999999</v>
      </c>
      <c r="D420" s="3">
        <v>0.87</v>
      </c>
      <c r="E420" s="3">
        <v>8.9599999999999999E-2</v>
      </c>
      <c r="F420" s="3">
        <v>5</v>
      </c>
      <c r="G420" s="3">
        <v>47</v>
      </c>
      <c r="H420" s="3">
        <v>52</v>
      </c>
    </row>
    <row r="421" spans="1:8" ht="15.75" customHeight="1" x14ac:dyDescent="0.3">
      <c r="A421" s="3">
        <v>419</v>
      </c>
      <c r="B421" s="3">
        <v>420</v>
      </c>
      <c r="C421" s="3">
        <v>0.31819999999999998</v>
      </c>
      <c r="D421" s="3">
        <v>0.81</v>
      </c>
      <c r="E421" s="3">
        <v>8.9599999999999999E-2</v>
      </c>
      <c r="F421" s="3">
        <v>5</v>
      </c>
      <c r="G421" s="3">
        <v>65</v>
      </c>
      <c r="H421" s="3">
        <v>70</v>
      </c>
    </row>
    <row r="422" spans="1:8" ht="15.75" customHeight="1" x14ac:dyDescent="0.3">
      <c r="A422" s="3">
        <v>420</v>
      </c>
      <c r="B422" s="3">
        <v>421</v>
      </c>
      <c r="C422" s="3">
        <v>0.40910000000000002</v>
      </c>
      <c r="D422" s="3">
        <v>0.62</v>
      </c>
      <c r="E422" s="3">
        <v>0.28360000000000002</v>
      </c>
      <c r="F422" s="3">
        <v>11</v>
      </c>
      <c r="G422" s="3">
        <v>67</v>
      </c>
      <c r="H422" s="3">
        <v>78</v>
      </c>
    </row>
    <row r="423" spans="1:8" ht="15.75" customHeight="1" x14ac:dyDescent="0.3">
      <c r="A423" s="3">
        <v>421</v>
      </c>
      <c r="B423" s="3">
        <v>422</v>
      </c>
      <c r="C423" s="3">
        <v>0.40910000000000002</v>
      </c>
      <c r="D423" s="3">
        <v>0.57999999999999996</v>
      </c>
      <c r="E423" s="3">
        <v>0.25369999999999998</v>
      </c>
      <c r="F423" s="3">
        <v>7</v>
      </c>
      <c r="G423" s="3">
        <v>68</v>
      </c>
      <c r="H423" s="3">
        <v>75</v>
      </c>
    </row>
    <row r="424" spans="1:8" ht="15.75" customHeight="1" x14ac:dyDescent="0.3">
      <c r="A424" s="3">
        <v>422</v>
      </c>
      <c r="B424" s="3">
        <v>423</v>
      </c>
      <c r="C424" s="3">
        <v>0.40910000000000002</v>
      </c>
      <c r="D424" s="3">
        <v>0.54</v>
      </c>
      <c r="E424" s="3">
        <v>0.28360000000000002</v>
      </c>
      <c r="F424" s="3">
        <v>4</v>
      </c>
      <c r="G424" s="3">
        <v>78</v>
      </c>
      <c r="H424" s="3">
        <v>82</v>
      </c>
    </row>
    <row r="425" spans="1:8" ht="15.75" customHeight="1" x14ac:dyDescent="0.3">
      <c r="A425" s="3">
        <v>423</v>
      </c>
      <c r="B425" s="3">
        <v>424</v>
      </c>
      <c r="C425" s="3">
        <v>0.39389999999999997</v>
      </c>
      <c r="D425" s="3">
        <v>0.57999999999999996</v>
      </c>
      <c r="E425" s="3">
        <v>0.3881</v>
      </c>
      <c r="F425" s="3">
        <v>10</v>
      </c>
      <c r="G425" s="3">
        <v>94</v>
      </c>
      <c r="H425" s="3">
        <v>104</v>
      </c>
    </row>
    <row r="426" spans="1:8" ht="15.75" customHeight="1" x14ac:dyDescent="0.3">
      <c r="A426" s="3">
        <v>424</v>
      </c>
      <c r="B426" s="3">
        <v>425</v>
      </c>
      <c r="C426" s="3">
        <v>0.33329999999999999</v>
      </c>
      <c r="D426" s="3">
        <v>0.56999999999999995</v>
      </c>
      <c r="E426" s="3">
        <v>0.32840000000000003</v>
      </c>
      <c r="F426" s="3">
        <v>7</v>
      </c>
      <c r="G426" s="3">
        <v>190</v>
      </c>
      <c r="H426" s="3">
        <v>197</v>
      </c>
    </row>
    <row r="427" spans="1:8" ht="15.75" customHeight="1" x14ac:dyDescent="0.3">
      <c r="A427" s="3">
        <v>425</v>
      </c>
      <c r="B427" s="3">
        <v>426</v>
      </c>
      <c r="C427" s="3">
        <v>0.31819999999999998</v>
      </c>
      <c r="D427" s="3">
        <v>0.61</v>
      </c>
      <c r="E427" s="3">
        <v>0.28360000000000002</v>
      </c>
      <c r="F427" s="3">
        <v>5</v>
      </c>
      <c r="G427" s="3">
        <v>156</v>
      </c>
      <c r="H427" s="3">
        <v>161</v>
      </c>
    </row>
    <row r="428" spans="1:8" ht="15.75" customHeight="1" x14ac:dyDescent="0.3">
      <c r="A428" s="3">
        <v>426</v>
      </c>
      <c r="B428" s="3">
        <v>427</v>
      </c>
      <c r="C428" s="3">
        <v>0.28789999999999999</v>
      </c>
      <c r="D428" s="3">
        <v>0.56999999999999995</v>
      </c>
      <c r="E428" s="3">
        <v>0.41789999999999999</v>
      </c>
      <c r="F428" s="3">
        <v>4</v>
      </c>
      <c r="G428" s="3">
        <v>108</v>
      </c>
      <c r="H428" s="3">
        <v>112</v>
      </c>
    </row>
    <row r="429" spans="1:8" ht="15.75" customHeight="1" x14ac:dyDescent="0.3">
      <c r="A429" s="3">
        <v>427</v>
      </c>
      <c r="B429" s="3">
        <v>428</v>
      </c>
      <c r="C429" s="3">
        <v>0.30299999999999999</v>
      </c>
      <c r="D429" s="3">
        <v>0.49</v>
      </c>
      <c r="E429" s="3">
        <v>0.29849999999999999</v>
      </c>
      <c r="F429" s="3">
        <v>2</v>
      </c>
      <c r="G429" s="3">
        <v>74</v>
      </c>
      <c r="H429" s="3">
        <v>76</v>
      </c>
    </row>
    <row r="430" spans="1:8" ht="15.75" customHeight="1" x14ac:dyDescent="0.3">
      <c r="A430" s="3">
        <v>428</v>
      </c>
      <c r="B430" s="3">
        <v>429</v>
      </c>
      <c r="C430" s="3">
        <v>0.28789999999999999</v>
      </c>
      <c r="D430" s="3">
        <v>0.49</v>
      </c>
      <c r="E430" s="3">
        <v>0.41789999999999999</v>
      </c>
      <c r="F430" s="3">
        <v>4</v>
      </c>
      <c r="G430" s="3">
        <v>55</v>
      </c>
      <c r="H430" s="3">
        <v>59</v>
      </c>
    </row>
    <row r="431" spans="1:8" ht="15.75" customHeight="1" x14ac:dyDescent="0.3">
      <c r="A431" s="3">
        <v>429</v>
      </c>
      <c r="B431" s="3">
        <v>430</v>
      </c>
      <c r="C431" s="3">
        <v>0.30299999999999999</v>
      </c>
      <c r="D431" s="3">
        <v>0.52</v>
      </c>
      <c r="E431" s="3">
        <v>0.16420000000000001</v>
      </c>
      <c r="F431" s="3">
        <v>6</v>
      </c>
      <c r="G431" s="3">
        <v>53</v>
      </c>
      <c r="H431" s="3">
        <v>59</v>
      </c>
    </row>
    <row r="432" spans="1:8" ht="15.75" customHeight="1" x14ac:dyDescent="0.3">
      <c r="A432" s="3">
        <v>430</v>
      </c>
      <c r="B432" s="3">
        <v>431</v>
      </c>
      <c r="C432" s="3">
        <v>0.2727</v>
      </c>
      <c r="D432" s="3">
        <v>0.52</v>
      </c>
      <c r="E432" s="3">
        <v>0.4627</v>
      </c>
      <c r="F432" s="3">
        <v>1</v>
      </c>
      <c r="G432" s="3">
        <v>27</v>
      </c>
      <c r="H432" s="3">
        <v>28</v>
      </c>
    </row>
    <row r="433" spans="1:8" ht="15.75" customHeight="1" x14ac:dyDescent="0.3">
      <c r="A433" s="3">
        <v>431</v>
      </c>
      <c r="B433" s="3">
        <v>432</v>
      </c>
      <c r="C433" s="3">
        <v>0.2273</v>
      </c>
      <c r="D433" s="3">
        <v>0.56000000000000005</v>
      </c>
      <c r="E433" s="3">
        <v>0.3881</v>
      </c>
      <c r="F433" s="3">
        <v>5</v>
      </c>
      <c r="G433" s="3">
        <v>8</v>
      </c>
      <c r="H433" s="3">
        <v>13</v>
      </c>
    </row>
    <row r="434" spans="1:8" ht="15.75" customHeight="1" x14ac:dyDescent="0.3">
      <c r="A434" s="3">
        <v>432</v>
      </c>
      <c r="B434" s="3">
        <v>433</v>
      </c>
      <c r="C434" s="3">
        <v>0.2727</v>
      </c>
      <c r="D434" s="3">
        <v>0.56000000000000005</v>
      </c>
      <c r="E434" s="3">
        <v>0</v>
      </c>
      <c r="F434" s="3">
        <v>2</v>
      </c>
      <c r="G434" s="3">
        <v>3</v>
      </c>
      <c r="H434" s="3">
        <v>5</v>
      </c>
    </row>
    <row r="435" spans="1:8" ht="15.75" customHeight="1" x14ac:dyDescent="0.3">
      <c r="A435" s="3">
        <v>433</v>
      </c>
      <c r="B435" s="3">
        <v>434</v>
      </c>
      <c r="C435" s="3">
        <v>0.2727</v>
      </c>
      <c r="D435" s="3">
        <v>0.56000000000000005</v>
      </c>
      <c r="E435" s="3">
        <v>0</v>
      </c>
      <c r="F435" s="3">
        <v>0</v>
      </c>
      <c r="G435" s="3">
        <v>2</v>
      </c>
      <c r="H435" s="3">
        <v>2</v>
      </c>
    </row>
    <row r="436" spans="1:8" ht="15.75" customHeight="1" x14ac:dyDescent="0.3">
      <c r="A436" s="3">
        <v>434</v>
      </c>
      <c r="B436" s="3">
        <v>435</v>
      </c>
      <c r="C436" s="3">
        <v>0.2576</v>
      </c>
      <c r="D436" s="3">
        <v>0.56000000000000005</v>
      </c>
      <c r="E436" s="3">
        <v>0.16420000000000001</v>
      </c>
      <c r="F436" s="3">
        <v>0</v>
      </c>
      <c r="G436" s="3">
        <v>1</v>
      </c>
      <c r="H436" s="3">
        <v>1</v>
      </c>
    </row>
    <row r="437" spans="1:8" ht="15.75" customHeight="1" x14ac:dyDescent="0.3">
      <c r="A437" s="3">
        <v>435</v>
      </c>
      <c r="B437" s="3">
        <v>436</v>
      </c>
      <c r="C437" s="3">
        <v>0.2576</v>
      </c>
      <c r="D437" s="3">
        <v>0.56000000000000005</v>
      </c>
      <c r="E437" s="3">
        <v>0.16420000000000001</v>
      </c>
      <c r="F437" s="3">
        <v>0</v>
      </c>
      <c r="G437" s="3">
        <v>1</v>
      </c>
      <c r="H437" s="3">
        <v>1</v>
      </c>
    </row>
    <row r="438" spans="1:8" ht="15.75" customHeight="1" x14ac:dyDescent="0.3">
      <c r="A438" s="3">
        <v>436</v>
      </c>
      <c r="B438" s="3">
        <v>437</v>
      </c>
      <c r="C438" s="3">
        <v>0.2273</v>
      </c>
      <c r="D438" s="3">
        <v>0.6</v>
      </c>
      <c r="E438" s="3">
        <v>0.22389999999999999</v>
      </c>
      <c r="F438" s="3">
        <v>0</v>
      </c>
      <c r="G438" s="3">
        <v>6</v>
      </c>
      <c r="H438" s="3">
        <v>6</v>
      </c>
    </row>
    <row r="439" spans="1:8" ht="15.75" customHeight="1" x14ac:dyDescent="0.3">
      <c r="A439" s="3">
        <v>437</v>
      </c>
      <c r="B439" s="3">
        <v>438</v>
      </c>
      <c r="C439" s="3">
        <v>0.21210000000000001</v>
      </c>
      <c r="D439" s="3">
        <v>0.6</v>
      </c>
      <c r="E439" s="3">
        <v>0.22389999999999999</v>
      </c>
      <c r="F439" s="3">
        <v>0</v>
      </c>
      <c r="G439" s="3">
        <v>35</v>
      </c>
      <c r="H439" s="3">
        <v>35</v>
      </c>
    </row>
    <row r="440" spans="1:8" ht="15.75" customHeight="1" x14ac:dyDescent="0.3">
      <c r="A440" s="3">
        <v>438</v>
      </c>
      <c r="B440" s="3">
        <v>439</v>
      </c>
      <c r="C440" s="3">
        <v>0.21210000000000001</v>
      </c>
      <c r="D440" s="3">
        <v>0.55000000000000004</v>
      </c>
      <c r="E440" s="3">
        <v>0.22389999999999999</v>
      </c>
      <c r="F440" s="3">
        <v>1</v>
      </c>
      <c r="G440" s="3">
        <v>100</v>
      </c>
      <c r="H440" s="3">
        <v>101</v>
      </c>
    </row>
    <row r="441" spans="1:8" ht="15.75" customHeight="1" x14ac:dyDescent="0.3">
      <c r="A441" s="3">
        <v>439</v>
      </c>
      <c r="B441" s="3">
        <v>440</v>
      </c>
      <c r="C441" s="3">
        <v>0.21210000000000001</v>
      </c>
      <c r="D441" s="3">
        <v>0.55000000000000004</v>
      </c>
      <c r="E441" s="3">
        <v>0.28360000000000002</v>
      </c>
      <c r="F441" s="3">
        <v>2</v>
      </c>
      <c r="G441" s="3">
        <v>247</v>
      </c>
      <c r="H441" s="3">
        <v>249</v>
      </c>
    </row>
    <row r="442" spans="1:8" ht="15.75" customHeight="1" x14ac:dyDescent="0.3">
      <c r="A442" s="3">
        <v>440</v>
      </c>
      <c r="B442" s="3">
        <v>441</v>
      </c>
      <c r="C442" s="3">
        <v>0.2273</v>
      </c>
      <c r="D442" s="3">
        <v>0.52</v>
      </c>
      <c r="E442" s="3">
        <v>0.22389999999999999</v>
      </c>
      <c r="F442" s="3">
        <v>3</v>
      </c>
      <c r="G442" s="3">
        <v>140</v>
      </c>
      <c r="H442" s="3">
        <v>143</v>
      </c>
    </row>
    <row r="443" spans="1:8" ht="15.75" customHeight="1" x14ac:dyDescent="0.3">
      <c r="A443" s="3">
        <v>441</v>
      </c>
      <c r="B443" s="3">
        <v>442</v>
      </c>
      <c r="C443" s="3">
        <v>0.2273</v>
      </c>
      <c r="D443" s="3">
        <v>0.48</v>
      </c>
      <c r="E443" s="3">
        <v>0.29849999999999999</v>
      </c>
      <c r="F443" s="3">
        <v>1</v>
      </c>
      <c r="G443" s="3">
        <v>56</v>
      </c>
      <c r="H443" s="3">
        <v>57</v>
      </c>
    </row>
    <row r="444" spans="1:8" ht="15.75" customHeight="1" x14ac:dyDescent="0.3">
      <c r="A444" s="3">
        <v>442</v>
      </c>
      <c r="B444" s="3">
        <v>443</v>
      </c>
      <c r="C444" s="3">
        <v>0.2727</v>
      </c>
      <c r="D444" s="3">
        <v>0.45</v>
      </c>
      <c r="E444" s="3">
        <v>0.16420000000000001</v>
      </c>
      <c r="F444" s="3">
        <v>5</v>
      </c>
      <c r="G444" s="3">
        <v>63</v>
      </c>
      <c r="H444" s="3">
        <v>68</v>
      </c>
    </row>
    <row r="445" spans="1:8" ht="15.75" customHeight="1" x14ac:dyDescent="0.3">
      <c r="A445" s="3">
        <v>443</v>
      </c>
      <c r="B445" s="3">
        <v>444</v>
      </c>
      <c r="C445" s="3">
        <v>0.33329999999999999</v>
      </c>
      <c r="D445" s="3">
        <v>0.42</v>
      </c>
      <c r="E445" s="3">
        <v>0</v>
      </c>
      <c r="F445" s="3">
        <v>7</v>
      </c>
      <c r="G445" s="3">
        <v>77</v>
      </c>
      <c r="H445" s="3">
        <v>84</v>
      </c>
    </row>
    <row r="446" spans="1:8" ht="15.75" customHeight="1" x14ac:dyDescent="0.3">
      <c r="A446" s="3">
        <v>444</v>
      </c>
      <c r="B446" s="3">
        <v>445</v>
      </c>
      <c r="C446" s="3">
        <v>0.28789999999999999</v>
      </c>
      <c r="D446" s="3">
        <v>0.45</v>
      </c>
      <c r="E446" s="3">
        <v>0.1045</v>
      </c>
      <c r="F446" s="3">
        <v>12</v>
      </c>
      <c r="G446" s="3">
        <v>86</v>
      </c>
      <c r="H446" s="3">
        <v>98</v>
      </c>
    </row>
    <row r="447" spans="1:8" ht="15.75" customHeight="1" x14ac:dyDescent="0.3">
      <c r="A447" s="3">
        <v>445</v>
      </c>
      <c r="B447" s="3">
        <v>446</v>
      </c>
      <c r="C447" s="3">
        <v>0.30299999999999999</v>
      </c>
      <c r="D447" s="3">
        <v>0.45</v>
      </c>
      <c r="E447" s="3">
        <v>0.1343</v>
      </c>
      <c r="F447" s="3">
        <v>6</v>
      </c>
      <c r="G447" s="3">
        <v>75</v>
      </c>
      <c r="H447" s="3">
        <v>81</v>
      </c>
    </row>
    <row r="448" spans="1:8" ht="15.75" customHeight="1" x14ac:dyDescent="0.3">
      <c r="A448" s="3">
        <v>446</v>
      </c>
      <c r="B448" s="3">
        <v>447</v>
      </c>
      <c r="C448" s="3">
        <v>0.31819999999999998</v>
      </c>
      <c r="D448" s="3">
        <v>0.45</v>
      </c>
      <c r="E448" s="3">
        <v>0.19400000000000001</v>
      </c>
      <c r="F448" s="3">
        <v>8</v>
      </c>
      <c r="G448" s="3">
        <v>62</v>
      </c>
      <c r="H448" s="3">
        <v>70</v>
      </c>
    </row>
    <row r="449" spans="1:8" ht="15.75" customHeight="1" x14ac:dyDescent="0.3">
      <c r="A449" s="3">
        <v>447</v>
      </c>
      <c r="B449" s="3">
        <v>448</v>
      </c>
      <c r="C449" s="3">
        <v>0.30299999999999999</v>
      </c>
      <c r="D449" s="3">
        <v>0.49</v>
      </c>
      <c r="E449" s="3">
        <v>0.1343</v>
      </c>
      <c r="F449" s="3">
        <v>8</v>
      </c>
      <c r="G449" s="3">
        <v>83</v>
      </c>
      <c r="H449" s="3">
        <v>91</v>
      </c>
    </row>
    <row r="450" spans="1:8" ht="15.75" customHeight="1" x14ac:dyDescent="0.3">
      <c r="A450" s="3">
        <v>448</v>
      </c>
      <c r="B450" s="3">
        <v>449</v>
      </c>
      <c r="C450" s="3">
        <v>0.31819999999999998</v>
      </c>
      <c r="D450" s="3">
        <v>0.49</v>
      </c>
      <c r="E450" s="3">
        <v>0.1045</v>
      </c>
      <c r="F450" s="3">
        <v>8</v>
      </c>
      <c r="G450" s="3">
        <v>207</v>
      </c>
      <c r="H450" s="3">
        <v>215</v>
      </c>
    </row>
    <row r="451" spans="1:8" ht="15.75" customHeight="1" x14ac:dyDescent="0.3">
      <c r="A451" s="3">
        <v>449</v>
      </c>
      <c r="B451" s="3">
        <v>450</v>
      </c>
      <c r="C451" s="3">
        <v>0.2576</v>
      </c>
      <c r="D451" s="3">
        <v>0.56000000000000005</v>
      </c>
      <c r="E451" s="3">
        <v>0.19400000000000001</v>
      </c>
      <c r="F451" s="3">
        <v>1</v>
      </c>
      <c r="G451" s="3">
        <v>184</v>
      </c>
      <c r="H451" s="3">
        <v>185</v>
      </c>
    </row>
    <row r="452" spans="1:8" ht="15.75" customHeight="1" x14ac:dyDescent="0.3">
      <c r="A452" s="3">
        <v>450</v>
      </c>
      <c r="B452" s="3">
        <v>451</v>
      </c>
      <c r="C452" s="3">
        <v>0.2273</v>
      </c>
      <c r="D452" s="3">
        <v>0.56000000000000005</v>
      </c>
      <c r="E452" s="3">
        <v>0.32840000000000003</v>
      </c>
      <c r="F452" s="3">
        <v>6</v>
      </c>
      <c r="G452" s="3">
        <v>146</v>
      </c>
      <c r="H452" s="3">
        <v>152</v>
      </c>
    </row>
    <row r="453" spans="1:8" ht="15.75" customHeight="1" x14ac:dyDescent="0.3">
      <c r="A453" s="3">
        <v>451</v>
      </c>
      <c r="B453" s="3">
        <v>452</v>
      </c>
      <c r="C453" s="3">
        <v>0.2424</v>
      </c>
      <c r="D453" s="3">
        <v>0.6</v>
      </c>
      <c r="E453" s="3">
        <v>0.28360000000000002</v>
      </c>
      <c r="F453" s="3">
        <v>2</v>
      </c>
      <c r="G453" s="3">
        <v>124</v>
      </c>
      <c r="H453" s="3">
        <v>126</v>
      </c>
    </row>
    <row r="454" spans="1:8" ht="15.75" customHeight="1" x14ac:dyDescent="0.3">
      <c r="A454" s="3">
        <v>452</v>
      </c>
      <c r="B454" s="3">
        <v>453</v>
      </c>
      <c r="C454" s="3">
        <v>0.2273</v>
      </c>
      <c r="D454" s="3">
        <v>0.6</v>
      </c>
      <c r="E454" s="3">
        <v>0.25369999999999998</v>
      </c>
      <c r="F454" s="3">
        <v>3</v>
      </c>
      <c r="G454" s="3">
        <v>54</v>
      </c>
      <c r="H454" s="3">
        <v>57</v>
      </c>
    </row>
    <row r="455" spans="1:8" ht="15.75" customHeight="1" x14ac:dyDescent="0.3">
      <c r="A455" s="3">
        <v>453</v>
      </c>
      <c r="B455" s="3">
        <v>454</v>
      </c>
      <c r="C455" s="3">
        <v>0.21210000000000001</v>
      </c>
      <c r="D455" s="3">
        <v>0.65</v>
      </c>
      <c r="E455" s="3">
        <v>0.28360000000000002</v>
      </c>
      <c r="F455" s="3">
        <v>0</v>
      </c>
      <c r="G455" s="3">
        <v>56</v>
      </c>
      <c r="H455" s="3">
        <v>56</v>
      </c>
    </row>
    <row r="456" spans="1:8" ht="15.75" customHeight="1" x14ac:dyDescent="0.3">
      <c r="A456" s="3">
        <v>454</v>
      </c>
      <c r="B456" s="3">
        <v>455</v>
      </c>
      <c r="C456" s="3">
        <v>0.21210000000000001</v>
      </c>
      <c r="D456" s="3">
        <v>0.65</v>
      </c>
      <c r="E456" s="3">
        <v>0.32840000000000003</v>
      </c>
      <c r="F456" s="3">
        <v>3</v>
      </c>
      <c r="G456" s="3">
        <v>28</v>
      </c>
      <c r="H456" s="3">
        <v>31</v>
      </c>
    </row>
    <row r="457" spans="1:8" ht="15.75" customHeight="1" x14ac:dyDescent="0.3">
      <c r="A457" s="3">
        <v>455</v>
      </c>
      <c r="B457" s="3">
        <v>456</v>
      </c>
      <c r="C457" s="3">
        <v>0.2273</v>
      </c>
      <c r="D457" s="3">
        <v>0.7</v>
      </c>
      <c r="E457" s="3">
        <v>0.25369999999999998</v>
      </c>
      <c r="F457" s="3">
        <v>1</v>
      </c>
      <c r="G457" s="3">
        <v>20</v>
      </c>
      <c r="H457" s="3">
        <v>21</v>
      </c>
    </row>
    <row r="458" spans="1:8" ht="15.75" customHeight="1" x14ac:dyDescent="0.3">
      <c r="A458" s="3">
        <v>456</v>
      </c>
      <c r="B458" s="3">
        <v>457</v>
      </c>
      <c r="C458" s="3">
        <v>0.2273</v>
      </c>
      <c r="D458" s="3">
        <v>0.7</v>
      </c>
      <c r="E458" s="3">
        <v>0.25369999999999998</v>
      </c>
      <c r="F458" s="3">
        <v>0</v>
      </c>
      <c r="G458" s="3">
        <v>6</v>
      </c>
      <c r="H458" s="3">
        <v>6</v>
      </c>
    </row>
    <row r="459" spans="1:8" ht="15.75" customHeight="1" x14ac:dyDescent="0.3">
      <c r="A459" s="3">
        <v>457</v>
      </c>
      <c r="B459" s="3">
        <v>458</v>
      </c>
      <c r="C459" s="3">
        <v>0.2424</v>
      </c>
      <c r="D459" s="3">
        <v>0.75</v>
      </c>
      <c r="E459" s="3">
        <v>0.16420000000000001</v>
      </c>
      <c r="F459" s="3">
        <v>0</v>
      </c>
      <c r="G459" s="3">
        <v>2</v>
      </c>
      <c r="H459" s="3">
        <v>2</v>
      </c>
    </row>
    <row r="460" spans="1:8" ht="15.75" customHeight="1" x14ac:dyDescent="0.3">
      <c r="A460" s="3">
        <v>458</v>
      </c>
      <c r="B460" s="3">
        <v>459</v>
      </c>
      <c r="C460" s="3">
        <v>0.21210000000000001</v>
      </c>
      <c r="D460" s="3">
        <v>0.8</v>
      </c>
      <c r="E460" s="3">
        <v>0.29849999999999999</v>
      </c>
      <c r="F460" s="3">
        <v>0</v>
      </c>
      <c r="G460" s="3">
        <v>1</v>
      </c>
      <c r="H460" s="3">
        <v>1</v>
      </c>
    </row>
    <row r="461" spans="1:8" ht="15.75" customHeight="1" x14ac:dyDescent="0.3">
      <c r="A461" s="3">
        <v>459</v>
      </c>
      <c r="B461" s="3">
        <v>460</v>
      </c>
      <c r="C461" s="3">
        <v>0.2576</v>
      </c>
      <c r="D461" s="3">
        <v>0.87</v>
      </c>
      <c r="E461" s="3">
        <v>8.9599999999999999E-2</v>
      </c>
      <c r="F461" s="3">
        <v>0</v>
      </c>
      <c r="G461" s="3">
        <v>1</v>
      </c>
      <c r="H461" s="3">
        <v>1</v>
      </c>
    </row>
    <row r="462" spans="1:8" ht="15.75" customHeight="1" x14ac:dyDescent="0.3">
      <c r="A462" s="3">
        <v>460</v>
      </c>
      <c r="B462" s="3">
        <v>461</v>
      </c>
      <c r="C462" s="3">
        <v>0.19700000000000001</v>
      </c>
      <c r="D462" s="3">
        <v>0.6</v>
      </c>
      <c r="E462" s="3">
        <v>0.41789999999999999</v>
      </c>
      <c r="F462" s="3">
        <v>1</v>
      </c>
      <c r="G462" s="3">
        <v>4</v>
      </c>
      <c r="H462" s="3">
        <v>5</v>
      </c>
    </row>
    <row r="463" spans="1:8" ht="15.75" customHeight="1" x14ac:dyDescent="0.3">
      <c r="A463" s="3">
        <v>461</v>
      </c>
      <c r="B463" s="3">
        <v>462</v>
      </c>
      <c r="C463" s="3">
        <v>0.21210000000000001</v>
      </c>
      <c r="D463" s="3">
        <v>0.55000000000000004</v>
      </c>
      <c r="E463" s="3">
        <v>0.25369999999999998</v>
      </c>
      <c r="F463" s="3">
        <v>0</v>
      </c>
      <c r="G463" s="3">
        <v>27</v>
      </c>
      <c r="H463" s="3">
        <v>27</v>
      </c>
    </row>
    <row r="464" spans="1:8" ht="15.75" customHeight="1" x14ac:dyDescent="0.3">
      <c r="A464" s="3">
        <v>462</v>
      </c>
      <c r="B464" s="3">
        <v>463</v>
      </c>
      <c r="C464" s="3">
        <v>0.18179999999999999</v>
      </c>
      <c r="D464" s="3">
        <v>0.51</v>
      </c>
      <c r="E464" s="3">
        <v>0.28360000000000002</v>
      </c>
      <c r="F464" s="3">
        <v>2</v>
      </c>
      <c r="G464" s="3">
        <v>66</v>
      </c>
      <c r="H464" s="3">
        <v>68</v>
      </c>
    </row>
    <row r="465" spans="1:8" ht="15.75" customHeight="1" x14ac:dyDescent="0.3">
      <c r="A465" s="3">
        <v>463</v>
      </c>
      <c r="B465" s="3">
        <v>464</v>
      </c>
      <c r="C465" s="3">
        <v>0.18179999999999999</v>
      </c>
      <c r="D465" s="3">
        <v>0.47</v>
      </c>
      <c r="E465" s="3">
        <v>0.32840000000000003</v>
      </c>
      <c r="F465" s="3">
        <v>7</v>
      </c>
      <c r="G465" s="3">
        <v>210</v>
      </c>
      <c r="H465" s="3">
        <v>217</v>
      </c>
    </row>
    <row r="466" spans="1:8" ht="15.75" customHeight="1" x14ac:dyDescent="0.3">
      <c r="A466" s="3">
        <v>464</v>
      </c>
      <c r="B466" s="3">
        <v>465</v>
      </c>
      <c r="C466" s="3">
        <v>0.18179999999999999</v>
      </c>
      <c r="D466" s="3">
        <v>0.51</v>
      </c>
      <c r="E466" s="3">
        <v>0.35820000000000002</v>
      </c>
      <c r="F466" s="3">
        <v>7</v>
      </c>
      <c r="G466" s="3">
        <v>159</v>
      </c>
      <c r="H466" s="3">
        <v>166</v>
      </c>
    </row>
    <row r="467" spans="1:8" ht="15.75" customHeight="1" x14ac:dyDescent="0.3">
      <c r="A467" s="3">
        <v>465</v>
      </c>
      <c r="B467" s="3">
        <v>466</v>
      </c>
      <c r="C467" s="3">
        <v>0.16669999999999999</v>
      </c>
      <c r="D467" s="3">
        <v>0.47</v>
      </c>
      <c r="E467" s="3">
        <v>0.4627</v>
      </c>
      <c r="F467" s="3">
        <v>6</v>
      </c>
      <c r="G467" s="3">
        <v>57</v>
      </c>
      <c r="H467" s="3">
        <v>63</v>
      </c>
    </row>
    <row r="468" spans="1:8" ht="15.75" customHeight="1" x14ac:dyDescent="0.3">
      <c r="A468" s="3">
        <v>466</v>
      </c>
      <c r="B468" s="3">
        <v>467</v>
      </c>
      <c r="C468" s="3">
        <v>0.18179999999999999</v>
      </c>
      <c r="D468" s="3">
        <v>0.41</v>
      </c>
      <c r="E468" s="3">
        <v>0.4627</v>
      </c>
      <c r="F468" s="3">
        <v>6</v>
      </c>
      <c r="G468" s="3">
        <v>53</v>
      </c>
      <c r="H468" s="3">
        <v>59</v>
      </c>
    </row>
    <row r="469" spans="1:8" ht="15.75" customHeight="1" x14ac:dyDescent="0.3">
      <c r="A469" s="3">
        <v>467</v>
      </c>
      <c r="B469" s="3">
        <v>468</v>
      </c>
      <c r="C469" s="3">
        <v>0.18179999999999999</v>
      </c>
      <c r="D469" s="3">
        <v>0.27</v>
      </c>
      <c r="E469" s="3">
        <v>0.58209999999999995</v>
      </c>
      <c r="F469" s="3">
        <v>11</v>
      </c>
      <c r="G469" s="3">
        <v>67</v>
      </c>
      <c r="H469" s="3">
        <v>78</v>
      </c>
    </row>
    <row r="470" spans="1:8" ht="15.75" customHeight="1" x14ac:dyDescent="0.3">
      <c r="A470" s="3">
        <v>468</v>
      </c>
      <c r="B470" s="3">
        <v>469</v>
      </c>
      <c r="C470" s="3">
        <v>0.1515</v>
      </c>
      <c r="D470" s="3">
        <v>0.21</v>
      </c>
      <c r="E470" s="3">
        <v>0.58209999999999995</v>
      </c>
      <c r="F470" s="3">
        <v>8</v>
      </c>
      <c r="G470" s="3">
        <v>65</v>
      </c>
      <c r="H470" s="3">
        <v>73</v>
      </c>
    </row>
    <row r="471" spans="1:8" ht="15.75" customHeight="1" x14ac:dyDescent="0.3">
      <c r="A471" s="3">
        <v>469</v>
      </c>
      <c r="B471" s="3">
        <v>470</v>
      </c>
      <c r="C471" s="3">
        <v>0.1515</v>
      </c>
      <c r="D471" s="3">
        <v>0.25</v>
      </c>
      <c r="E471" s="3">
        <v>0.52239999999999998</v>
      </c>
      <c r="F471" s="3">
        <v>6</v>
      </c>
      <c r="G471" s="3">
        <v>56</v>
      </c>
      <c r="H471" s="3">
        <v>62</v>
      </c>
    </row>
    <row r="472" spans="1:8" ht="15.75" customHeight="1" x14ac:dyDescent="0.3">
      <c r="A472" s="3">
        <v>470</v>
      </c>
      <c r="B472" s="3">
        <v>471</v>
      </c>
      <c r="C472" s="3">
        <v>0.1212</v>
      </c>
      <c r="D472" s="3">
        <v>0.26</v>
      </c>
      <c r="E472" s="3">
        <v>0.44779999999999998</v>
      </c>
      <c r="F472" s="3">
        <v>4</v>
      </c>
      <c r="G472" s="3">
        <v>61</v>
      </c>
      <c r="H472" s="3">
        <v>65</v>
      </c>
    </row>
    <row r="473" spans="1:8" ht="15.75" customHeight="1" x14ac:dyDescent="0.3">
      <c r="A473" s="3">
        <v>471</v>
      </c>
      <c r="B473" s="3">
        <v>472</v>
      </c>
      <c r="C473" s="3">
        <v>0.13639999999999999</v>
      </c>
      <c r="D473" s="3">
        <v>0.26</v>
      </c>
      <c r="E473" s="3">
        <v>0.35820000000000002</v>
      </c>
      <c r="F473" s="3">
        <v>0</v>
      </c>
      <c r="G473" s="3">
        <v>97</v>
      </c>
      <c r="H473" s="3">
        <v>97</v>
      </c>
    </row>
    <row r="474" spans="1:8" ht="15.75" customHeight="1" x14ac:dyDescent="0.3">
      <c r="A474" s="3">
        <v>472</v>
      </c>
      <c r="B474" s="3">
        <v>473</v>
      </c>
      <c r="C474" s="3">
        <v>0.1212</v>
      </c>
      <c r="D474" s="3">
        <v>0.28000000000000003</v>
      </c>
      <c r="E474" s="3">
        <v>0.35820000000000002</v>
      </c>
      <c r="F474" s="3">
        <v>10</v>
      </c>
      <c r="G474" s="3">
        <v>151</v>
      </c>
      <c r="H474" s="3">
        <v>161</v>
      </c>
    </row>
    <row r="475" spans="1:8" ht="15.75" customHeight="1" x14ac:dyDescent="0.3">
      <c r="A475" s="3">
        <v>473</v>
      </c>
      <c r="B475" s="3">
        <v>474</v>
      </c>
      <c r="C475" s="3">
        <v>0.1212</v>
      </c>
      <c r="D475" s="3">
        <v>0.3</v>
      </c>
      <c r="E475" s="3">
        <v>0.25369999999999998</v>
      </c>
      <c r="F475" s="3">
        <v>1</v>
      </c>
      <c r="G475" s="3">
        <v>119</v>
      </c>
      <c r="H475" s="3">
        <v>120</v>
      </c>
    </row>
    <row r="476" spans="1:8" ht="15.75" customHeight="1" x14ac:dyDescent="0.3">
      <c r="A476" s="3">
        <v>474</v>
      </c>
      <c r="B476" s="3">
        <v>475</v>
      </c>
      <c r="C476" s="3">
        <v>0.1061</v>
      </c>
      <c r="D476" s="3">
        <v>0.3</v>
      </c>
      <c r="E476" s="3">
        <v>0.32840000000000003</v>
      </c>
      <c r="F476" s="3">
        <v>3</v>
      </c>
      <c r="G476" s="3">
        <v>93</v>
      </c>
      <c r="H476" s="3">
        <v>96</v>
      </c>
    </row>
    <row r="477" spans="1:8" ht="15.75" customHeight="1" x14ac:dyDescent="0.3">
      <c r="A477" s="3">
        <v>475</v>
      </c>
      <c r="B477" s="3">
        <v>476</v>
      </c>
      <c r="C477" s="3">
        <v>7.5800000000000006E-2</v>
      </c>
      <c r="D477" s="3">
        <v>0.33</v>
      </c>
      <c r="E477" s="3">
        <v>0.41789999999999999</v>
      </c>
      <c r="F477" s="3">
        <v>1</v>
      </c>
      <c r="G477" s="3">
        <v>52</v>
      </c>
      <c r="H477" s="3">
        <v>53</v>
      </c>
    </row>
    <row r="478" spans="1:8" ht="15.75" customHeight="1" x14ac:dyDescent="0.3">
      <c r="A478" s="3">
        <v>476</v>
      </c>
      <c r="B478" s="3">
        <v>477</v>
      </c>
      <c r="C478" s="3">
        <v>7.5800000000000006E-2</v>
      </c>
      <c r="D478" s="3">
        <v>0.38</v>
      </c>
      <c r="E478" s="3">
        <v>0.28360000000000002</v>
      </c>
      <c r="F478" s="3">
        <v>0</v>
      </c>
      <c r="G478" s="3">
        <v>41</v>
      </c>
      <c r="H478" s="3">
        <v>41</v>
      </c>
    </row>
    <row r="479" spans="1:8" ht="15.75" customHeight="1" x14ac:dyDescent="0.3">
      <c r="A479" s="3">
        <v>477</v>
      </c>
      <c r="B479" s="3">
        <v>478</v>
      </c>
      <c r="C479" s="3">
        <v>3.0300000000000001E-2</v>
      </c>
      <c r="D479" s="3">
        <v>0.41</v>
      </c>
      <c r="E479" s="3">
        <v>0.3881</v>
      </c>
      <c r="F479" s="3">
        <v>1</v>
      </c>
      <c r="G479" s="3">
        <v>33</v>
      </c>
      <c r="H479" s="3">
        <v>34</v>
      </c>
    </row>
    <row r="480" spans="1:8" ht="15.75" customHeight="1" x14ac:dyDescent="0.3">
      <c r="A480" s="3">
        <v>478</v>
      </c>
      <c r="B480" s="3">
        <v>479</v>
      </c>
      <c r="C480" s="3">
        <v>4.5499999999999999E-2</v>
      </c>
      <c r="D480" s="3">
        <v>0.38</v>
      </c>
      <c r="E480" s="3">
        <v>0.32840000000000003</v>
      </c>
      <c r="F480" s="3">
        <v>0</v>
      </c>
      <c r="G480" s="3">
        <v>27</v>
      </c>
      <c r="H480" s="3">
        <v>27</v>
      </c>
    </row>
    <row r="481" spans="1:8" ht="15.75" customHeight="1" x14ac:dyDescent="0.3">
      <c r="A481" s="3">
        <v>479</v>
      </c>
      <c r="B481" s="3">
        <v>480</v>
      </c>
      <c r="C481" s="3">
        <v>3.0300000000000001E-2</v>
      </c>
      <c r="D481" s="3">
        <v>0.45</v>
      </c>
      <c r="E481" s="3">
        <v>0.25369999999999998</v>
      </c>
      <c r="F481" s="3">
        <v>0</v>
      </c>
      <c r="G481" s="3">
        <v>13</v>
      </c>
      <c r="H481" s="3">
        <v>13</v>
      </c>
    </row>
    <row r="482" spans="1:8" ht="15.75" customHeight="1" x14ac:dyDescent="0.3">
      <c r="A482" s="3">
        <v>480</v>
      </c>
      <c r="B482" s="3">
        <v>481</v>
      </c>
      <c r="C482" s="3">
        <v>0</v>
      </c>
      <c r="D482" s="3">
        <v>0.41</v>
      </c>
      <c r="E482" s="3">
        <v>0.3881</v>
      </c>
      <c r="F482" s="3">
        <v>3</v>
      </c>
      <c r="G482" s="3">
        <v>9</v>
      </c>
      <c r="H482" s="3">
        <v>12</v>
      </c>
    </row>
    <row r="483" spans="1:8" ht="15.75" customHeight="1" x14ac:dyDescent="0.3">
      <c r="A483" s="3">
        <v>481</v>
      </c>
      <c r="B483" s="3">
        <v>482</v>
      </c>
      <c r="C483" s="3">
        <v>3.0300000000000001E-2</v>
      </c>
      <c r="D483" s="3">
        <v>0.41</v>
      </c>
      <c r="E483" s="3">
        <v>0.25369999999999998</v>
      </c>
      <c r="F483" s="3">
        <v>0</v>
      </c>
      <c r="G483" s="3">
        <v>11</v>
      </c>
      <c r="H483" s="3">
        <v>11</v>
      </c>
    </row>
    <row r="484" spans="1:8" ht="15.75" customHeight="1" x14ac:dyDescent="0.3">
      <c r="A484" s="3">
        <v>482</v>
      </c>
      <c r="B484" s="3">
        <v>483</v>
      </c>
      <c r="C484" s="3">
        <v>3.0300000000000001E-2</v>
      </c>
      <c r="D484" s="3">
        <v>0.41</v>
      </c>
      <c r="E484" s="3">
        <v>0.28360000000000002</v>
      </c>
      <c r="F484" s="3">
        <v>1</v>
      </c>
      <c r="G484" s="3">
        <v>6</v>
      </c>
      <c r="H484" s="3">
        <v>7</v>
      </c>
    </row>
    <row r="485" spans="1:8" ht="15.75" customHeight="1" x14ac:dyDescent="0.3">
      <c r="A485" s="3">
        <v>483</v>
      </c>
      <c r="B485" s="3">
        <v>484</v>
      </c>
      <c r="C485" s="3">
        <v>1.52E-2</v>
      </c>
      <c r="D485" s="3">
        <v>0.48</v>
      </c>
      <c r="E485" s="3">
        <v>0.29849999999999999</v>
      </c>
      <c r="F485" s="3">
        <v>0</v>
      </c>
      <c r="G485" s="3">
        <v>3</v>
      </c>
      <c r="H485" s="3">
        <v>3</v>
      </c>
    </row>
    <row r="486" spans="1:8" ht="15.75" customHeight="1" x14ac:dyDescent="0.3">
      <c r="A486" s="3">
        <v>484</v>
      </c>
      <c r="B486" s="3">
        <v>485</v>
      </c>
      <c r="C486" s="3">
        <v>3.0300000000000001E-2</v>
      </c>
      <c r="D486" s="3">
        <v>0.44</v>
      </c>
      <c r="E486" s="3">
        <v>0.22389999999999999</v>
      </c>
      <c r="F486" s="3">
        <v>0</v>
      </c>
      <c r="G486" s="3">
        <v>2</v>
      </c>
      <c r="H486" s="3">
        <v>2</v>
      </c>
    </row>
    <row r="487" spans="1:8" ht="15.75" customHeight="1" x14ac:dyDescent="0.3">
      <c r="A487" s="3">
        <v>485</v>
      </c>
      <c r="B487" s="3">
        <v>486</v>
      </c>
      <c r="C487" s="3">
        <v>1.52E-2</v>
      </c>
      <c r="D487" s="3">
        <v>0.44</v>
      </c>
      <c r="E487" s="3">
        <v>0.28360000000000002</v>
      </c>
      <c r="F487" s="3">
        <v>0</v>
      </c>
      <c r="G487" s="3">
        <v>8</v>
      </c>
      <c r="H487" s="3">
        <v>8</v>
      </c>
    </row>
    <row r="488" spans="1:8" ht="15.75" customHeight="1" x14ac:dyDescent="0.3">
      <c r="A488" s="3">
        <v>486</v>
      </c>
      <c r="B488" s="3">
        <v>487</v>
      </c>
      <c r="C488" s="3">
        <v>0</v>
      </c>
      <c r="D488" s="3">
        <v>0.44</v>
      </c>
      <c r="E488" s="3">
        <v>0.32840000000000003</v>
      </c>
      <c r="F488" s="3">
        <v>1</v>
      </c>
      <c r="G488" s="3">
        <v>26</v>
      </c>
      <c r="H488" s="3">
        <v>27</v>
      </c>
    </row>
    <row r="489" spans="1:8" ht="15.75" customHeight="1" x14ac:dyDescent="0.3">
      <c r="A489" s="3">
        <v>487</v>
      </c>
      <c r="B489" s="3">
        <v>488</v>
      </c>
      <c r="C489" s="3">
        <v>3.0300000000000001E-2</v>
      </c>
      <c r="D489" s="3">
        <v>0.41</v>
      </c>
      <c r="E489" s="3">
        <v>0.25369999999999998</v>
      </c>
      <c r="F489" s="3">
        <v>3</v>
      </c>
      <c r="G489" s="3">
        <v>37</v>
      </c>
      <c r="H489" s="3">
        <v>40</v>
      </c>
    </row>
    <row r="490" spans="1:8" ht="15.75" customHeight="1" x14ac:dyDescent="0.3">
      <c r="A490" s="3">
        <v>488</v>
      </c>
      <c r="B490" s="3">
        <v>489</v>
      </c>
      <c r="C490" s="3">
        <v>6.0600000000000001E-2</v>
      </c>
      <c r="D490" s="3">
        <v>0.41</v>
      </c>
      <c r="E490" s="3">
        <v>0.16420000000000001</v>
      </c>
      <c r="F490" s="3">
        <v>3</v>
      </c>
      <c r="G490" s="3">
        <v>50</v>
      </c>
      <c r="H490" s="3">
        <v>53</v>
      </c>
    </row>
    <row r="491" spans="1:8" ht="15.75" customHeight="1" x14ac:dyDescent="0.3">
      <c r="A491" s="3">
        <v>489</v>
      </c>
      <c r="B491" s="3">
        <v>490</v>
      </c>
      <c r="C491" s="3">
        <v>7.5800000000000006E-2</v>
      </c>
      <c r="D491" s="3">
        <v>0.38</v>
      </c>
      <c r="E491" s="3">
        <v>0.1343</v>
      </c>
      <c r="F491" s="3">
        <v>4</v>
      </c>
      <c r="G491" s="3">
        <v>59</v>
      </c>
      <c r="H491" s="3">
        <v>63</v>
      </c>
    </row>
    <row r="492" spans="1:8" ht="15.75" customHeight="1" x14ac:dyDescent="0.3">
      <c r="A492" s="3">
        <v>490</v>
      </c>
      <c r="B492" s="3">
        <v>491</v>
      </c>
      <c r="C492" s="3">
        <v>0.1061</v>
      </c>
      <c r="D492" s="3">
        <v>0.38</v>
      </c>
      <c r="E492" s="3">
        <v>0.1045</v>
      </c>
      <c r="F492" s="3">
        <v>10</v>
      </c>
      <c r="G492" s="3">
        <v>60</v>
      </c>
      <c r="H492" s="3">
        <v>70</v>
      </c>
    </row>
    <row r="493" spans="1:8" ht="15.75" customHeight="1" x14ac:dyDescent="0.3">
      <c r="A493" s="3">
        <v>491</v>
      </c>
      <c r="B493" s="3">
        <v>492</v>
      </c>
      <c r="C493" s="3">
        <v>0.16669999999999999</v>
      </c>
      <c r="D493" s="3">
        <v>0.35</v>
      </c>
      <c r="E493" s="3">
        <v>0</v>
      </c>
      <c r="F493" s="3">
        <v>12</v>
      </c>
      <c r="G493" s="3">
        <v>72</v>
      </c>
      <c r="H493" s="3">
        <v>84</v>
      </c>
    </row>
    <row r="494" spans="1:8" ht="15.75" customHeight="1" x14ac:dyDescent="0.3">
      <c r="A494" s="3">
        <v>492</v>
      </c>
      <c r="B494" s="3">
        <v>493</v>
      </c>
      <c r="C494" s="3">
        <v>0.13639999999999999</v>
      </c>
      <c r="D494" s="3">
        <v>0.33</v>
      </c>
      <c r="E494" s="3">
        <v>0.1045</v>
      </c>
      <c r="F494" s="3">
        <v>11</v>
      </c>
      <c r="G494" s="3">
        <v>64</v>
      </c>
      <c r="H494" s="3">
        <v>75</v>
      </c>
    </row>
    <row r="495" spans="1:8" ht="15.75" customHeight="1" x14ac:dyDescent="0.3">
      <c r="A495" s="3">
        <v>493</v>
      </c>
      <c r="B495" s="3">
        <v>494</v>
      </c>
      <c r="C495" s="3">
        <v>0.1515</v>
      </c>
      <c r="D495" s="3">
        <v>0.28000000000000003</v>
      </c>
      <c r="E495" s="3">
        <v>0</v>
      </c>
      <c r="F495" s="3">
        <v>10</v>
      </c>
      <c r="G495" s="3">
        <v>93</v>
      </c>
      <c r="H495" s="3">
        <v>103</v>
      </c>
    </row>
    <row r="496" spans="1:8" ht="15.75" customHeight="1" x14ac:dyDescent="0.3">
      <c r="A496" s="3">
        <v>494</v>
      </c>
      <c r="B496" s="3">
        <v>495</v>
      </c>
      <c r="C496" s="3">
        <v>0.13639999999999999</v>
      </c>
      <c r="D496" s="3">
        <v>0.28000000000000003</v>
      </c>
      <c r="E496" s="3">
        <v>0.19400000000000001</v>
      </c>
      <c r="F496" s="3">
        <v>11</v>
      </c>
      <c r="G496" s="3">
        <v>72</v>
      </c>
      <c r="H496" s="3">
        <v>83</v>
      </c>
    </row>
    <row r="497" spans="1:8" ht="15.75" customHeight="1" x14ac:dyDescent="0.3">
      <c r="A497" s="3">
        <v>495</v>
      </c>
      <c r="B497" s="3">
        <v>496</v>
      </c>
      <c r="C497" s="3">
        <v>0.19700000000000001</v>
      </c>
      <c r="D497" s="3">
        <v>0.28000000000000003</v>
      </c>
      <c r="E497" s="3">
        <v>0</v>
      </c>
      <c r="F497" s="3">
        <v>8</v>
      </c>
      <c r="G497" s="3">
        <v>59</v>
      </c>
      <c r="H497" s="3">
        <v>67</v>
      </c>
    </row>
    <row r="498" spans="1:8" ht="15.75" customHeight="1" x14ac:dyDescent="0.3">
      <c r="A498" s="3">
        <v>496</v>
      </c>
      <c r="B498" s="3">
        <v>497</v>
      </c>
      <c r="C498" s="3">
        <v>9.0899999999999995E-2</v>
      </c>
      <c r="D498" s="3">
        <v>0.35</v>
      </c>
      <c r="E498" s="3">
        <v>0.19400000000000001</v>
      </c>
      <c r="F498" s="3">
        <v>0</v>
      </c>
      <c r="G498" s="3">
        <v>54</v>
      </c>
      <c r="H498" s="3">
        <v>54</v>
      </c>
    </row>
    <row r="499" spans="1:8" ht="15.75" customHeight="1" x14ac:dyDescent="0.3">
      <c r="A499" s="3">
        <v>497</v>
      </c>
      <c r="B499" s="3">
        <v>498</v>
      </c>
      <c r="C499" s="3">
        <v>0.1061</v>
      </c>
      <c r="D499" s="3">
        <v>0.35</v>
      </c>
      <c r="E499" s="3">
        <v>0.1343</v>
      </c>
      <c r="F499" s="3">
        <v>6</v>
      </c>
      <c r="G499" s="3">
        <v>53</v>
      </c>
      <c r="H499" s="3">
        <v>59</v>
      </c>
    </row>
    <row r="500" spans="1:8" ht="15.75" customHeight="1" x14ac:dyDescent="0.3">
      <c r="A500" s="3">
        <v>498</v>
      </c>
      <c r="B500" s="3">
        <v>499</v>
      </c>
      <c r="C500" s="3">
        <v>7.5800000000000006E-2</v>
      </c>
      <c r="D500" s="3">
        <v>0.45</v>
      </c>
      <c r="E500" s="3">
        <v>0.16420000000000001</v>
      </c>
      <c r="F500" s="3">
        <v>1</v>
      </c>
      <c r="G500" s="3">
        <v>44</v>
      </c>
      <c r="H500" s="3">
        <v>45</v>
      </c>
    </row>
    <row r="501" spans="1:8" ht="15.75" customHeight="1" x14ac:dyDescent="0.3">
      <c r="A501" s="3">
        <v>499</v>
      </c>
      <c r="B501" s="3">
        <v>500</v>
      </c>
      <c r="C501" s="3">
        <v>0.1061</v>
      </c>
      <c r="D501" s="3">
        <v>0.41</v>
      </c>
      <c r="E501" s="3">
        <v>8.9599999999999999E-2</v>
      </c>
      <c r="F501" s="3">
        <v>0</v>
      </c>
      <c r="G501" s="3">
        <v>39</v>
      </c>
      <c r="H501" s="3">
        <v>39</v>
      </c>
    </row>
    <row r="502" spans="1:8" ht="15.75" customHeight="1" x14ac:dyDescent="0.3">
      <c r="A502" s="3">
        <v>500</v>
      </c>
      <c r="B502" s="3">
        <v>501</v>
      </c>
      <c r="C502" s="3">
        <v>0.1515</v>
      </c>
      <c r="D502" s="3">
        <v>0.49</v>
      </c>
      <c r="E502" s="3">
        <v>0</v>
      </c>
      <c r="F502" s="3">
        <v>7</v>
      </c>
      <c r="G502" s="3">
        <v>23</v>
      </c>
      <c r="H502" s="3">
        <v>30</v>
      </c>
    </row>
    <row r="503" spans="1:8" ht="15.75" customHeight="1" x14ac:dyDescent="0.3">
      <c r="A503" s="3">
        <v>501</v>
      </c>
      <c r="B503" s="3">
        <v>502</v>
      </c>
      <c r="C503" s="3">
        <v>7.5800000000000006E-2</v>
      </c>
      <c r="D503" s="3">
        <v>0.56999999999999995</v>
      </c>
      <c r="E503" s="3">
        <v>0.1045</v>
      </c>
      <c r="F503" s="3">
        <v>2</v>
      </c>
      <c r="G503" s="3">
        <v>31</v>
      </c>
      <c r="H503" s="3">
        <v>33</v>
      </c>
    </row>
    <row r="504" spans="1:8" ht="15.75" customHeight="1" x14ac:dyDescent="0.3">
      <c r="A504" s="3">
        <v>502</v>
      </c>
      <c r="B504" s="3">
        <v>503</v>
      </c>
      <c r="C504" s="3">
        <v>7.5800000000000006E-2</v>
      </c>
      <c r="D504" s="3">
        <v>0.56999999999999995</v>
      </c>
      <c r="E504" s="3">
        <v>0.1045</v>
      </c>
      <c r="F504" s="3">
        <v>2</v>
      </c>
      <c r="G504" s="3">
        <v>20</v>
      </c>
      <c r="H504" s="3">
        <v>22</v>
      </c>
    </row>
    <row r="505" spans="1:8" ht="15.75" customHeight="1" x14ac:dyDescent="0.3">
      <c r="A505" s="3">
        <v>503</v>
      </c>
      <c r="B505" s="3">
        <v>504</v>
      </c>
      <c r="C505" s="3">
        <v>7.5800000000000006E-2</v>
      </c>
      <c r="D505" s="3">
        <v>0.56999999999999995</v>
      </c>
      <c r="E505" s="3">
        <v>0.1045</v>
      </c>
      <c r="F505" s="3">
        <v>1</v>
      </c>
      <c r="G505" s="3">
        <v>12</v>
      </c>
      <c r="H505" s="3">
        <v>13</v>
      </c>
    </row>
    <row r="506" spans="1:8" ht="15.75" customHeight="1" x14ac:dyDescent="0.3">
      <c r="A506" s="3">
        <v>504</v>
      </c>
      <c r="B506" s="3">
        <v>505</v>
      </c>
      <c r="C506" s="3">
        <v>6.0600000000000001E-2</v>
      </c>
      <c r="D506" s="3">
        <v>0.62</v>
      </c>
      <c r="E506" s="3">
        <v>0.1343</v>
      </c>
      <c r="F506" s="3">
        <v>3</v>
      </c>
      <c r="G506" s="3">
        <v>15</v>
      </c>
      <c r="H506" s="3">
        <v>18</v>
      </c>
    </row>
    <row r="507" spans="1:8" ht="15.75" customHeight="1" x14ac:dyDescent="0.3">
      <c r="A507" s="3">
        <v>505</v>
      </c>
      <c r="B507" s="3">
        <v>506</v>
      </c>
      <c r="C507" s="3">
        <v>6.0600000000000001E-2</v>
      </c>
      <c r="D507" s="3">
        <v>0.62</v>
      </c>
      <c r="E507" s="3">
        <v>0.1343</v>
      </c>
      <c r="F507" s="3">
        <v>1</v>
      </c>
      <c r="G507" s="3">
        <v>4</v>
      </c>
      <c r="H507" s="3">
        <v>5</v>
      </c>
    </row>
    <row r="508" spans="1:8" ht="15.75" customHeight="1" x14ac:dyDescent="0.3">
      <c r="A508" s="3">
        <v>506</v>
      </c>
      <c r="B508" s="3">
        <v>507</v>
      </c>
      <c r="C508" s="3">
        <v>7.5800000000000006E-2</v>
      </c>
      <c r="D508" s="3">
        <v>0.56999999999999995</v>
      </c>
      <c r="E508" s="3">
        <v>0.1045</v>
      </c>
      <c r="F508" s="3">
        <v>0</v>
      </c>
      <c r="G508" s="3">
        <v>3</v>
      </c>
      <c r="H508" s="3">
        <v>3</v>
      </c>
    </row>
    <row r="509" spans="1:8" ht="15.75" customHeight="1" x14ac:dyDescent="0.3">
      <c r="A509" s="3">
        <v>507</v>
      </c>
      <c r="B509" s="3">
        <v>508</v>
      </c>
      <c r="C509" s="3">
        <v>7.5800000000000006E-2</v>
      </c>
      <c r="D509" s="3">
        <v>0.56999999999999995</v>
      </c>
      <c r="E509" s="3">
        <v>0.1045</v>
      </c>
      <c r="F509" s="3">
        <v>0</v>
      </c>
      <c r="G509" s="3">
        <v>1</v>
      </c>
      <c r="H509" s="3">
        <v>1</v>
      </c>
    </row>
    <row r="510" spans="1:8" ht="15.75" customHeight="1" x14ac:dyDescent="0.3">
      <c r="A510" s="3">
        <v>508</v>
      </c>
      <c r="B510" s="3">
        <v>509</v>
      </c>
      <c r="C510" s="3">
        <v>0.1061</v>
      </c>
      <c r="D510" s="3">
        <v>0.57999999999999996</v>
      </c>
      <c r="E510" s="3">
        <v>0.16420000000000001</v>
      </c>
      <c r="F510" s="3">
        <v>1</v>
      </c>
      <c r="G510" s="3">
        <v>1</v>
      </c>
      <c r="H510" s="3">
        <v>2</v>
      </c>
    </row>
    <row r="511" spans="1:8" ht="15.75" customHeight="1" x14ac:dyDescent="0.3">
      <c r="A511" s="3">
        <v>509</v>
      </c>
      <c r="B511" s="3">
        <v>510</v>
      </c>
      <c r="C511" s="3">
        <v>7.5800000000000006E-2</v>
      </c>
      <c r="D511" s="3">
        <v>0.62</v>
      </c>
      <c r="E511" s="3">
        <v>0.16420000000000001</v>
      </c>
      <c r="F511" s="3">
        <v>2</v>
      </c>
      <c r="G511" s="3">
        <v>17</v>
      </c>
      <c r="H511" s="3">
        <v>19</v>
      </c>
    </row>
    <row r="512" spans="1:8" ht="15.75" customHeight="1" x14ac:dyDescent="0.3">
      <c r="A512" s="3">
        <v>510</v>
      </c>
      <c r="B512" s="3">
        <v>511</v>
      </c>
      <c r="C512" s="3">
        <v>7.5800000000000006E-2</v>
      </c>
      <c r="D512" s="3">
        <v>0.54</v>
      </c>
      <c r="E512" s="3">
        <v>0.35820000000000002</v>
      </c>
      <c r="F512" s="3">
        <v>3</v>
      </c>
      <c r="G512" s="3">
        <v>25</v>
      </c>
      <c r="H512" s="3">
        <v>28</v>
      </c>
    </row>
    <row r="513" spans="1:8" ht="15.75" customHeight="1" x14ac:dyDescent="0.3">
      <c r="A513" s="3">
        <v>511</v>
      </c>
      <c r="B513" s="3">
        <v>512</v>
      </c>
      <c r="C513" s="3">
        <v>0.1061</v>
      </c>
      <c r="D513" s="3">
        <v>0.46</v>
      </c>
      <c r="E513" s="3">
        <v>0.3881</v>
      </c>
      <c r="F513" s="3">
        <v>7</v>
      </c>
      <c r="G513" s="3">
        <v>51</v>
      </c>
      <c r="H513" s="3">
        <v>58</v>
      </c>
    </row>
    <row r="514" spans="1:8" ht="15.75" customHeight="1" x14ac:dyDescent="0.3">
      <c r="A514" s="3">
        <v>512</v>
      </c>
      <c r="B514" s="3">
        <v>513</v>
      </c>
      <c r="C514" s="3">
        <v>0.13639999999999999</v>
      </c>
      <c r="D514" s="3">
        <v>0.43</v>
      </c>
      <c r="E514" s="3">
        <v>0.22389999999999999</v>
      </c>
      <c r="F514" s="3">
        <v>22</v>
      </c>
      <c r="G514" s="3">
        <v>77</v>
      </c>
      <c r="H514" s="3">
        <v>99</v>
      </c>
    </row>
    <row r="515" spans="1:8" ht="15.75" customHeight="1" x14ac:dyDescent="0.3">
      <c r="A515" s="3">
        <v>513</v>
      </c>
      <c r="B515" s="3">
        <v>514</v>
      </c>
      <c r="C515" s="3">
        <v>0.1212</v>
      </c>
      <c r="D515" s="3">
        <v>0.37</v>
      </c>
      <c r="E515" s="3">
        <v>0.4627</v>
      </c>
      <c r="F515" s="3">
        <v>24</v>
      </c>
      <c r="G515" s="3">
        <v>92</v>
      </c>
      <c r="H515" s="3">
        <v>116</v>
      </c>
    </row>
    <row r="516" spans="1:8" ht="15.75" customHeight="1" x14ac:dyDescent="0.3">
      <c r="A516" s="3">
        <v>514</v>
      </c>
      <c r="B516" s="3">
        <v>515</v>
      </c>
      <c r="C516" s="3">
        <v>0.1061</v>
      </c>
      <c r="D516" s="3">
        <v>0.33</v>
      </c>
      <c r="E516" s="3">
        <v>0.3881</v>
      </c>
      <c r="F516" s="3">
        <v>12</v>
      </c>
      <c r="G516" s="3">
        <v>75</v>
      </c>
      <c r="H516" s="3">
        <v>87</v>
      </c>
    </row>
    <row r="517" spans="1:8" ht="15.75" customHeight="1" x14ac:dyDescent="0.3">
      <c r="A517" s="3">
        <v>515</v>
      </c>
      <c r="B517" s="3">
        <v>516</v>
      </c>
      <c r="C517" s="3">
        <v>0.13639999999999999</v>
      </c>
      <c r="D517" s="3">
        <v>0.28000000000000003</v>
      </c>
      <c r="E517" s="3">
        <v>0.35820000000000002</v>
      </c>
      <c r="F517" s="3">
        <v>17</v>
      </c>
      <c r="G517" s="3">
        <v>93</v>
      </c>
      <c r="H517" s="3">
        <v>110</v>
      </c>
    </row>
    <row r="518" spans="1:8" ht="15.75" customHeight="1" x14ac:dyDescent="0.3">
      <c r="A518" s="3">
        <v>516</v>
      </c>
      <c r="B518" s="3">
        <v>517</v>
      </c>
      <c r="C518" s="3">
        <v>0.13639999999999999</v>
      </c>
      <c r="D518" s="3">
        <v>0.28000000000000003</v>
      </c>
      <c r="E518" s="3">
        <v>0.35820000000000002</v>
      </c>
      <c r="F518" s="3">
        <v>13</v>
      </c>
      <c r="G518" s="3">
        <v>64</v>
      </c>
      <c r="H518" s="3">
        <v>77</v>
      </c>
    </row>
    <row r="519" spans="1:8" ht="15.75" customHeight="1" x14ac:dyDescent="0.3">
      <c r="A519" s="3">
        <v>517</v>
      </c>
      <c r="B519" s="3">
        <v>518</v>
      </c>
      <c r="C519" s="3">
        <v>0.13639999999999999</v>
      </c>
      <c r="D519" s="3">
        <v>0.26</v>
      </c>
      <c r="E519" s="3">
        <v>0.32840000000000003</v>
      </c>
      <c r="F519" s="3">
        <v>9</v>
      </c>
      <c r="G519" s="3">
        <v>56</v>
      </c>
      <c r="H519" s="3">
        <v>65</v>
      </c>
    </row>
    <row r="520" spans="1:8" ht="15.75" customHeight="1" x14ac:dyDescent="0.3">
      <c r="A520" s="3">
        <v>518</v>
      </c>
      <c r="B520" s="3">
        <v>519</v>
      </c>
      <c r="C520" s="3">
        <v>0.1061</v>
      </c>
      <c r="D520" s="3">
        <v>0.26</v>
      </c>
      <c r="E520" s="3">
        <v>0.3881</v>
      </c>
      <c r="F520" s="3">
        <v>5</v>
      </c>
      <c r="G520" s="3">
        <v>50</v>
      </c>
      <c r="H520" s="3">
        <v>55</v>
      </c>
    </row>
    <row r="521" spans="1:8" ht="15.75" customHeight="1" x14ac:dyDescent="0.3">
      <c r="A521" s="3">
        <v>519</v>
      </c>
      <c r="B521" s="3">
        <v>520</v>
      </c>
      <c r="C521" s="3">
        <v>0.1212</v>
      </c>
      <c r="D521" s="3">
        <v>0.3</v>
      </c>
      <c r="E521" s="3">
        <v>0.25369999999999998</v>
      </c>
      <c r="F521" s="3">
        <v>5</v>
      </c>
      <c r="G521" s="3">
        <v>44</v>
      </c>
      <c r="H521" s="3">
        <v>49</v>
      </c>
    </row>
    <row r="522" spans="1:8" ht="15.75" customHeight="1" x14ac:dyDescent="0.3">
      <c r="A522" s="3">
        <v>520</v>
      </c>
      <c r="B522" s="3">
        <v>521</v>
      </c>
      <c r="C522" s="3">
        <v>0.1212</v>
      </c>
      <c r="D522" s="3">
        <v>0.3</v>
      </c>
      <c r="E522" s="3">
        <v>0.28360000000000002</v>
      </c>
      <c r="F522" s="3">
        <v>5</v>
      </c>
      <c r="G522" s="3">
        <v>45</v>
      </c>
      <c r="H522" s="3">
        <v>50</v>
      </c>
    </row>
    <row r="523" spans="1:8" ht="15.75" customHeight="1" x14ac:dyDescent="0.3">
      <c r="A523" s="3">
        <v>521</v>
      </c>
      <c r="B523" s="3">
        <v>522</v>
      </c>
      <c r="C523" s="3">
        <v>0.1061</v>
      </c>
      <c r="D523" s="3">
        <v>0.36</v>
      </c>
      <c r="E523" s="3">
        <v>0.25369999999999998</v>
      </c>
      <c r="F523" s="3">
        <v>4</v>
      </c>
      <c r="G523" s="3">
        <v>31</v>
      </c>
      <c r="H523" s="3">
        <v>35</v>
      </c>
    </row>
    <row r="524" spans="1:8" ht="15.75" customHeight="1" x14ac:dyDescent="0.3">
      <c r="A524" s="3">
        <v>522</v>
      </c>
      <c r="B524" s="3">
        <v>523</v>
      </c>
      <c r="C524" s="3">
        <v>0.1061</v>
      </c>
      <c r="D524" s="3">
        <v>0.36</v>
      </c>
      <c r="E524" s="3">
        <v>0.19400000000000001</v>
      </c>
      <c r="F524" s="3">
        <v>5</v>
      </c>
      <c r="G524" s="3">
        <v>20</v>
      </c>
      <c r="H524" s="3">
        <v>25</v>
      </c>
    </row>
    <row r="525" spans="1:8" ht="15.75" customHeight="1" x14ac:dyDescent="0.3">
      <c r="A525" s="3">
        <v>523</v>
      </c>
      <c r="B525" s="3">
        <v>524</v>
      </c>
      <c r="C525" s="3">
        <v>9.0899999999999995E-2</v>
      </c>
      <c r="D525" s="3">
        <v>0.38</v>
      </c>
      <c r="E525" s="3">
        <v>0.19400000000000001</v>
      </c>
      <c r="F525" s="3">
        <v>5</v>
      </c>
      <c r="G525" s="3">
        <v>23</v>
      </c>
      <c r="H525" s="3">
        <v>28</v>
      </c>
    </row>
    <row r="526" spans="1:8" ht="15.75" customHeight="1" x14ac:dyDescent="0.3">
      <c r="A526" s="3">
        <v>524</v>
      </c>
      <c r="B526" s="3">
        <v>525</v>
      </c>
      <c r="C526" s="3">
        <v>6.0600000000000001E-2</v>
      </c>
      <c r="D526" s="3">
        <v>0.41</v>
      </c>
      <c r="E526" s="3">
        <v>0.22389999999999999</v>
      </c>
      <c r="F526" s="3">
        <v>4</v>
      </c>
      <c r="G526" s="3">
        <v>17</v>
      </c>
      <c r="H526" s="3">
        <v>21</v>
      </c>
    </row>
    <row r="527" spans="1:8" ht="15.75" customHeight="1" x14ac:dyDescent="0.3">
      <c r="A527" s="3">
        <v>525</v>
      </c>
      <c r="B527" s="3">
        <v>526</v>
      </c>
      <c r="C527" s="3">
        <v>6.0600000000000001E-2</v>
      </c>
      <c r="D527" s="3">
        <v>0.41</v>
      </c>
      <c r="E527" s="3">
        <v>0.19400000000000001</v>
      </c>
      <c r="F527" s="3">
        <v>0</v>
      </c>
      <c r="G527" s="3">
        <v>7</v>
      </c>
      <c r="H527" s="3">
        <v>7</v>
      </c>
    </row>
    <row r="528" spans="1:8" ht="15.75" customHeight="1" x14ac:dyDescent="0.3">
      <c r="A528" s="3">
        <v>526</v>
      </c>
      <c r="B528" s="3">
        <v>527</v>
      </c>
      <c r="C528" s="3">
        <v>4.5499999999999999E-2</v>
      </c>
      <c r="D528" s="3">
        <v>0.45</v>
      </c>
      <c r="E528" s="3">
        <v>0.19400000000000001</v>
      </c>
      <c r="F528" s="3">
        <v>0</v>
      </c>
      <c r="G528" s="3">
        <v>1</v>
      </c>
      <c r="H528" s="3">
        <v>1</v>
      </c>
    </row>
    <row r="529" spans="1:8" ht="15.75" customHeight="1" x14ac:dyDescent="0.3">
      <c r="A529" s="3">
        <v>527</v>
      </c>
      <c r="B529" s="3">
        <v>528</v>
      </c>
      <c r="C529" s="3">
        <v>3.0300000000000001E-2</v>
      </c>
      <c r="D529" s="3">
        <v>0.45</v>
      </c>
      <c r="E529" s="3">
        <v>0.25369999999999998</v>
      </c>
      <c r="F529" s="3">
        <v>0</v>
      </c>
      <c r="G529" s="3">
        <v>1</v>
      </c>
      <c r="H529" s="3">
        <v>1</v>
      </c>
    </row>
    <row r="530" spans="1:8" ht="15.75" customHeight="1" x14ac:dyDescent="0.3">
      <c r="A530" s="3">
        <v>528</v>
      </c>
      <c r="B530" s="3">
        <v>529</v>
      </c>
      <c r="C530" s="3">
        <v>6.0600000000000001E-2</v>
      </c>
      <c r="D530" s="3">
        <v>0.48</v>
      </c>
      <c r="E530" s="3">
        <v>0.1343</v>
      </c>
      <c r="F530" s="3">
        <v>0</v>
      </c>
      <c r="G530" s="3">
        <v>1</v>
      </c>
      <c r="H530" s="3">
        <v>1</v>
      </c>
    </row>
    <row r="531" spans="1:8" ht="15.75" customHeight="1" x14ac:dyDescent="0.3">
      <c r="A531" s="3">
        <v>529</v>
      </c>
      <c r="B531" s="3">
        <v>530</v>
      </c>
      <c r="C531" s="3">
        <v>6.0600000000000001E-2</v>
      </c>
      <c r="D531" s="3">
        <v>0.48</v>
      </c>
      <c r="E531" s="3">
        <v>0.1343</v>
      </c>
      <c r="F531" s="3">
        <v>0</v>
      </c>
      <c r="G531" s="3">
        <v>5</v>
      </c>
      <c r="H531" s="3">
        <v>5</v>
      </c>
    </row>
    <row r="532" spans="1:8" ht="15.75" customHeight="1" x14ac:dyDescent="0.3">
      <c r="A532" s="3">
        <v>530</v>
      </c>
      <c r="B532" s="3">
        <v>531</v>
      </c>
      <c r="C532" s="3">
        <v>7.5800000000000006E-2</v>
      </c>
      <c r="D532" s="3">
        <v>0.48</v>
      </c>
      <c r="E532" s="3">
        <v>8.9599999999999999E-2</v>
      </c>
      <c r="F532" s="3">
        <v>0</v>
      </c>
      <c r="G532" s="3">
        <v>15</v>
      </c>
      <c r="H532" s="3">
        <v>15</v>
      </c>
    </row>
    <row r="533" spans="1:8" ht="15.75" customHeight="1" x14ac:dyDescent="0.3">
      <c r="A533" s="3">
        <v>531</v>
      </c>
      <c r="B533" s="3">
        <v>532</v>
      </c>
      <c r="C533" s="3">
        <v>0.1212</v>
      </c>
      <c r="D533" s="3">
        <v>0.48</v>
      </c>
      <c r="E533" s="3">
        <v>0</v>
      </c>
      <c r="F533" s="3">
        <v>5</v>
      </c>
      <c r="G533" s="3">
        <v>79</v>
      </c>
      <c r="H533" s="3">
        <v>84</v>
      </c>
    </row>
    <row r="534" spans="1:8" ht="15.75" customHeight="1" x14ac:dyDescent="0.3">
      <c r="A534" s="3">
        <v>532</v>
      </c>
      <c r="B534" s="3">
        <v>533</v>
      </c>
      <c r="C534" s="3">
        <v>0.13639999999999999</v>
      </c>
      <c r="D534" s="3">
        <v>0.49</v>
      </c>
      <c r="E534" s="3">
        <v>0</v>
      </c>
      <c r="F534" s="3">
        <v>6</v>
      </c>
      <c r="G534" s="3">
        <v>171</v>
      </c>
      <c r="H534" s="3">
        <v>177</v>
      </c>
    </row>
    <row r="535" spans="1:8" ht="15.75" customHeight="1" x14ac:dyDescent="0.3">
      <c r="A535" s="3">
        <v>533</v>
      </c>
      <c r="B535" s="3">
        <v>534</v>
      </c>
      <c r="C535" s="3">
        <v>0.1515</v>
      </c>
      <c r="D535" s="3">
        <v>0.41</v>
      </c>
      <c r="E535" s="3">
        <v>0</v>
      </c>
      <c r="F535" s="3">
        <v>4</v>
      </c>
      <c r="G535" s="3">
        <v>98</v>
      </c>
      <c r="H535" s="3">
        <v>102</v>
      </c>
    </row>
    <row r="536" spans="1:8" ht="15.75" customHeight="1" x14ac:dyDescent="0.3">
      <c r="A536" s="3">
        <v>534</v>
      </c>
      <c r="B536" s="3">
        <v>535</v>
      </c>
      <c r="C536" s="3">
        <v>0.13639999999999999</v>
      </c>
      <c r="D536" s="3">
        <v>0.42</v>
      </c>
      <c r="E536" s="3">
        <v>0</v>
      </c>
      <c r="F536" s="3">
        <v>6</v>
      </c>
      <c r="G536" s="3">
        <v>34</v>
      </c>
      <c r="H536" s="3">
        <v>40</v>
      </c>
    </row>
    <row r="537" spans="1:8" ht="15.75" customHeight="1" x14ac:dyDescent="0.3">
      <c r="A537" s="3">
        <v>535</v>
      </c>
      <c r="B537" s="3">
        <v>536</v>
      </c>
      <c r="C537" s="3">
        <v>0.1212</v>
      </c>
      <c r="D537" s="3">
        <v>0.46</v>
      </c>
      <c r="E537" s="3">
        <v>0.1343</v>
      </c>
      <c r="F537" s="3">
        <v>3</v>
      </c>
      <c r="G537" s="3">
        <v>43</v>
      </c>
      <c r="H537" s="3">
        <v>46</v>
      </c>
    </row>
    <row r="538" spans="1:8" ht="15.75" customHeight="1" x14ac:dyDescent="0.3">
      <c r="A538" s="3">
        <v>536</v>
      </c>
      <c r="B538" s="3">
        <v>537</v>
      </c>
      <c r="C538" s="3">
        <v>0.13639999999999999</v>
      </c>
      <c r="D538" s="3">
        <v>0.42</v>
      </c>
      <c r="E538" s="3">
        <v>0.19400000000000001</v>
      </c>
      <c r="F538" s="3">
        <v>11</v>
      </c>
      <c r="G538" s="3">
        <v>52</v>
      </c>
      <c r="H538" s="3">
        <v>63</v>
      </c>
    </row>
    <row r="539" spans="1:8" ht="15.75" customHeight="1" x14ac:dyDescent="0.3">
      <c r="A539" s="3">
        <v>537</v>
      </c>
      <c r="B539" s="3">
        <v>538</v>
      </c>
      <c r="C539" s="3">
        <v>0.13639999999999999</v>
      </c>
      <c r="D539" s="3">
        <v>0.43</v>
      </c>
      <c r="E539" s="3">
        <v>0.22389999999999999</v>
      </c>
      <c r="F539" s="3">
        <v>6</v>
      </c>
      <c r="G539" s="3">
        <v>54</v>
      </c>
      <c r="H539" s="3">
        <v>60</v>
      </c>
    </row>
    <row r="540" spans="1:8" ht="15.75" customHeight="1" x14ac:dyDescent="0.3">
      <c r="A540" s="3">
        <v>538</v>
      </c>
      <c r="B540" s="3">
        <v>539</v>
      </c>
      <c r="C540" s="3">
        <v>0.13639999999999999</v>
      </c>
      <c r="D540" s="3">
        <v>0.46</v>
      </c>
      <c r="E540" s="3">
        <v>0.22389999999999999</v>
      </c>
      <c r="F540" s="3">
        <v>2</v>
      </c>
      <c r="G540" s="3">
        <v>43</v>
      </c>
      <c r="H540" s="3">
        <v>45</v>
      </c>
    </row>
    <row r="541" spans="1:8" ht="15.75" customHeight="1" x14ac:dyDescent="0.3">
      <c r="A541" s="3">
        <v>539</v>
      </c>
      <c r="B541" s="3">
        <v>540</v>
      </c>
      <c r="C541" s="3">
        <v>0.16669999999999999</v>
      </c>
      <c r="D541" s="3">
        <v>0.4</v>
      </c>
      <c r="E541" s="3">
        <v>0.16420000000000001</v>
      </c>
      <c r="F541" s="3">
        <v>7</v>
      </c>
      <c r="G541" s="3">
        <v>50</v>
      </c>
      <c r="H541" s="3">
        <v>57</v>
      </c>
    </row>
    <row r="542" spans="1:8" ht="15.75" customHeight="1" x14ac:dyDescent="0.3">
      <c r="A542" s="3">
        <v>540</v>
      </c>
      <c r="B542" s="3">
        <v>541</v>
      </c>
      <c r="C542" s="3">
        <v>0.1515</v>
      </c>
      <c r="D542" s="3">
        <v>0.47</v>
      </c>
      <c r="E542" s="3">
        <v>0.25369999999999998</v>
      </c>
      <c r="F542" s="3">
        <v>4</v>
      </c>
      <c r="G542" s="3">
        <v>66</v>
      </c>
      <c r="H542" s="3">
        <v>70</v>
      </c>
    </row>
    <row r="543" spans="1:8" ht="15.75" customHeight="1" x14ac:dyDescent="0.3">
      <c r="A543" s="3">
        <v>541</v>
      </c>
      <c r="B543" s="3">
        <v>542</v>
      </c>
      <c r="C543" s="3">
        <v>0.1212</v>
      </c>
      <c r="D543" s="3">
        <v>0.5</v>
      </c>
      <c r="E543" s="3">
        <v>0.25369999999999998</v>
      </c>
      <c r="F543" s="3">
        <v>6</v>
      </c>
      <c r="G543" s="3">
        <v>178</v>
      </c>
      <c r="H543" s="3">
        <v>184</v>
      </c>
    </row>
    <row r="544" spans="1:8" ht="15.75" customHeight="1" x14ac:dyDescent="0.3">
      <c r="A544" s="3">
        <v>542</v>
      </c>
      <c r="B544" s="3">
        <v>543</v>
      </c>
      <c r="C544" s="3">
        <v>0.13639999999999999</v>
      </c>
      <c r="D544" s="3">
        <v>0.59</v>
      </c>
      <c r="E544" s="3">
        <v>0.19400000000000001</v>
      </c>
      <c r="F544" s="3">
        <v>8</v>
      </c>
      <c r="G544" s="3">
        <v>145</v>
      </c>
      <c r="H544" s="3">
        <v>153</v>
      </c>
    </row>
    <row r="545" spans="1:8" ht="15.75" customHeight="1" x14ac:dyDescent="0.3">
      <c r="A545" s="3">
        <v>543</v>
      </c>
      <c r="B545" s="3">
        <v>544</v>
      </c>
      <c r="C545" s="3">
        <v>0.1515</v>
      </c>
      <c r="D545" s="3">
        <v>0.54</v>
      </c>
      <c r="E545" s="3">
        <v>0.16420000000000001</v>
      </c>
      <c r="F545" s="3">
        <v>5</v>
      </c>
      <c r="G545" s="3">
        <v>101</v>
      </c>
      <c r="H545" s="3">
        <v>106</v>
      </c>
    </row>
    <row r="546" spans="1:8" ht="15.75" customHeight="1" x14ac:dyDescent="0.3">
      <c r="A546" s="3">
        <v>544</v>
      </c>
      <c r="B546" s="3">
        <v>545</v>
      </c>
      <c r="C546" s="3">
        <v>0.13639999999999999</v>
      </c>
      <c r="D546" s="3">
        <v>0.59</v>
      </c>
      <c r="E546" s="3">
        <v>0.19400000000000001</v>
      </c>
      <c r="F546" s="3">
        <v>1</v>
      </c>
      <c r="G546" s="3">
        <v>80</v>
      </c>
      <c r="H546" s="3">
        <v>81</v>
      </c>
    </row>
    <row r="547" spans="1:8" ht="15.75" customHeight="1" x14ac:dyDescent="0.3">
      <c r="A547" s="3">
        <v>545</v>
      </c>
      <c r="B547" s="3">
        <v>546</v>
      </c>
      <c r="C547" s="3">
        <v>0.1515</v>
      </c>
      <c r="D547" s="3">
        <v>0.63</v>
      </c>
      <c r="E547" s="3">
        <v>0.16420000000000001</v>
      </c>
      <c r="F547" s="3">
        <v>6</v>
      </c>
      <c r="G547" s="3">
        <v>53</v>
      </c>
      <c r="H547" s="3">
        <v>59</v>
      </c>
    </row>
    <row r="548" spans="1:8" ht="15.75" customHeight="1" x14ac:dyDescent="0.3">
      <c r="A548" s="3">
        <v>546</v>
      </c>
      <c r="B548" s="3">
        <v>547</v>
      </c>
      <c r="C548" s="3">
        <v>0.13639999999999999</v>
      </c>
      <c r="D548" s="3">
        <v>0.63</v>
      </c>
      <c r="E548" s="3">
        <v>0.22389999999999999</v>
      </c>
      <c r="F548" s="3">
        <v>3</v>
      </c>
      <c r="G548" s="3">
        <v>32</v>
      </c>
      <c r="H548" s="3">
        <v>35</v>
      </c>
    </row>
    <row r="549" spans="1:8" ht="15.75" customHeight="1" x14ac:dyDescent="0.3">
      <c r="A549" s="3">
        <v>547</v>
      </c>
      <c r="B549" s="3">
        <v>548</v>
      </c>
      <c r="C549" s="3">
        <v>0.1515</v>
      </c>
      <c r="D549" s="3">
        <v>0.64</v>
      </c>
      <c r="E549" s="3">
        <v>0.25369999999999998</v>
      </c>
      <c r="F549" s="3">
        <v>3</v>
      </c>
      <c r="G549" s="3">
        <v>21</v>
      </c>
      <c r="H549" s="3">
        <v>24</v>
      </c>
    </row>
    <row r="550" spans="1:8" ht="15.75" customHeight="1" x14ac:dyDescent="0.3">
      <c r="A550" s="3">
        <v>548</v>
      </c>
      <c r="B550" s="3">
        <v>549</v>
      </c>
      <c r="C550" s="3">
        <v>0.13639999999999999</v>
      </c>
      <c r="D550" s="3">
        <v>0.69</v>
      </c>
      <c r="E550" s="3">
        <v>0.28360000000000002</v>
      </c>
      <c r="F550" s="3">
        <v>3</v>
      </c>
      <c r="G550" s="3">
        <v>6</v>
      </c>
      <c r="H550" s="3">
        <v>9</v>
      </c>
    </row>
    <row r="551" spans="1:8" ht="15.75" customHeight="1" x14ac:dyDescent="0.3">
      <c r="A551" s="3">
        <v>549</v>
      </c>
      <c r="B551" s="3">
        <v>550</v>
      </c>
      <c r="C551" s="3">
        <v>0.16669999999999999</v>
      </c>
      <c r="D551" s="3">
        <v>0.69</v>
      </c>
      <c r="E551" s="3">
        <v>0.16420000000000001</v>
      </c>
      <c r="F551" s="3">
        <v>0</v>
      </c>
      <c r="G551" s="3">
        <v>5</v>
      </c>
      <c r="H551" s="3">
        <v>5</v>
      </c>
    </row>
    <row r="552" spans="1:8" ht="15.75" customHeight="1" x14ac:dyDescent="0.3">
      <c r="A552" s="3">
        <v>550</v>
      </c>
      <c r="B552" s="3">
        <v>551</v>
      </c>
      <c r="C552" s="3">
        <v>0.1515</v>
      </c>
      <c r="D552" s="3">
        <v>0.69</v>
      </c>
      <c r="E552" s="3">
        <v>0.22389999999999999</v>
      </c>
      <c r="F552" s="3">
        <v>0</v>
      </c>
      <c r="G552" s="3">
        <v>2</v>
      </c>
      <c r="H552" s="3">
        <v>2</v>
      </c>
    </row>
    <row r="553" spans="1:8" ht="15.75" customHeight="1" x14ac:dyDescent="0.3">
      <c r="A553" s="3">
        <v>551</v>
      </c>
      <c r="B553" s="3">
        <v>552</v>
      </c>
      <c r="C553" s="3">
        <v>0.16669999999999999</v>
      </c>
      <c r="D553" s="3">
        <v>0.74</v>
      </c>
      <c r="E553" s="3">
        <v>0.1045</v>
      </c>
      <c r="F553" s="3">
        <v>0</v>
      </c>
      <c r="G553" s="3">
        <v>1</v>
      </c>
      <c r="H553" s="3">
        <v>1</v>
      </c>
    </row>
    <row r="554" spans="1:8" ht="15.75" customHeight="1" x14ac:dyDescent="0.3">
      <c r="A554" s="3">
        <v>552</v>
      </c>
      <c r="B554" s="3">
        <v>553</v>
      </c>
      <c r="C554" s="3">
        <v>0.13639999999999999</v>
      </c>
      <c r="D554" s="3">
        <v>0.74</v>
      </c>
      <c r="E554" s="3">
        <v>0.22389999999999999</v>
      </c>
      <c r="F554" s="3">
        <v>0</v>
      </c>
      <c r="G554" s="3">
        <v>9</v>
      </c>
      <c r="H554" s="3">
        <v>9</v>
      </c>
    </row>
    <row r="555" spans="1:8" ht="15.75" customHeight="1" x14ac:dyDescent="0.3">
      <c r="A555" s="3">
        <v>553</v>
      </c>
      <c r="B555" s="3">
        <v>554</v>
      </c>
      <c r="C555" s="3">
        <v>0.18179999999999999</v>
      </c>
      <c r="D555" s="3">
        <v>0.74</v>
      </c>
      <c r="E555" s="3">
        <v>0.1045</v>
      </c>
      <c r="F555" s="3">
        <v>1</v>
      </c>
      <c r="G555" s="3">
        <v>35</v>
      </c>
      <c r="H555" s="3">
        <v>36</v>
      </c>
    </row>
    <row r="556" spans="1:8" ht="15.75" customHeight="1" x14ac:dyDescent="0.3">
      <c r="A556" s="3">
        <v>554</v>
      </c>
      <c r="B556" s="3">
        <v>555</v>
      </c>
      <c r="C556" s="3">
        <v>0.1515</v>
      </c>
      <c r="D556" s="3">
        <v>0.74</v>
      </c>
      <c r="E556" s="3">
        <v>0.22389999999999999</v>
      </c>
      <c r="F556" s="3">
        <v>5</v>
      </c>
      <c r="G556" s="3">
        <v>103</v>
      </c>
      <c r="H556" s="3">
        <v>108</v>
      </c>
    </row>
    <row r="557" spans="1:8" ht="15.75" customHeight="1" x14ac:dyDescent="0.3">
      <c r="A557" s="3">
        <v>555</v>
      </c>
      <c r="B557" s="3">
        <v>556</v>
      </c>
      <c r="C557" s="3">
        <v>0.18179999999999999</v>
      </c>
      <c r="D557" s="3">
        <v>0.74</v>
      </c>
      <c r="E557" s="3">
        <v>0.1343</v>
      </c>
      <c r="F557" s="3">
        <v>5</v>
      </c>
      <c r="G557" s="3">
        <v>233</v>
      </c>
      <c r="H557" s="3">
        <v>238</v>
      </c>
    </row>
    <row r="558" spans="1:8" ht="15.75" customHeight="1" x14ac:dyDescent="0.3">
      <c r="A558" s="3">
        <v>556</v>
      </c>
      <c r="B558" s="3">
        <v>557</v>
      </c>
      <c r="C558" s="3">
        <v>0.2273</v>
      </c>
      <c r="D558" s="3">
        <v>0.64</v>
      </c>
      <c r="E558" s="3">
        <v>8.9599999999999999E-2</v>
      </c>
      <c r="F558" s="3">
        <v>10</v>
      </c>
      <c r="G558" s="3">
        <v>134</v>
      </c>
      <c r="H558" s="3">
        <v>144</v>
      </c>
    </row>
    <row r="559" spans="1:8" ht="15.75" customHeight="1" x14ac:dyDescent="0.3">
      <c r="A559" s="3">
        <v>557</v>
      </c>
      <c r="B559" s="3">
        <v>558</v>
      </c>
      <c r="C559" s="3">
        <v>0.2424</v>
      </c>
      <c r="D559" s="3">
        <v>0.6</v>
      </c>
      <c r="E559" s="3">
        <v>0.1045</v>
      </c>
      <c r="F559" s="3">
        <v>6</v>
      </c>
      <c r="G559" s="3">
        <v>49</v>
      </c>
      <c r="H559" s="3">
        <v>55</v>
      </c>
    </row>
    <row r="560" spans="1:8" ht="15.75" customHeight="1" x14ac:dyDescent="0.3">
      <c r="A560" s="3">
        <v>558</v>
      </c>
      <c r="B560" s="3">
        <v>559</v>
      </c>
      <c r="C560" s="3">
        <v>0.2424</v>
      </c>
      <c r="D560" s="3">
        <v>0.6</v>
      </c>
      <c r="E560" s="3">
        <v>0.1343</v>
      </c>
      <c r="F560" s="3">
        <v>6</v>
      </c>
      <c r="G560" s="3">
        <v>55</v>
      </c>
      <c r="H560" s="3">
        <v>61</v>
      </c>
    </row>
    <row r="561" spans="1:8" ht="15.75" customHeight="1" x14ac:dyDescent="0.3">
      <c r="A561" s="3">
        <v>559</v>
      </c>
      <c r="B561" s="3">
        <v>560</v>
      </c>
      <c r="C561" s="3">
        <v>0.28789999999999999</v>
      </c>
      <c r="D561" s="3">
        <v>0.56000000000000005</v>
      </c>
      <c r="E561" s="3">
        <v>8.9599999999999999E-2</v>
      </c>
      <c r="F561" s="3">
        <v>21</v>
      </c>
      <c r="G561" s="3">
        <v>85</v>
      </c>
      <c r="H561" s="3">
        <v>106</v>
      </c>
    </row>
    <row r="562" spans="1:8" ht="15.75" customHeight="1" x14ac:dyDescent="0.3">
      <c r="A562" s="3">
        <v>560</v>
      </c>
      <c r="B562" s="3">
        <v>561</v>
      </c>
      <c r="C562" s="3">
        <v>0.2727</v>
      </c>
      <c r="D562" s="3">
        <v>0.56000000000000005</v>
      </c>
      <c r="E562" s="3">
        <v>0.1343</v>
      </c>
      <c r="F562" s="3">
        <v>21</v>
      </c>
      <c r="G562" s="3">
        <v>72</v>
      </c>
      <c r="H562" s="3">
        <v>93</v>
      </c>
    </row>
    <row r="563" spans="1:8" ht="15.75" customHeight="1" x14ac:dyDescent="0.3">
      <c r="A563" s="3">
        <v>561</v>
      </c>
      <c r="B563" s="3">
        <v>562</v>
      </c>
      <c r="C563" s="3">
        <v>0.33329999999999999</v>
      </c>
      <c r="D563" s="3">
        <v>0.45</v>
      </c>
      <c r="E563" s="3">
        <v>0</v>
      </c>
      <c r="F563" s="3">
        <v>11</v>
      </c>
      <c r="G563" s="3">
        <v>57</v>
      </c>
      <c r="H563" s="3">
        <v>68</v>
      </c>
    </row>
    <row r="564" spans="1:8" ht="15.75" customHeight="1" x14ac:dyDescent="0.3">
      <c r="A564" s="3">
        <v>562</v>
      </c>
      <c r="B564" s="3">
        <v>563</v>
      </c>
      <c r="C564" s="3">
        <v>0.34849999999999998</v>
      </c>
      <c r="D564" s="3">
        <v>0.42</v>
      </c>
      <c r="E564" s="3">
        <v>0</v>
      </c>
      <c r="F564" s="3">
        <v>21</v>
      </c>
      <c r="G564" s="3">
        <v>63</v>
      </c>
      <c r="H564" s="3">
        <v>84</v>
      </c>
    </row>
    <row r="565" spans="1:8" ht="15.75" customHeight="1" x14ac:dyDescent="0.3">
      <c r="A565" s="3">
        <v>563</v>
      </c>
      <c r="B565" s="3">
        <v>564</v>
      </c>
      <c r="C565" s="3">
        <v>0.34849999999999998</v>
      </c>
      <c r="D565" s="3">
        <v>0.42</v>
      </c>
      <c r="E565" s="3">
        <v>0</v>
      </c>
      <c r="F565" s="3">
        <v>14</v>
      </c>
      <c r="G565" s="3">
        <v>102</v>
      </c>
      <c r="H565" s="3">
        <v>116</v>
      </c>
    </row>
    <row r="566" spans="1:8" ht="15.75" customHeight="1" x14ac:dyDescent="0.3">
      <c r="A566" s="3">
        <v>564</v>
      </c>
      <c r="B566" s="3">
        <v>565</v>
      </c>
      <c r="C566" s="3">
        <v>0.33329999999999999</v>
      </c>
      <c r="D566" s="3">
        <v>0.45</v>
      </c>
      <c r="E566" s="3">
        <v>0</v>
      </c>
      <c r="F566" s="3">
        <v>14</v>
      </c>
      <c r="G566" s="3">
        <v>208</v>
      </c>
      <c r="H566" s="3">
        <v>222</v>
      </c>
    </row>
    <row r="567" spans="1:8" ht="15.75" customHeight="1" x14ac:dyDescent="0.3">
      <c r="A567" s="3">
        <v>565</v>
      </c>
      <c r="B567" s="3">
        <v>566</v>
      </c>
      <c r="C567" s="3">
        <v>0.31819999999999998</v>
      </c>
      <c r="D567" s="3">
        <v>0.49</v>
      </c>
      <c r="E567" s="3">
        <v>8.9599999999999999E-2</v>
      </c>
      <c r="F567" s="3">
        <v>7</v>
      </c>
      <c r="G567" s="3">
        <v>218</v>
      </c>
      <c r="H567" s="3">
        <v>225</v>
      </c>
    </row>
    <row r="568" spans="1:8" ht="15.75" customHeight="1" x14ac:dyDescent="0.3">
      <c r="A568" s="3">
        <v>566</v>
      </c>
      <c r="B568" s="3">
        <v>567</v>
      </c>
      <c r="C568" s="3">
        <v>0.2576</v>
      </c>
      <c r="D568" s="3">
        <v>0.65</v>
      </c>
      <c r="E568" s="3">
        <v>0.16420000000000001</v>
      </c>
      <c r="F568" s="3">
        <v>13</v>
      </c>
      <c r="G568" s="3">
        <v>133</v>
      </c>
      <c r="H568" s="3">
        <v>146</v>
      </c>
    </row>
    <row r="569" spans="1:8" ht="15.75" customHeight="1" x14ac:dyDescent="0.3">
      <c r="A569" s="3">
        <v>567</v>
      </c>
      <c r="B569" s="3">
        <v>568</v>
      </c>
      <c r="C569" s="3">
        <v>0.2273</v>
      </c>
      <c r="D569" s="3">
        <v>0.65</v>
      </c>
      <c r="E569" s="3">
        <v>0.19400000000000001</v>
      </c>
      <c r="F569" s="3">
        <v>16</v>
      </c>
      <c r="G569" s="3">
        <v>103</v>
      </c>
      <c r="H569" s="3">
        <v>119</v>
      </c>
    </row>
    <row r="570" spans="1:8" ht="15.75" customHeight="1" x14ac:dyDescent="0.3">
      <c r="A570" s="3">
        <v>568</v>
      </c>
      <c r="B570" s="3">
        <v>569</v>
      </c>
      <c r="C570" s="3">
        <v>0.2273</v>
      </c>
      <c r="D570" s="3">
        <v>0.65</v>
      </c>
      <c r="E570" s="3">
        <v>0.19400000000000001</v>
      </c>
      <c r="F570" s="3">
        <v>5</v>
      </c>
      <c r="G570" s="3">
        <v>40</v>
      </c>
      <c r="H570" s="3">
        <v>45</v>
      </c>
    </row>
    <row r="571" spans="1:8" ht="15.75" customHeight="1" x14ac:dyDescent="0.3">
      <c r="A571" s="3">
        <v>569</v>
      </c>
      <c r="B571" s="3">
        <v>570</v>
      </c>
      <c r="C571" s="3">
        <v>0.2273</v>
      </c>
      <c r="D571" s="3">
        <v>0.64</v>
      </c>
      <c r="E571" s="3">
        <v>0.16420000000000001</v>
      </c>
      <c r="F571" s="3">
        <v>4</v>
      </c>
      <c r="G571" s="3">
        <v>49</v>
      </c>
      <c r="H571" s="3">
        <v>53</v>
      </c>
    </row>
    <row r="572" spans="1:8" ht="15.75" customHeight="1" x14ac:dyDescent="0.3">
      <c r="A572" s="3">
        <v>570</v>
      </c>
      <c r="B572" s="3">
        <v>571</v>
      </c>
      <c r="C572" s="3">
        <v>0.2273</v>
      </c>
      <c r="D572" s="3">
        <v>0.64</v>
      </c>
      <c r="E572" s="3">
        <v>0.16420000000000001</v>
      </c>
      <c r="F572" s="3">
        <v>3</v>
      </c>
      <c r="G572" s="3">
        <v>37</v>
      </c>
      <c r="H572" s="3">
        <v>40</v>
      </c>
    </row>
    <row r="573" spans="1:8" ht="15.75" customHeight="1" x14ac:dyDescent="0.3">
      <c r="A573" s="3">
        <v>571</v>
      </c>
      <c r="B573" s="3">
        <v>572</v>
      </c>
      <c r="C573" s="3">
        <v>0.2273</v>
      </c>
      <c r="D573" s="3">
        <v>0.69</v>
      </c>
      <c r="E573" s="3">
        <v>0.1343</v>
      </c>
      <c r="F573" s="3">
        <v>3</v>
      </c>
      <c r="G573" s="3">
        <v>14</v>
      </c>
      <c r="H573" s="3">
        <v>17</v>
      </c>
    </row>
    <row r="574" spans="1:8" ht="15.75" customHeight="1" x14ac:dyDescent="0.3">
      <c r="A574" s="3">
        <v>572</v>
      </c>
      <c r="B574" s="3">
        <v>573</v>
      </c>
      <c r="C574" s="3">
        <v>0.2424</v>
      </c>
      <c r="D574" s="3">
        <v>0.65</v>
      </c>
      <c r="E574" s="3">
        <v>0.1343</v>
      </c>
      <c r="F574" s="3">
        <v>0</v>
      </c>
      <c r="G574" s="3">
        <v>5</v>
      </c>
      <c r="H574" s="3">
        <v>5</v>
      </c>
    </row>
    <row r="575" spans="1:8" ht="15.75" customHeight="1" x14ac:dyDescent="0.3">
      <c r="A575" s="3">
        <v>573</v>
      </c>
      <c r="B575" s="3">
        <v>574</v>
      </c>
      <c r="C575" s="3">
        <v>0.2273</v>
      </c>
      <c r="D575" s="3">
        <v>0.69</v>
      </c>
      <c r="E575" s="3">
        <v>0.19400000000000001</v>
      </c>
      <c r="F575" s="3">
        <v>3</v>
      </c>
      <c r="G575" s="3">
        <v>7</v>
      </c>
      <c r="H575" s="3">
        <v>10</v>
      </c>
    </row>
    <row r="576" spans="1:8" ht="15.75" customHeight="1" x14ac:dyDescent="0.3">
      <c r="A576" s="3">
        <v>574</v>
      </c>
      <c r="B576" s="3">
        <v>575</v>
      </c>
      <c r="C576" s="3">
        <v>0.18179999999999999</v>
      </c>
      <c r="D576" s="3">
        <v>0.86</v>
      </c>
      <c r="E576" s="3">
        <v>0.28360000000000002</v>
      </c>
      <c r="F576" s="3">
        <v>0</v>
      </c>
      <c r="G576" s="3">
        <v>1</v>
      </c>
      <c r="H576" s="3">
        <v>1</v>
      </c>
    </row>
    <row r="577" spans="1:8" ht="15.75" customHeight="1" x14ac:dyDescent="0.3">
      <c r="A577" s="3">
        <v>575</v>
      </c>
      <c r="B577" s="3">
        <v>576</v>
      </c>
      <c r="C577" s="3">
        <v>0.18179999999999999</v>
      </c>
      <c r="D577" s="3">
        <v>0.86</v>
      </c>
      <c r="E577" s="3">
        <v>0.28360000000000002</v>
      </c>
      <c r="F577" s="3">
        <v>0</v>
      </c>
      <c r="G577" s="3">
        <v>8</v>
      </c>
      <c r="H577" s="3">
        <v>8</v>
      </c>
    </row>
    <row r="578" spans="1:8" ht="15.75" customHeight="1" x14ac:dyDescent="0.3">
      <c r="A578" s="3">
        <v>576</v>
      </c>
      <c r="B578" s="3">
        <v>577</v>
      </c>
      <c r="C578" s="3">
        <v>0.21210000000000001</v>
      </c>
      <c r="D578" s="3">
        <v>0.87</v>
      </c>
      <c r="E578" s="3">
        <v>0.29849999999999999</v>
      </c>
      <c r="F578" s="3">
        <v>1</v>
      </c>
      <c r="G578" s="3">
        <v>29</v>
      </c>
      <c r="H578" s="3">
        <v>30</v>
      </c>
    </row>
    <row r="579" spans="1:8" ht="15.75" customHeight="1" x14ac:dyDescent="0.3">
      <c r="A579" s="3">
        <v>577</v>
      </c>
      <c r="B579" s="3">
        <v>578</v>
      </c>
      <c r="C579" s="3">
        <v>0.21210000000000001</v>
      </c>
      <c r="D579" s="3">
        <v>0.87</v>
      </c>
      <c r="E579" s="3">
        <v>0.29849999999999999</v>
      </c>
      <c r="F579" s="3">
        <v>3</v>
      </c>
      <c r="G579" s="3">
        <v>69</v>
      </c>
      <c r="H579" s="3">
        <v>72</v>
      </c>
    </row>
    <row r="580" spans="1:8" ht="15.75" customHeight="1" x14ac:dyDescent="0.3">
      <c r="A580" s="3">
        <v>578</v>
      </c>
      <c r="B580" s="3">
        <v>579</v>
      </c>
      <c r="C580" s="3">
        <v>0.21210000000000001</v>
      </c>
      <c r="D580" s="3">
        <v>0.87</v>
      </c>
      <c r="E580" s="3">
        <v>0.29849999999999999</v>
      </c>
      <c r="F580" s="3">
        <v>3</v>
      </c>
      <c r="G580" s="3">
        <v>55</v>
      </c>
      <c r="H580" s="3">
        <v>58</v>
      </c>
    </row>
    <row r="581" spans="1:8" ht="15.75" customHeight="1" x14ac:dyDescent="0.3">
      <c r="A581" s="3">
        <v>579</v>
      </c>
      <c r="B581" s="3">
        <v>580</v>
      </c>
      <c r="C581" s="3">
        <v>0.21210000000000001</v>
      </c>
      <c r="D581" s="3">
        <v>0.93</v>
      </c>
      <c r="E581" s="3">
        <v>0.28360000000000002</v>
      </c>
      <c r="F581" s="3">
        <v>2</v>
      </c>
      <c r="G581" s="3">
        <v>26</v>
      </c>
      <c r="H581" s="3">
        <v>28</v>
      </c>
    </row>
    <row r="582" spans="1:8" ht="15.75" customHeight="1" x14ac:dyDescent="0.3">
      <c r="A582" s="3">
        <v>580</v>
      </c>
      <c r="B582" s="3">
        <v>581</v>
      </c>
      <c r="C582" s="3">
        <v>0.19700000000000001</v>
      </c>
      <c r="D582" s="3">
        <v>0.93</v>
      </c>
      <c r="E582" s="3">
        <v>0.32840000000000003</v>
      </c>
      <c r="F582" s="3">
        <v>6</v>
      </c>
      <c r="G582" s="3">
        <v>35</v>
      </c>
      <c r="H582" s="3">
        <v>41</v>
      </c>
    </row>
    <row r="583" spans="1:8" ht="15.75" customHeight="1" x14ac:dyDescent="0.3">
      <c r="A583" s="3">
        <v>581</v>
      </c>
      <c r="B583" s="3">
        <v>582</v>
      </c>
      <c r="C583" s="3">
        <v>0.19700000000000001</v>
      </c>
      <c r="D583" s="3">
        <v>0.93</v>
      </c>
      <c r="E583" s="3">
        <v>0.32840000000000003</v>
      </c>
      <c r="F583" s="3">
        <v>7</v>
      </c>
      <c r="G583" s="3">
        <v>41</v>
      </c>
      <c r="H583" s="3">
        <v>48</v>
      </c>
    </row>
    <row r="584" spans="1:8" ht="15.75" customHeight="1" x14ac:dyDescent="0.3">
      <c r="A584" s="3">
        <v>582</v>
      </c>
      <c r="B584" s="3">
        <v>583</v>
      </c>
      <c r="C584" s="3">
        <v>0.19700000000000001</v>
      </c>
      <c r="D584" s="3">
        <v>0.93</v>
      </c>
      <c r="E584" s="3">
        <v>0.32840000000000003</v>
      </c>
      <c r="F584" s="3">
        <v>4</v>
      </c>
      <c r="G584" s="3">
        <v>43</v>
      </c>
      <c r="H584" s="3">
        <v>47</v>
      </c>
    </row>
    <row r="585" spans="1:8" ht="15.75" customHeight="1" x14ac:dyDescent="0.3">
      <c r="A585" s="3">
        <v>583</v>
      </c>
      <c r="B585" s="3">
        <v>584</v>
      </c>
      <c r="C585" s="3">
        <v>0.19700000000000001</v>
      </c>
      <c r="D585" s="3">
        <v>0.93</v>
      </c>
      <c r="E585" s="3">
        <v>0.35820000000000002</v>
      </c>
      <c r="F585" s="3">
        <v>0</v>
      </c>
      <c r="G585" s="3">
        <v>36</v>
      </c>
      <c r="H585" s="3">
        <v>36</v>
      </c>
    </row>
    <row r="586" spans="1:8" ht="15.75" customHeight="1" x14ac:dyDescent="0.3">
      <c r="A586" s="3">
        <v>584</v>
      </c>
      <c r="B586" s="3">
        <v>585</v>
      </c>
      <c r="C586" s="3">
        <v>0.18179999999999999</v>
      </c>
      <c r="D586" s="3">
        <v>0.93</v>
      </c>
      <c r="E586" s="3">
        <v>0.4627</v>
      </c>
      <c r="F586" s="3">
        <v>1</v>
      </c>
      <c r="G586" s="3">
        <v>42</v>
      </c>
      <c r="H586" s="3">
        <v>43</v>
      </c>
    </row>
    <row r="587" spans="1:8" ht="15.75" customHeight="1" x14ac:dyDescent="0.3">
      <c r="A587" s="3">
        <v>585</v>
      </c>
      <c r="B587" s="3">
        <v>586</v>
      </c>
      <c r="C587" s="3">
        <v>0.19700000000000001</v>
      </c>
      <c r="D587" s="3">
        <v>0.93</v>
      </c>
      <c r="E587" s="3">
        <v>0.32840000000000003</v>
      </c>
      <c r="F587" s="3">
        <v>1</v>
      </c>
      <c r="G587" s="3">
        <v>35</v>
      </c>
      <c r="H587" s="3">
        <v>36</v>
      </c>
    </row>
    <row r="588" spans="1:8" ht="15.75" customHeight="1" x14ac:dyDescent="0.3">
      <c r="A588" s="3">
        <v>586</v>
      </c>
      <c r="B588" s="3">
        <v>587</v>
      </c>
      <c r="C588" s="3">
        <v>0.18179999999999999</v>
      </c>
      <c r="D588" s="3">
        <v>0.93</v>
      </c>
      <c r="E588" s="3">
        <v>0.35820000000000002</v>
      </c>
      <c r="F588" s="3">
        <v>0</v>
      </c>
      <c r="G588" s="3">
        <v>26</v>
      </c>
      <c r="H588" s="3">
        <v>26</v>
      </c>
    </row>
    <row r="589" spans="1:8" ht="15.75" customHeight="1" x14ac:dyDescent="0.3">
      <c r="A589" s="3">
        <v>587</v>
      </c>
      <c r="B589" s="3">
        <v>588</v>
      </c>
      <c r="C589" s="3">
        <v>0.2273</v>
      </c>
      <c r="D589" s="3">
        <v>0.55000000000000004</v>
      </c>
      <c r="E589" s="3">
        <v>0.19400000000000001</v>
      </c>
      <c r="F589" s="3">
        <v>1</v>
      </c>
      <c r="G589" s="3">
        <v>23</v>
      </c>
      <c r="H589" s="3">
        <v>24</v>
      </c>
    </row>
    <row r="590" spans="1:8" ht="15.75" customHeight="1" x14ac:dyDescent="0.3">
      <c r="A590" s="3">
        <v>588</v>
      </c>
      <c r="B590" s="3">
        <v>589</v>
      </c>
      <c r="C590" s="3">
        <v>0.2424</v>
      </c>
      <c r="D590" s="3">
        <v>0.55000000000000004</v>
      </c>
      <c r="E590" s="3">
        <v>0.1045</v>
      </c>
      <c r="F590" s="3">
        <v>2</v>
      </c>
      <c r="G590" s="3">
        <v>82</v>
      </c>
      <c r="H590" s="3">
        <v>84</v>
      </c>
    </row>
    <row r="591" spans="1:8" ht="15.75" customHeight="1" x14ac:dyDescent="0.3">
      <c r="A591" s="3">
        <v>589</v>
      </c>
      <c r="B591" s="3">
        <v>590</v>
      </c>
      <c r="C591" s="3">
        <v>0.2273</v>
      </c>
      <c r="D591" s="3">
        <v>0.69</v>
      </c>
      <c r="E591" s="3">
        <v>8.9599999999999999E-2</v>
      </c>
      <c r="F591" s="3">
        <v>3</v>
      </c>
      <c r="G591" s="3">
        <v>101</v>
      </c>
      <c r="H591" s="3">
        <v>104</v>
      </c>
    </row>
    <row r="592" spans="1:8" ht="15.75" customHeight="1" x14ac:dyDescent="0.3">
      <c r="A592" s="3">
        <v>590</v>
      </c>
      <c r="B592" s="3">
        <v>591</v>
      </c>
      <c r="C592" s="3">
        <v>0.2273</v>
      </c>
      <c r="D592" s="3">
        <v>0.69</v>
      </c>
      <c r="E592" s="3">
        <v>8.9599999999999999E-2</v>
      </c>
      <c r="F592" s="3">
        <v>3</v>
      </c>
      <c r="G592" s="3">
        <v>76</v>
      </c>
      <c r="H592" s="3">
        <v>79</v>
      </c>
    </row>
    <row r="593" spans="1:8" ht="15.75" customHeight="1" x14ac:dyDescent="0.3">
      <c r="A593" s="3">
        <v>591</v>
      </c>
      <c r="B593" s="3">
        <v>592</v>
      </c>
      <c r="C593" s="3">
        <v>0.21210000000000001</v>
      </c>
      <c r="D593" s="3">
        <v>0.74</v>
      </c>
      <c r="E593" s="3">
        <v>8.9599999999999999E-2</v>
      </c>
      <c r="F593" s="3">
        <v>4</v>
      </c>
      <c r="G593" s="3">
        <v>55</v>
      </c>
      <c r="H593" s="3">
        <v>59</v>
      </c>
    </row>
    <row r="594" spans="1:8" ht="15.75" customHeight="1" x14ac:dyDescent="0.3">
      <c r="A594" s="3">
        <v>592</v>
      </c>
      <c r="B594" s="3">
        <v>593</v>
      </c>
      <c r="C594" s="3">
        <v>0.21210000000000001</v>
      </c>
      <c r="D594" s="3">
        <v>0.74</v>
      </c>
      <c r="E594" s="3">
        <v>8.9599999999999999E-2</v>
      </c>
      <c r="F594" s="3">
        <v>2</v>
      </c>
      <c r="G594" s="3">
        <v>36</v>
      </c>
      <c r="H594" s="3">
        <v>38</v>
      </c>
    </row>
    <row r="595" spans="1:8" ht="15.75" customHeight="1" x14ac:dyDescent="0.3">
      <c r="A595" s="3">
        <v>593</v>
      </c>
      <c r="B595" s="3">
        <v>594</v>
      </c>
      <c r="C595" s="3">
        <v>0.21210000000000001</v>
      </c>
      <c r="D595" s="3">
        <v>0.74</v>
      </c>
      <c r="E595" s="3">
        <v>8.9599999999999999E-2</v>
      </c>
      <c r="F595" s="3">
        <v>0</v>
      </c>
      <c r="G595" s="3">
        <v>27</v>
      </c>
      <c r="H595" s="3">
        <v>27</v>
      </c>
    </row>
    <row r="596" spans="1:8" ht="15.75" customHeight="1" x14ac:dyDescent="0.3">
      <c r="A596" s="3">
        <v>594</v>
      </c>
      <c r="B596" s="3">
        <v>595</v>
      </c>
      <c r="C596" s="3">
        <v>0.19700000000000001</v>
      </c>
      <c r="D596" s="3">
        <v>0.8</v>
      </c>
      <c r="E596" s="3">
        <v>0.16420000000000001</v>
      </c>
      <c r="F596" s="3">
        <v>0</v>
      </c>
      <c r="G596" s="3">
        <v>16</v>
      </c>
      <c r="H596" s="3">
        <v>16</v>
      </c>
    </row>
    <row r="597" spans="1:8" ht="15.75" customHeight="1" x14ac:dyDescent="0.3">
      <c r="A597" s="3">
        <v>595</v>
      </c>
      <c r="B597" s="3">
        <v>596</v>
      </c>
      <c r="C597" s="3">
        <v>0.21210000000000001</v>
      </c>
      <c r="D597" s="3">
        <v>0.75</v>
      </c>
      <c r="E597" s="3">
        <v>0.1343</v>
      </c>
      <c r="F597" s="3">
        <v>0</v>
      </c>
      <c r="G597" s="3">
        <v>9</v>
      </c>
      <c r="H597" s="3">
        <v>9</v>
      </c>
    </row>
    <row r="598" spans="1:8" ht="15.75" customHeight="1" x14ac:dyDescent="0.3">
      <c r="A598" s="3">
        <v>596</v>
      </c>
      <c r="B598" s="3">
        <v>597</v>
      </c>
      <c r="C598" s="3">
        <v>0.21210000000000001</v>
      </c>
      <c r="D598" s="3">
        <v>0.75</v>
      </c>
      <c r="E598" s="3">
        <v>0.1343</v>
      </c>
      <c r="F598" s="3">
        <v>1</v>
      </c>
      <c r="G598" s="3">
        <v>2</v>
      </c>
      <c r="H598" s="3">
        <v>3</v>
      </c>
    </row>
    <row r="599" spans="1:8" ht="15.75" customHeight="1" x14ac:dyDescent="0.3">
      <c r="A599" s="3">
        <v>597</v>
      </c>
      <c r="B599" s="3">
        <v>598</v>
      </c>
      <c r="C599" s="3">
        <v>0.21210000000000001</v>
      </c>
      <c r="D599" s="3">
        <v>0.75</v>
      </c>
      <c r="E599" s="3">
        <v>0.16420000000000001</v>
      </c>
      <c r="F599" s="3">
        <v>0</v>
      </c>
      <c r="G599" s="3">
        <v>2</v>
      </c>
      <c r="H599" s="3">
        <v>2</v>
      </c>
    </row>
    <row r="600" spans="1:8" ht="15.75" customHeight="1" x14ac:dyDescent="0.3">
      <c r="A600" s="3">
        <v>598</v>
      </c>
      <c r="B600" s="3">
        <v>599</v>
      </c>
      <c r="C600" s="3">
        <v>0.2273</v>
      </c>
      <c r="D600" s="3">
        <v>0.75</v>
      </c>
      <c r="E600" s="3">
        <v>0.1045</v>
      </c>
      <c r="F600" s="3">
        <v>1</v>
      </c>
      <c r="G600" s="3">
        <v>0</v>
      </c>
      <c r="H600" s="3">
        <v>1</v>
      </c>
    </row>
    <row r="601" spans="1:8" ht="15.75" customHeight="1" x14ac:dyDescent="0.3">
      <c r="A601" s="3">
        <v>599</v>
      </c>
      <c r="B601" s="3">
        <v>600</v>
      </c>
      <c r="C601" s="3">
        <v>0.21210000000000001</v>
      </c>
      <c r="D601" s="3">
        <v>0.8</v>
      </c>
      <c r="E601" s="3">
        <v>0.1045</v>
      </c>
      <c r="F601" s="3">
        <v>0</v>
      </c>
      <c r="G601" s="3">
        <v>4</v>
      </c>
      <c r="H601" s="3">
        <v>4</v>
      </c>
    </row>
    <row r="602" spans="1:8" ht="15.75" customHeight="1" x14ac:dyDescent="0.3">
      <c r="A602" s="3">
        <v>600</v>
      </c>
      <c r="B602" s="3">
        <v>601</v>
      </c>
      <c r="C602" s="3">
        <v>0.19700000000000001</v>
      </c>
      <c r="D602" s="3">
        <v>0.8</v>
      </c>
      <c r="E602" s="3">
        <v>0.1343</v>
      </c>
      <c r="F602" s="3">
        <v>0</v>
      </c>
      <c r="G602" s="3">
        <v>16</v>
      </c>
      <c r="H602" s="3">
        <v>16</v>
      </c>
    </row>
    <row r="603" spans="1:8" ht="15.75" customHeight="1" x14ac:dyDescent="0.3">
      <c r="A603" s="3">
        <v>601</v>
      </c>
      <c r="B603" s="3">
        <v>602</v>
      </c>
      <c r="C603" s="3">
        <v>0.19700000000000001</v>
      </c>
      <c r="D603" s="3">
        <v>0.86</v>
      </c>
      <c r="E603" s="3">
        <v>8.9599999999999999E-2</v>
      </c>
      <c r="F603" s="3">
        <v>2</v>
      </c>
      <c r="G603" s="3">
        <v>58</v>
      </c>
      <c r="H603" s="3">
        <v>60</v>
      </c>
    </row>
    <row r="604" spans="1:8" ht="15.75" customHeight="1" x14ac:dyDescent="0.3">
      <c r="A604" s="3">
        <v>602</v>
      </c>
      <c r="B604" s="3">
        <v>603</v>
      </c>
      <c r="C604" s="3">
        <v>0.19700000000000001</v>
      </c>
      <c r="D604" s="3">
        <v>0.86</v>
      </c>
      <c r="E604" s="3">
        <v>8.9599999999999999E-2</v>
      </c>
      <c r="F604" s="3">
        <v>2</v>
      </c>
      <c r="G604" s="3">
        <v>155</v>
      </c>
      <c r="H604" s="3">
        <v>157</v>
      </c>
    </row>
    <row r="605" spans="1:8" ht="15.75" customHeight="1" x14ac:dyDescent="0.3">
      <c r="A605" s="3">
        <v>603</v>
      </c>
      <c r="B605" s="3">
        <v>604</v>
      </c>
      <c r="C605" s="3">
        <v>0.21210000000000001</v>
      </c>
      <c r="D605" s="3">
        <v>0.86</v>
      </c>
      <c r="E605" s="3">
        <v>8.9599999999999999E-2</v>
      </c>
      <c r="F605" s="3">
        <v>6</v>
      </c>
      <c r="G605" s="3">
        <v>95</v>
      </c>
      <c r="H605" s="3">
        <v>101</v>
      </c>
    </row>
    <row r="606" spans="1:8" ht="15.75" customHeight="1" x14ac:dyDescent="0.3">
      <c r="A606" s="3">
        <v>604</v>
      </c>
      <c r="B606" s="3">
        <v>605</v>
      </c>
      <c r="C606" s="3">
        <v>0.21210000000000001</v>
      </c>
      <c r="D606" s="3">
        <v>0.86</v>
      </c>
      <c r="E606" s="3">
        <v>0.1045</v>
      </c>
      <c r="F606" s="3">
        <v>0</v>
      </c>
      <c r="G606" s="3">
        <v>49</v>
      </c>
      <c r="H606" s="3">
        <v>49</v>
      </c>
    </row>
    <row r="607" spans="1:8" ht="15.75" customHeight="1" x14ac:dyDescent="0.3">
      <c r="A607" s="3">
        <v>605</v>
      </c>
      <c r="B607" s="3">
        <v>606</v>
      </c>
      <c r="C607" s="3">
        <v>0.21210000000000001</v>
      </c>
      <c r="D607" s="3">
        <v>0.93</v>
      </c>
      <c r="E607" s="3">
        <v>0.1045</v>
      </c>
      <c r="F607" s="3">
        <v>0</v>
      </c>
      <c r="G607" s="3">
        <v>30</v>
      </c>
      <c r="H607" s="3">
        <v>30</v>
      </c>
    </row>
    <row r="608" spans="1:8" ht="15.75" customHeight="1" x14ac:dyDescent="0.3">
      <c r="A608" s="3">
        <v>606</v>
      </c>
      <c r="B608" s="3">
        <v>607</v>
      </c>
      <c r="C608" s="3">
        <v>0.21210000000000001</v>
      </c>
      <c r="D608" s="3">
        <v>0.93</v>
      </c>
      <c r="E608" s="3">
        <v>0.1045</v>
      </c>
      <c r="F608" s="3">
        <v>1</v>
      </c>
      <c r="G608" s="3">
        <v>28</v>
      </c>
      <c r="H608" s="3">
        <v>29</v>
      </c>
    </row>
    <row r="609" spans="1:8" ht="15.75" customHeight="1" x14ac:dyDescent="0.3">
      <c r="A609" s="3">
        <v>607</v>
      </c>
      <c r="B609" s="3">
        <v>608</v>
      </c>
      <c r="C609" s="3">
        <v>0.21210000000000001</v>
      </c>
      <c r="D609" s="3">
        <v>0.93</v>
      </c>
      <c r="E609" s="3">
        <v>0.1045</v>
      </c>
      <c r="F609" s="3">
        <v>0</v>
      </c>
      <c r="G609" s="3">
        <v>31</v>
      </c>
      <c r="H609" s="3">
        <v>31</v>
      </c>
    </row>
    <row r="610" spans="1:8" ht="15.75" customHeight="1" x14ac:dyDescent="0.3">
      <c r="A610" s="3">
        <v>608</v>
      </c>
      <c r="B610" s="3">
        <v>609</v>
      </c>
      <c r="C610" s="3">
        <v>0.2727</v>
      </c>
      <c r="D610" s="3">
        <v>0.8</v>
      </c>
      <c r="E610" s="3">
        <v>0</v>
      </c>
      <c r="F610" s="3">
        <v>2</v>
      </c>
      <c r="G610" s="3">
        <v>36</v>
      </c>
      <c r="H610" s="3">
        <v>38</v>
      </c>
    </row>
    <row r="611" spans="1:8" ht="15.75" customHeight="1" x14ac:dyDescent="0.3">
      <c r="A611" s="3">
        <v>609</v>
      </c>
      <c r="B611" s="3">
        <v>610</v>
      </c>
      <c r="C611" s="3">
        <v>0.2576</v>
      </c>
      <c r="D611" s="3">
        <v>0.86</v>
      </c>
      <c r="E611" s="3">
        <v>0</v>
      </c>
      <c r="F611" s="3">
        <v>1</v>
      </c>
      <c r="G611" s="3">
        <v>40</v>
      </c>
      <c r="H611" s="3">
        <v>41</v>
      </c>
    </row>
    <row r="612" spans="1:8" ht="15.75" customHeight="1" x14ac:dyDescent="0.25"/>
    <row r="613" spans="1:8" ht="15.75" customHeight="1" x14ac:dyDescent="0.25"/>
    <row r="614" spans="1:8" ht="15.75" customHeight="1" x14ac:dyDescent="0.25"/>
    <row r="615" spans="1:8" ht="15.75" customHeight="1" x14ac:dyDescent="0.25"/>
    <row r="616" spans="1:8" ht="15.75" customHeight="1" x14ac:dyDescent="0.25"/>
    <row r="617" spans="1:8" ht="15.75" customHeight="1" x14ac:dyDescent="0.25"/>
    <row r="618" spans="1:8" ht="15.75" customHeight="1" x14ac:dyDescent="0.25"/>
    <row r="619" spans="1:8" ht="15.75" customHeight="1" x14ac:dyDescent="0.25"/>
    <row r="620" spans="1:8" ht="15.75" customHeight="1" x14ac:dyDescent="0.25"/>
    <row r="621" spans="1:8" ht="15.75" customHeight="1" x14ac:dyDescent="0.25"/>
    <row r="622" spans="1:8" ht="15.75" customHeight="1" x14ac:dyDescent="0.25"/>
    <row r="623" spans="1:8" ht="15.75" customHeight="1" x14ac:dyDescent="0.25"/>
    <row r="624" spans="1:8"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78A04-9BF9-4341-BA65-0CB052D88B86}">
  <dimension ref="A1:P611"/>
  <sheetViews>
    <sheetView workbookViewId="0"/>
  </sheetViews>
  <sheetFormatPr defaultRowHeight="12.5" x14ac:dyDescent="0.25"/>
  <cols>
    <col min="1" max="1" width="9" bestFit="1" customWidth="1"/>
    <col min="2" max="2" width="13.08984375" bestFit="1" customWidth="1"/>
    <col min="3" max="3" width="9.26953125" bestFit="1" customWidth="1"/>
    <col min="4" max="4" width="4.81640625" bestFit="1" customWidth="1"/>
    <col min="5" max="5" width="7.453125" bestFit="1" customWidth="1"/>
    <col min="6" max="6" width="4.90625" bestFit="1" customWidth="1"/>
    <col min="7" max="7" width="9.26953125" bestFit="1" customWidth="1"/>
    <col min="8" max="8" width="10.54296875" bestFit="1" customWidth="1"/>
    <col min="9" max="9" width="12" bestFit="1" customWidth="1"/>
    <col min="10" max="10" width="7.36328125" bestFit="1" customWidth="1"/>
    <col min="11" max="11" width="8.36328125" bestFit="1" customWidth="1"/>
    <col min="12" max="12" width="6.81640625" bestFit="1" customWidth="1"/>
    <col min="13" max="13" width="12.26953125" bestFit="1" customWidth="1"/>
    <col min="14" max="14" width="8.6328125" bestFit="1" customWidth="1"/>
    <col min="15" max="15" width="11.81640625" bestFit="1" customWidth="1"/>
    <col min="16" max="16" width="5.81640625" bestFit="1" customWidth="1"/>
  </cols>
  <sheetData>
    <row r="1" spans="1:16" x14ac:dyDescent="0.25">
      <c r="A1" t="s">
        <v>0</v>
      </c>
      <c r="B1" t="s">
        <v>1</v>
      </c>
      <c r="C1" t="s">
        <v>2</v>
      </c>
      <c r="D1" t="s">
        <v>3</v>
      </c>
      <c r="E1" t="s">
        <v>4</v>
      </c>
      <c r="F1" t="s">
        <v>5</v>
      </c>
      <c r="G1" t="s">
        <v>6</v>
      </c>
      <c r="H1" t="s">
        <v>7</v>
      </c>
      <c r="I1" t="s">
        <v>8</v>
      </c>
      <c r="J1" t="s">
        <v>9</v>
      </c>
      <c r="K1" t="s">
        <v>11</v>
      </c>
      <c r="L1" t="s">
        <v>12</v>
      </c>
      <c r="M1" t="s">
        <v>13</v>
      </c>
      <c r="N1" t="s">
        <v>14</v>
      </c>
      <c r="O1" t="s">
        <v>15</v>
      </c>
      <c r="P1" t="s">
        <v>16</v>
      </c>
    </row>
    <row r="2" spans="1:16" x14ac:dyDescent="0.25">
      <c r="A2">
        <v>1</v>
      </c>
      <c r="B2" s="4">
        <v>40544</v>
      </c>
      <c r="C2">
        <v>1</v>
      </c>
      <c r="D2">
        <v>0</v>
      </c>
      <c r="E2">
        <v>1</v>
      </c>
      <c r="F2">
        <v>0</v>
      </c>
      <c r="G2" t="b">
        <v>0</v>
      </c>
      <c r="H2">
        <v>6</v>
      </c>
      <c r="I2">
        <v>1</v>
      </c>
      <c r="J2">
        <v>0.24</v>
      </c>
      <c r="K2">
        <v>0.28789999999999999</v>
      </c>
      <c r="L2">
        <v>0.81</v>
      </c>
      <c r="M2">
        <v>0</v>
      </c>
      <c r="N2">
        <v>3</v>
      </c>
      <c r="O2">
        <v>13</v>
      </c>
      <c r="P2">
        <v>16</v>
      </c>
    </row>
    <row r="3" spans="1:16" x14ac:dyDescent="0.25">
      <c r="A3">
        <v>2</v>
      </c>
      <c r="B3" s="4">
        <v>40544</v>
      </c>
      <c r="C3">
        <v>1</v>
      </c>
      <c r="D3">
        <v>0</v>
      </c>
      <c r="E3">
        <v>1</v>
      </c>
      <c r="F3">
        <v>1</v>
      </c>
      <c r="G3" t="b">
        <v>0</v>
      </c>
      <c r="H3">
        <v>6</v>
      </c>
      <c r="I3">
        <v>1</v>
      </c>
      <c r="J3">
        <v>0.22</v>
      </c>
      <c r="K3">
        <v>0.2727</v>
      </c>
      <c r="L3">
        <v>0.8</v>
      </c>
      <c r="M3">
        <v>0</v>
      </c>
      <c r="N3">
        <v>8</v>
      </c>
      <c r="O3">
        <v>32</v>
      </c>
      <c r="P3">
        <v>40</v>
      </c>
    </row>
    <row r="4" spans="1:16" x14ac:dyDescent="0.25">
      <c r="A4">
        <v>3</v>
      </c>
      <c r="B4" s="4">
        <v>40544</v>
      </c>
      <c r="C4">
        <v>1</v>
      </c>
      <c r="D4">
        <v>0</v>
      </c>
      <c r="E4">
        <v>1</v>
      </c>
      <c r="F4">
        <v>2</v>
      </c>
      <c r="G4" t="b">
        <v>0</v>
      </c>
      <c r="H4">
        <v>6</v>
      </c>
      <c r="I4">
        <v>1</v>
      </c>
      <c r="J4">
        <v>0.22</v>
      </c>
      <c r="K4">
        <v>0.2727</v>
      </c>
      <c r="L4">
        <v>0.8</v>
      </c>
      <c r="M4">
        <v>0</v>
      </c>
      <c r="N4">
        <v>5</v>
      </c>
      <c r="O4">
        <v>27</v>
      </c>
      <c r="P4">
        <v>32</v>
      </c>
    </row>
    <row r="5" spans="1:16" x14ac:dyDescent="0.25">
      <c r="A5">
        <v>4</v>
      </c>
      <c r="B5" s="4">
        <v>40544</v>
      </c>
      <c r="C5">
        <v>1</v>
      </c>
      <c r="D5">
        <v>0</v>
      </c>
      <c r="E5">
        <v>1</v>
      </c>
      <c r="F5">
        <v>3</v>
      </c>
      <c r="G5" t="b">
        <v>0</v>
      </c>
      <c r="H5">
        <v>6</v>
      </c>
      <c r="I5">
        <v>1</v>
      </c>
      <c r="J5">
        <v>0.24</v>
      </c>
      <c r="K5">
        <v>0.28789999999999999</v>
      </c>
      <c r="L5">
        <v>0.75</v>
      </c>
      <c r="M5">
        <v>0</v>
      </c>
      <c r="N5">
        <v>3</v>
      </c>
      <c r="O5">
        <v>10</v>
      </c>
      <c r="P5">
        <v>13</v>
      </c>
    </row>
    <row r="6" spans="1:16" x14ac:dyDescent="0.25">
      <c r="A6">
        <v>5</v>
      </c>
      <c r="B6" s="4">
        <v>40544</v>
      </c>
      <c r="C6">
        <v>1</v>
      </c>
      <c r="D6">
        <v>0</v>
      </c>
      <c r="E6">
        <v>1</v>
      </c>
      <c r="F6">
        <v>4</v>
      </c>
      <c r="G6" t="b">
        <v>0</v>
      </c>
      <c r="H6">
        <v>6</v>
      </c>
      <c r="I6">
        <v>1</v>
      </c>
      <c r="J6">
        <v>0.24</v>
      </c>
      <c r="K6">
        <v>0.28789999999999999</v>
      </c>
      <c r="L6">
        <v>0.75</v>
      </c>
      <c r="M6">
        <v>0</v>
      </c>
      <c r="N6">
        <v>0</v>
      </c>
      <c r="O6">
        <v>1</v>
      </c>
      <c r="P6">
        <v>1</v>
      </c>
    </row>
    <row r="7" spans="1:16" x14ac:dyDescent="0.25">
      <c r="A7">
        <v>6</v>
      </c>
      <c r="B7" s="4">
        <v>40544</v>
      </c>
      <c r="C7">
        <v>1</v>
      </c>
      <c r="D7">
        <v>0</v>
      </c>
      <c r="E7">
        <v>1</v>
      </c>
      <c r="F7">
        <v>5</v>
      </c>
      <c r="G7" t="b">
        <v>0</v>
      </c>
      <c r="H7">
        <v>6</v>
      </c>
      <c r="I7">
        <v>2</v>
      </c>
      <c r="J7">
        <v>0.24</v>
      </c>
      <c r="K7">
        <v>0.2576</v>
      </c>
      <c r="L7">
        <v>0.75</v>
      </c>
      <c r="M7">
        <v>8.9599999999999999E-2</v>
      </c>
      <c r="N7">
        <v>0</v>
      </c>
      <c r="O7">
        <v>1</v>
      </c>
      <c r="P7">
        <v>1</v>
      </c>
    </row>
    <row r="8" spans="1:16" x14ac:dyDescent="0.25">
      <c r="A8">
        <v>7</v>
      </c>
      <c r="B8" s="4">
        <v>40544</v>
      </c>
      <c r="C8">
        <v>1</v>
      </c>
      <c r="D8">
        <v>0</v>
      </c>
      <c r="E8">
        <v>1</v>
      </c>
      <c r="F8">
        <v>6</v>
      </c>
      <c r="G8" t="b">
        <v>0</v>
      </c>
      <c r="H8">
        <v>6</v>
      </c>
      <c r="I8">
        <v>1</v>
      </c>
      <c r="J8">
        <v>0.22</v>
      </c>
      <c r="K8">
        <v>0.2727</v>
      </c>
      <c r="L8">
        <v>0.8</v>
      </c>
      <c r="M8">
        <v>0</v>
      </c>
      <c r="N8">
        <v>2</v>
      </c>
      <c r="O8">
        <v>0</v>
      </c>
      <c r="P8">
        <v>2</v>
      </c>
    </row>
    <row r="9" spans="1:16" x14ac:dyDescent="0.25">
      <c r="A9">
        <v>8</v>
      </c>
      <c r="B9" s="4">
        <v>40544</v>
      </c>
      <c r="C9">
        <v>1</v>
      </c>
      <c r="D9">
        <v>0</v>
      </c>
      <c r="E9">
        <v>1</v>
      </c>
      <c r="F9">
        <v>7</v>
      </c>
      <c r="G9" t="b">
        <v>0</v>
      </c>
      <c r="H9">
        <v>6</v>
      </c>
      <c r="I9">
        <v>1</v>
      </c>
      <c r="J9">
        <v>0.2</v>
      </c>
      <c r="K9">
        <v>0.2576</v>
      </c>
      <c r="L9">
        <v>0.86</v>
      </c>
      <c r="M9">
        <v>0</v>
      </c>
      <c r="N9">
        <v>1</v>
      </c>
      <c r="O9">
        <v>2</v>
      </c>
      <c r="P9">
        <v>3</v>
      </c>
    </row>
    <row r="10" spans="1:16" x14ac:dyDescent="0.25">
      <c r="A10">
        <v>9</v>
      </c>
      <c r="B10" s="4">
        <v>40544</v>
      </c>
      <c r="C10">
        <v>1</v>
      </c>
      <c r="D10">
        <v>0</v>
      </c>
      <c r="E10">
        <v>1</v>
      </c>
      <c r="F10">
        <v>8</v>
      </c>
      <c r="G10" t="b">
        <v>0</v>
      </c>
      <c r="H10">
        <v>6</v>
      </c>
      <c r="I10">
        <v>1</v>
      </c>
      <c r="J10">
        <v>0.24</v>
      </c>
      <c r="L10">
        <v>0.75</v>
      </c>
      <c r="M10">
        <v>0</v>
      </c>
      <c r="N10">
        <v>1</v>
      </c>
      <c r="O10">
        <v>7</v>
      </c>
      <c r="P10">
        <v>8</v>
      </c>
    </row>
    <row r="11" spans="1:16" x14ac:dyDescent="0.25">
      <c r="A11">
        <v>10</v>
      </c>
      <c r="B11" s="4">
        <v>40544</v>
      </c>
      <c r="C11">
        <v>1</v>
      </c>
      <c r="D11">
        <v>0</v>
      </c>
      <c r="E11">
        <v>1</v>
      </c>
      <c r="F11">
        <v>9</v>
      </c>
      <c r="G11" t="b">
        <v>0</v>
      </c>
      <c r="H11">
        <v>6</v>
      </c>
      <c r="I11">
        <v>1</v>
      </c>
      <c r="J11">
        <v>0.32</v>
      </c>
      <c r="K11">
        <v>0.34849999999999998</v>
      </c>
      <c r="L11">
        <v>0.76</v>
      </c>
      <c r="M11">
        <v>0</v>
      </c>
      <c r="N11">
        <v>8</v>
      </c>
      <c r="O11">
        <v>6</v>
      </c>
      <c r="P11">
        <v>14</v>
      </c>
    </row>
    <row r="12" spans="1:16" x14ac:dyDescent="0.25">
      <c r="A12">
        <v>11</v>
      </c>
      <c r="B12" s="4">
        <v>40544</v>
      </c>
      <c r="C12">
        <v>1</v>
      </c>
      <c r="D12">
        <v>0</v>
      </c>
      <c r="E12">
        <v>1</v>
      </c>
      <c r="F12">
        <v>10</v>
      </c>
      <c r="G12" t="b">
        <v>0</v>
      </c>
      <c r="H12">
        <v>6</v>
      </c>
      <c r="I12">
        <v>1</v>
      </c>
      <c r="J12">
        <v>0.38</v>
      </c>
      <c r="K12">
        <v>0.39389999999999997</v>
      </c>
      <c r="L12">
        <v>0.76</v>
      </c>
      <c r="M12">
        <v>0.25369999999999998</v>
      </c>
      <c r="N12">
        <v>12</v>
      </c>
      <c r="O12">
        <v>24</v>
      </c>
      <c r="P12">
        <v>36</v>
      </c>
    </row>
    <row r="13" spans="1:16" x14ac:dyDescent="0.25">
      <c r="A13">
        <v>12</v>
      </c>
      <c r="B13" s="4">
        <v>40544</v>
      </c>
      <c r="C13">
        <v>1</v>
      </c>
      <c r="D13">
        <v>0</v>
      </c>
      <c r="E13">
        <v>1</v>
      </c>
      <c r="F13">
        <v>11</v>
      </c>
      <c r="G13" t="b">
        <v>0</v>
      </c>
      <c r="H13">
        <v>6</v>
      </c>
      <c r="I13">
        <v>1</v>
      </c>
      <c r="J13">
        <v>0.36</v>
      </c>
      <c r="K13">
        <v>0.33329999999999999</v>
      </c>
      <c r="L13">
        <v>0.81</v>
      </c>
      <c r="M13">
        <v>0.28360000000000002</v>
      </c>
      <c r="N13">
        <v>26</v>
      </c>
      <c r="O13">
        <v>30</v>
      </c>
      <c r="P13">
        <v>56</v>
      </c>
    </row>
    <row r="14" spans="1:16" x14ac:dyDescent="0.25">
      <c r="A14">
        <v>13</v>
      </c>
      <c r="B14" s="4">
        <v>40544</v>
      </c>
      <c r="C14">
        <v>1</v>
      </c>
      <c r="D14">
        <v>0</v>
      </c>
      <c r="E14">
        <v>1</v>
      </c>
      <c r="F14">
        <v>12</v>
      </c>
      <c r="G14" t="b">
        <v>0</v>
      </c>
      <c r="H14">
        <v>6</v>
      </c>
      <c r="I14">
        <v>1</v>
      </c>
      <c r="J14">
        <v>0.42</v>
      </c>
      <c r="K14">
        <v>0.42420000000000002</v>
      </c>
      <c r="L14">
        <v>0.77</v>
      </c>
      <c r="M14">
        <v>0.28360000000000002</v>
      </c>
      <c r="N14">
        <v>29</v>
      </c>
      <c r="O14">
        <v>55</v>
      </c>
      <c r="P14">
        <v>84</v>
      </c>
    </row>
    <row r="15" spans="1:16" x14ac:dyDescent="0.25">
      <c r="A15">
        <v>14</v>
      </c>
      <c r="B15" s="4">
        <v>40544</v>
      </c>
      <c r="C15">
        <v>1</v>
      </c>
      <c r="D15">
        <v>0</v>
      </c>
      <c r="E15">
        <v>1</v>
      </c>
      <c r="F15">
        <v>13</v>
      </c>
      <c r="G15" t="b">
        <v>0</v>
      </c>
      <c r="H15">
        <v>6</v>
      </c>
      <c r="I15">
        <v>2</v>
      </c>
      <c r="J15">
        <v>0.46</v>
      </c>
      <c r="K15">
        <v>0.45450000000000002</v>
      </c>
      <c r="L15">
        <v>0.72</v>
      </c>
      <c r="M15">
        <v>0.29849999999999999</v>
      </c>
      <c r="N15">
        <v>47</v>
      </c>
      <c r="O15">
        <v>47</v>
      </c>
      <c r="P15">
        <v>94</v>
      </c>
    </row>
    <row r="16" spans="1:16" x14ac:dyDescent="0.25">
      <c r="A16">
        <v>15</v>
      </c>
      <c r="B16" s="4">
        <v>40544</v>
      </c>
      <c r="C16">
        <v>1</v>
      </c>
      <c r="D16">
        <v>0</v>
      </c>
      <c r="E16">
        <v>1</v>
      </c>
      <c r="F16">
        <v>14</v>
      </c>
      <c r="G16" t="b">
        <v>0</v>
      </c>
      <c r="H16">
        <v>6</v>
      </c>
      <c r="I16">
        <v>2</v>
      </c>
      <c r="J16">
        <v>0.46</v>
      </c>
      <c r="K16">
        <v>0.45450000000000002</v>
      </c>
      <c r="L16">
        <v>0.72</v>
      </c>
      <c r="M16">
        <v>0.28360000000000002</v>
      </c>
      <c r="N16">
        <v>35</v>
      </c>
      <c r="O16">
        <v>71</v>
      </c>
      <c r="P16">
        <v>106</v>
      </c>
    </row>
    <row r="17" spans="1:16" x14ac:dyDescent="0.25">
      <c r="A17">
        <v>16</v>
      </c>
      <c r="B17" s="4">
        <v>40544</v>
      </c>
      <c r="C17">
        <v>1</v>
      </c>
      <c r="D17">
        <v>0</v>
      </c>
      <c r="E17">
        <v>1</v>
      </c>
      <c r="F17">
        <v>15</v>
      </c>
      <c r="G17" t="b">
        <v>0</v>
      </c>
      <c r="H17">
        <v>6</v>
      </c>
      <c r="I17">
        <v>2</v>
      </c>
      <c r="J17">
        <v>0.44</v>
      </c>
      <c r="K17">
        <v>0.43940000000000001</v>
      </c>
      <c r="L17">
        <v>0.77</v>
      </c>
      <c r="M17">
        <v>0.29849999999999999</v>
      </c>
      <c r="N17">
        <v>40</v>
      </c>
      <c r="O17">
        <v>70</v>
      </c>
      <c r="P17">
        <v>110</v>
      </c>
    </row>
    <row r="18" spans="1:16" x14ac:dyDescent="0.25">
      <c r="A18">
        <v>17</v>
      </c>
      <c r="B18" s="4">
        <v>40544</v>
      </c>
      <c r="C18">
        <v>1</v>
      </c>
      <c r="D18">
        <v>0</v>
      </c>
      <c r="E18">
        <v>1</v>
      </c>
      <c r="F18">
        <v>16</v>
      </c>
      <c r="G18" t="b">
        <v>0</v>
      </c>
      <c r="H18">
        <v>6</v>
      </c>
      <c r="I18">
        <v>2</v>
      </c>
      <c r="J18">
        <v>0.42</v>
      </c>
      <c r="K18">
        <v>0.42420000000000002</v>
      </c>
      <c r="L18">
        <v>0.82</v>
      </c>
      <c r="M18">
        <v>0.29849999999999999</v>
      </c>
      <c r="N18">
        <v>41</v>
      </c>
      <c r="O18">
        <v>52</v>
      </c>
      <c r="P18">
        <v>93</v>
      </c>
    </row>
    <row r="19" spans="1:16" x14ac:dyDescent="0.25">
      <c r="A19">
        <v>18</v>
      </c>
      <c r="B19" s="4">
        <v>40544</v>
      </c>
      <c r="C19">
        <v>1</v>
      </c>
      <c r="D19">
        <v>0</v>
      </c>
      <c r="E19">
        <v>1</v>
      </c>
      <c r="F19">
        <v>17</v>
      </c>
      <c r="G19" t="b">
        <v>0</v>
      </c>
      <c r="H19">
        <v>6</v>
      </c>
      <c r="I19">
        <v>2</v>
      </c>
      <c r="J19">
        <v>0.44</v>
      </c>
      <c r="L19">
        <v>0.82</v>
      </c>
      <c r="M19">
        <v>0.28360000000000002</v>
      </c>
      <c r="N19">
        <v>15</v>
      </c>
      <c r="O19">
        <v>52</v>
      </c>
      <c r="P19">
        <v>67</v>
      </c>
    </row>
    <row r="20" spans="1:16" x14ac:dyDescent="0.25">
      <c r="A20">
        <v>19</v>
      </c>
      <c r="B20" s="4">
        <v>40544</v>
      </c>
      <c r="C20">
        <v>1</v>
      </c>
      <c r="D20">
        <v>0</v>
      </c>
      <c r="E20">
        <v>1</v>
      </c>
      <c r="F20">
        <v>18</v>
      </c>
      <c r="G20" t="b">
        <v>0</v>
      </c>
      <c r="H20">
        <v>6</v>
      </c>
      <c r="I20">
        <v>3</v>
      </c>
      <c r="J20">
        <v>0.42</v>
      </c>
      <c r="K20">
        <v>0.42420000000000002</v>
      </c>
      <c r="L20">
        <v>0.88</v>
      </c>
      <c r="M20">
        <v>0.25369999999999998</v>
      </c>
      <c r="N20">
        <v>9</v>
      </c>
      <c r="O20">
        <v>26</v>
      </c>
      <c r="P20">
        <v>35</v>
      </c>
    </row>
    <row r="21" spans="1:16" x14ac:dyDescent="0.25">
      <c r="A21">
        <v>20</v>
      </c>
      <c r="B21" s="4">
        <v>40544</v>
      </c>
      <c r="C21">
        <v>1</v>
      </c>
      <c r="D21">
        <v>0</v>
      </c>
      <c r="E21">
        <v>1</v>
      </c>
      <c r="F21">
        <v>19</v>
      </c>
      <c r="G21" t="b">
        <v>0</v>
      </c>
      <c r="H21">
        <v>6</v>
      </c>
      <c r="I21">
        <v>3</v>
      </c>
      <c r="J21">
        <v>0.42</v>
      </c>
      <c r="K21">
        <v>0.42420000000000002</v>
      </c>
      <c r="L21">
        <v>0.88</v>
      </c>
      <c r="M21">
        <v>0.25369999999999998</v>
      </c>
      <c r="N21">
        <v>6</v>
      </c>
      <c r="O21">
        <v>31</v>
      </c>
      <c r="P21">
        <v>37</v>
      </c>
    </row>
    <row r="22" spans="1:16" x14ac:dyDescent="0.25">
      <c r="A22">
        <v>21</v>
      </c>
      <c r="B22" s="4">
        <v>40544</v>
      </c>
      <c r="C22">
        <v>1</v>
      </c>
      <c r="D22">
        <v>0</v>
      </c>
      <c r="E22">
        <v>1</v>
      </c>
      <c r="F22">
        <v>20</v>
      </c>
      <c r="G22" t="b">
        <v>0</v>
      </c>
      <c r="H22">
        <v>6</v>
      </c>
      <c r="I22">
        <v>2</v>
      </c>
      <c r="J22">
        <v>0.4</v>
      </c>
      <c r="K22">
        <v>0.40910000000000002</v>
      </c>
      <c r="L22">
        <v>0.87</v>
      </c>
      <c r="M22">
        <v>0.25369999999999998</v>
      </c>
      <c r="N22">
        <v>11</v>
      </c>
      <c r="O22">
        <v>25</v>
      </c>
      <c r="P22">
        <v>36</v>
      </c>
    </row>
    <row r="23" spans="1:16" x14ac:dyDescent="0.25">
      <c r="A23">
        <v>22</v>
      </c>
      <c r="B23" s="4">
        <v>40544</v>
      </c>
      <c r="C23">
        <v>1</v>
      </c>
      <c r="D23">
        <v>0</v>
      </c>
      <c r="E23">
        <v>1</v>
      </c>
      <c r="F23">
        <v>21</v>
      </c>
      <c r="G23" t="b">
        <v>0</v>
      </c>
      <c r="H23">
        <v>6</v>
      </c>
      <c r="I23">
        <v>2</v>
      </c>
      <c r="J23">
        <v>0.4</v>
      </c>
      <c r="K23">
        <v>0.40910000000000002</v>
      </c>
      <c r="L23">
        <v>0.87</v>
      </c>
      <c r="M23">
        <v>0.19400000000000001</v>
      </c>
      <c r="N23">
        <v>3</v>
      </c>
      <c r="O23">
        <v>31</v>
      </c>
      <c r="P23">
        <v>34</v>
      </c>
    </row>
    <row r="24" spans="1:16" x14ac:dyDescent="0.25">
      <c r="A24">
        <v>23</v>
      </c>
      <c r="B24" s="4">
        <v>40544</v>
      </c>
      <c r="C24">
        <v>1</v>
      </c>
      <c r="D24">
        <v>0</v>
      </c>
      <c r="E24">
        <v>1</v>
      </c>
      <c r="F24">
        <v>22</v>
      </c>
      <c r="G24" t="b">
        <v>0</v>
      </c>
      <c r="H24">
        <v>6</v>
      </c>
      <c r="I24">
        <v>2</v>
      </c>
      <c r="J24">
        <v>0.4</v>
      </c>
      <c r="K24">
        <v>0.40910000000000002</v>
      </c>
      <c r="L24">
        <v>0.94</v>
      </c>
      <c r="M24">
        <v>0.22389999999999999</v>
      </c>
      <c r="N24">
        <v>11</v>
      </c>
      <c r="O24">
        <v>17</v>
      </c>
      <c r="P24">
        <v>28</v>
      </c>
    </row>
    <row r="25" spans="1:16" x14ac:dyDescent="0.25">
      <c r="A25">
        <v>24</v>
      </c>
      <c r="B25" s="4">
        <v>40544</v>
      </c>
      <c r="C25">
        <v>1</v>
      </c>
      <c r="D25">
        <v>0</v>
      </c>
      <c r="E25">
        <v>1</v>
      </c>
      <c r="F25">
        <v>23</v>
      </c>
      <c r="G25" t="b">
        <v>0</v>
      </c>
      <c r="H25">
        <v>6</v>
      </c>
      <c r="I25">
        <v>2</v>
      </c>
      <c r="J25">
        <v>0.46</v>
      </c>
      <c r="L25">
        <v>0.88</v>
      </c>
      <c r="M25">
        <v>0.29849999999999999</v>
      </c>
      <c r="N25">
        <v>15</v>
      </c>
      <c r="O25">
        <v>24</v>
      </c>
      <c r="P25">
        <v>39</v>
      </c>
    </row>
    <row r="26" spans="1:16" x14ac:dyDescent="0.25">
      <c r="A26">
        <v>25</v>
      </c>
      <c r="B26" s="4">
        <v>40545</v>
      </c>
      <c r="C26">
        <v>1</v>
      </c>
      <c r="D26">
        <v>0</v>
      </c>
      <c r="E26">
        <v>1</v>
      </c>
      <c r="F26">
        <v>0</v>
      </c>
      <c r="G26" t="b">
        <v>0</v>
      </c>
      <c r="H26">
        <v>0</v>
      </c>
      <c r="I26">
        <v>2</v>
      </c>
      <c r="J26">
        <v>0.46</v>
      </c>
      <c r="K26">
        <v>0.45450000000000002</v>
      </c>
      <c r="L26">
        <v>0.88</v>
      </c>
      <c r="M26">
        <v>0.29849999999999999</v>
      </c>
      <c r="N26">
        <v>4</v>
      </c>
      <c r="O26">
        <v>13</v>
      </c>
      <c r="P26">
        <v>17</v>
      </c>
    </row>
    <row r="27" spans="1:16" x14ac:dyDescent="0.25">
      <c r="A27">
        <v>26</v>
      </c>
      <c r="B27" s="4">
        <v>40545</v>
      </c>
      <c r="C27">
        <v>1</v>
      </c>
      <c r="D27">
        <v>0</v>
      </c>
      <c r="E27">
        <v>1</v>
      </c>
      <c r="F27">
        <v>1</v>
      </c>
      <c r="G27" t="b">
        <v>0</v>
      </c>
      <c r="H27">
        <v>0</v>
      </c>
      <c r="I27">
        <v>2</v>
      </c>
      <c r="J27">
        <v>0.44</v>
      </c>
      <c r="K27">
        <v>0.43940000000000001</v>
      </c>
      <c r="L27">
        <v>0.94</v>
      </c>
      <c r="M27">
        <v>0.25369999999999998</v>
      </c>
      <c r="N27">
        <v>1</v>
      </c>
      <c r="O27">
        <v>16</v>
      </c>
      <c r="P27">
        <v>17</v>
      </c>
    </row>
    <row r="28" spans="1:16" x14ac:dyDescent="0.25">
      <c r="A28">
        <v>27</v>
      </c>
      <c r="B28" s="4">
        <v>40545</v>
      </c>
      <c r="C28">
        <v>1</v>
      </c>
      <c r="D28">
        <v>0</v>
      </c>
      <c r="E28">
        <v>1</v>
      </c>
      <c r="F28">
        <v>2</v>
      </c>
      <c r="G28" t="b">
        <v>0</v>
      </c>
      <c r="H28">
        <v>0</v>
      </c>
      <c r="I28">
        <v>2</v>
      </c>
      <c r="J28">
        <v>0.42</v>
      </c>
      <c r="K28">
        <v>0.42420000000000002</v>
      </c>
      <c r="L28">
        <v>1</v>
      </c>
      <c r="M28">
        <v>0.28360000000000002</v>
      </c>
      <c r="N28">
        <v>1</v>
      </c>
      <c r="O28">
        <v>8</v>
      </c>
      <c r="P28">
        <v>9</v>
      </c>
    </row>
    <row r="29" spans="1:16" x14ac:dyDescent="0.25">
      <c r="A29">
        <v>28</v>
      </c>
      <c r="B29" s="4">
        <v>40545</v>
      </c>
      <c r="C29">
        <v>1</v>
      </c>
      <c r="D29">
        <v>0</v>
      </c>
      <c r="E29">
        <v>1</v>
      </c>
      <c r="F29">
        <v>3</v>
      </c>
      <c r="G29" t="b">
        <v>0</v>
      </c>
      <c r="H29">
        <v>0</v>
      </c>
      <c r="I29">
        <v>2</v>
      </c>
      <c r="J29">
        <v>0.46</v>
      </c>
      <c r="K29">
        <v>0.45450000000000002</v>
      </c>
      <c r="L29">
        <v>0.94</v>
      </c>
      <c r="M29">
        <v>0.19400000000000001</v>
      </c>
      <c r="N29">
        <v>2</v>
      </c>
      <c r="O29">
        <v>4</v>
      </c>
      <c r="P29">
        <v>6</v>
      </c>
    </row>
    <row r="30" spans="1:16" x14ac:dyDescent="0.25">
      <c r="A30">
        <v>29</v>
      </c>
      <c r="B30" s="4">
        <v>40545</v>
      </c>
      <c r="C30">
        <v>1</v>
      </c>
      <c r="D30">
        <v>0</v>
      </c>
      <c r="E30">
        <v>1</v>
      </c>
      <c r="F30">
        <v>4</v>
      </c>
      <c r="G30" t="b">
        <v>0</v>
      </c>
      <c r="H30">
        <v>0</v>
      </c>
      <c r="I30">
        <v>2</v>
      </c>
      <c r="J30">
        <v>0.46</v>
      </c>
      <c r="L30">
        <v>0.94</v>
      </c>
      <c r="M30">
        <v>0.19400000000000001</v>
      </c>
      <c r="N30">
        <v>2</v>
      </c>
      <c r="O30">
        <v>1</v>
      </c>
      <c r="P30">
        <v>3</v>
      </c>
    </row>
    <row r="31" spans="1:16" x14ac:dyDescent="0.25">
      <c r="A31">
        <v>30</v>
      </c>
      <c r="B31" s="4">
        <v>40545</v>
      </c>
      <c r="C31">
        <v>1</v>
      </c>
      <c r="D31">
        <v>0</v>
      </c>
      <c r="E31">
        <v>1</v>
      </c>
      <c r="F31">
        <v>6</v>
      </c>
      <c r="G31" t="b">
        <v>0</v>
      </c>
      <c r="H31">
        <v>0</v>
      </c>
      <c r="I31">
        <v>3</v>
      </c>
      <c r="J31">
        <v>0.42</v>
      </c>
      <c r="K31">
        <v>0.42420000000000002</v>
      </c>
      <c r="L31">
        <v>0.77</v>
      </c>
      <c r="M31">
        <v>0.29849999999999999</v>
      </c>
      <c r="N31">
        <v>0</v>
      </c>
      <c r="O31">
        <v>2</v>
      </c>
      <c r="P31">
        <v>2</v>
      </c>
    </row>
    <row r="32" spans="1:16" x14ac:dyDescent="0.25">
      <c r="A32">
        <v>31</v>
      </c>
      <c r="B32" s="4">
        <v>40545</v>
      </c>
      <c r="C32">
        <v>1</v>
      </c>
      <c r="D32">
        <v>0</v>
      </c>
      <c r="E32">
        <v>1</v>
      </c>
      <c r="F32">
        <v>7</v>
      </c>
      <c r="G32" t="b">
        <v>0</v>
      </c>
      <c r="H32">
        <v>0</v>
      </c>
      <c r="I32">
        <v>2</v>
      </c>
      <c r="J32">
        <v>0.4</v>
      </c>
      <c r="K32">
        <v>0.40910000000000002</v>
      </c>
      <c r="L32">
        <v>0.76</v>
      </c>
      <c r="M32">
        <v>0.19400000000000001</v>
      </c>
      <c r="N32">
        <v>0</v>
      </c>
      <c r="O32">
        <v>1</v>
      </c>
      <c r="P32">
        <v>1</v>
      </c>
    </row>
    <row r="33" spans="1:16" x14ac:dyDescent="0.25">
      <c r="A33">
        <v>32</v>
      </c>
      <c r="B33" s="4">
        <v>40545</v>
      </c>
      <c r="C33">
        <v>1</v>
      </c>
      <c r="D33">
        <v>0</v>
      </c>
      <c r="E33">
        <v>1</v>
      </c>
      <c r="F33">
        <v>8</v>
      </c>
      <c r="G33" t="b">
        <v>0</v>
      </c>
      <c r="H33">
        <v>0</v>
      </c>
      <c r="I33">
        <v>3</v>
      </c>
      <c r="J33">
        <v>0.4</v>
      </c>
      <c r="K33">
        <v>0.40910000000000002</v>
      </c>
      <c r="L33">
        <v>0.71</v>
      </c>
      <c r="M33">
        <v>0.22389999999999999</v>
      </c>
      <c r="N33">
        <v>0</v>
      </c>
      <c r="O33">
        <v>8</v>
      </c>
      <c r="P33">
        <v>8</v>
      </c>
    </row>
    <row r="34" spans="1:16" x14ac:dyDescent="0.25">
      <c r="A34">
        <v>33</v>
      </c>
      <c r="B34" s="4">
        <v>40545</v>
      </c>
      <c r="C34">
        <v>1</v>
      </c>
      <c r="D34">
        <v>0</v>
      </c>
      <c r="E34">
        <v>1</v>
      </c>
      <c r="F34">
        <v>9</v>
      </c>
      <c r="G34" t="b">
        <v>0</v>
      </c>
      <c r="H34">
        <v>0</v>
      </c>
      <c r="I34">
        <v>2</v>
      </c>
      <c r="J34">
        <v>0.38</v>
      </c>
      <c r="L34">
        <v>0.76</v>
      </c>
      <c r="M34">
        <v>0.22389999999999999</v>
      </c>
      <c r="N34">
        <v>1</v>
      </c>
      <c r="O34">
        <v>19</v>
      </c>
      <c r="P34">
        <v>20</v>
      </c>
    </row>
    <row r="35" spans="1:16" x14ac:dyDescent="0.25">
      <c r="A35">
        <v>34</v>
      </c>
      <c r="B35" s="4">
        <v>40545</v>
      </c>
      <c r="C35">
        <v>1</v>
      </c>
      <c r="D35">
        <v>0</v>
      </c>
      <c r="E35">
        <v>1</v>
      </c>
      <c r="F35">
        <v>10</v>
      </c>
      <c r="G35" t="b">
        <v>0</v>
      </c>
      <c r="H35">
        <v>0</v>
      </c>
      <c r="I35">
        <v>2</v>
      </c>
      <c r="J35">
        <v>0.36</v>
      </c>
      <c r="K35">
        <v>0.34849999999999998</v>
      </c>
      <c r="L35">
        <v>0.81</v>
      </c>
      <c r="M35">
        <v>0.22389999999999999</v>
      </c>
      <c r="N35">
        <v>7</v>
      </c>
      <c r="O35">
        <v>46</v>
      </c>
      <c r="P35">
        <v>53</v>
      </c>
    </row>
    <row r="36" spans="1:16" x14ac:dyDescent="0.25">
      <c r="A36">
        <v>35</v>
      </c>
      <c r="B36" s="4">
        <v>40545</v>
      </c>
      <c r="C36">
        <v>1</v>
      </c>
      <c r="D36">
        <v>0</v>
      </c>
      <c r="E36">
        <v>1</v>
      </c>
      <c r="F36">
        <v>11</v>
      </c>
      <c r="G36" t="b">
        <v>0</v>
      </c>
      <c r="H36">
        <v>0</v>
      </c>
      <c r="I36">
        <v>2</v>
      </c>
      <c r="J36">
        <v>0.36</v>
      </c>
      <c r="K36">
        <v>0.33329999999999999</v>
      </c>
      <c r="L36">
        <v>0.71</v>
      </c>
      <c r="M36">
        <v>0.25369999999999998</v>
      </c>
      <c r="N36">
        <v>16</v>
      </c>
      <c r="O36">
        <v>54</v>
      </c>
      <c r="P36">
        <v>70</v>
      </c>
    </row>
    <row r="37" spans="1:16" x14ac:dyDescent="0.25">
      <c r="A37">
        <v>36</v>
      </c>
      <c r="B37" s="4">
        <v>40545</v>
      </c>
      <c r="C37">
        <v>1</v>
      </c>
      <c r="D37">
        <v>0</v>
      </c>
      <c r="E37">
        <v>1</v>
      </c>
      <c r="F37">
        <v>12</v>
      </c>
      <c r="G37" t="b">
        <v>0</v>
      </c>
      <c r="H37">
        <v>0</v>
      </c>
      <c r="I37">
        <v>2</v>
      </c>
      <c r="J37">
        <v>0.36</v>
      </c>
      <c r="K37">
        <v>0.33329999999999999</v>
      </c>
      <c r="L37">
        <v>0.66</v>
      </c>
      <c r="M37">
        <v>0.29849999999999999</v>
      </c>
      <c r="N37">
        <v>20</v>
      </c>
      <c r="O37">
        <v>73</v>
      </c>
      <c r="P37">
        <v>93</v>
      </c>
    </row>
    <row r="38" spans="1:16" x14ac:dyDescent="0.25">
      <c r="A38">
        <v>37</v>
      </c>
      <c r="B38" s="4">
        <v>40545</v>
      </c>
      <c r="C38">
        <v>1</v>
      </c>
      <c r="D38">
        <v>0</v>
      </c>
      <c r="E38">
        <v>1</v>
      </c>
      <c r="F38">
        <v>13</v>
      </c>
      <c r="G38" t="b">
        <v>0</v>
      </c>
      <c r="H38">
        <v>0</v>
      </c>
      <c r="I38">
        <v>2</v>
      </c>
      <c r="J38">
        <v>0.36</v>
      </c>
      <c r="K38">
        <v>0.34849999999999998</v>
      </c>
      <c r="L38">
        <v>0.66</v>
      </c>
      <c r="M38">
        <v>0.1343</v>
      </c>
      <c r="N38">
        <v>11</v>
      </c>
      <c r="O38">
        <v>64</v>
      </c>
      <c r="P38">
        <v>75</v>
      </c>
    </row>
    <row r="39" spans="1:16" x14ac:dyDescent="0.25">
      <c r="A39">
        <v>38</v>
      </c>
      <c r="B39" s="4">
        <v>40545</v>
      </c>
      <c r="C39">
        <v>1</v>
      </c>
      <c r="D39">
        <v>0</v>
      </c>
      <c r="E39">
        <v>1</v>
      </c>
      <c r="F39">
        <v>14</v>
      </c>
      <c r="G39" t="b">
        <v>0</v>
      </c>
      <c r="H39">
        <v>0</v>
      </c>
      <c r="I39">
        <v>3</v>
      </c>
      <c r="J39">
        <v>0.36</v>
      </c>
      <c r="L39">
        <v>0.76</v>
      </c>
      <c r="M39">
        <v>0.19400000000000001</v>
      </c>
      <c r="N39">
        <v>4</v>
      </c>
      <c r="O39">
        <v>55</v>
      </c>
      <c r="P39">
        <v>59</v>
      </c>
    </row>
    <row r="40" spans="1:16" x14ac:dyDescent="0.25">
      <c r="A40">
        <v>39</v>
      </c>
      <c r="B40" s="4">
        <v>40545</v>
      </c>
      <c r="C40">
        <v>1</v>
      </c>
      <c r="D40">
        <v>0</v>
      </c>
      <c r="E40">
        <v>1</v>
      </c>
      <c r="F40">
        <v>15</v>
      </c>
      <c r="G40" t="b">
        <v>0</v>
      </c>
      <c r="H40">
        <v>0</v>
      </c>
      <c r="I40">
        <v>3</v>
      </c>
      <c r="J40">
        <v>0.34</v>
      </c>
      <c r="K40">
        <v>0.33329999999999999</v>
      </c>
      <c r="L40">
        <v>0.81</v>
      </c>
      <c r="M40">
        <v>0.16420000000000001</v>
      </c>
      <c r="N40">
        <v>19</v>
      </c>
      <c r="O40">
        <v>55</v>
      </c>
      <c r="P40">
        <v>74</v>
      </c>
    </row>
    <row r="41" spans="1:16" x14ac:dyDescent="0.25">
      <c r="A41">
        <v>40</v>
      </c>
      <c r="B41" s="4">
        <v>40545</v>
      </c>
      <c r="C41">
        <v>1</v>
      </c>
      <c r="D41">
        <v>0</v>
      </c>
      <c r="E41">
        <v>1</v>
      </c>
      <c r="F41">
        <v>16</v>
      </c>
      <c r="G41" t="b">
        <v>0</v>
      </c>
      <c r="H41">
        <v>0</v>
      </c>
      <c r="I41">
        <v>3</v>
      </c>
      <c r="J41">
        <v>0.34</v>
      </c>
      <c r="K41">
        <v>0.33329999999999999</v>
      </c>
      <c r="L41">
        <v>0.71</v>
      </c>
      <c r="M41">
        <v>0.16420000000000001</v>
      </c>
      <c r="N41">
        <v>9</v>
      </c>
      <c r="O41">
        <v>67</v>
      </c>
      <c r="P41">
        <v>76</v>
      </c>
    </row>
    <row r="42" spans="1:16" x14ac:dyDescent="0.25">
      <c r="A42">
        <v>41</v>
      </c>
      <c r="B42" s="4">
        <v>40545</v>
      </c>
      <c r="C42">
        <v>1</v>
      </c>
      <c r="D42">
        <v>0</v>
      </c>
      <c r="E42">
        <v>1</v>
      </c>
      <c r="F42">
        <v>17</v>
      </c>
      <c r="G42" t="b">
        <v>0</v>
      </c>
      <c r="H42">
        <v>0</v>
      </c>
      <c r="I42">
        <v>1</v>
      </c>
      <c r="J42">
        <v>0.34</v>
      </c>
      <c r="K42">
        <v>0.33329999999999999</v>
      </c>
      <c r="L42">
        <v>0.56999999999999995</v>
      </c>
      <c r="M42">
        <v>0.19400000000000001</v>
      </c>
      <c r="N42">
        <v>7</v>
      </c>
      <c r="O42">
        <v>58</v>
      </c>
      <c r="P42">
        <v>65</v>
      </c>
    </row>
    <row r="43" spans="1:16" x14ac:dyDescent="0.25">
      <c r="A43">
        <v>42</v>
      </c>
      <c r="B43" s="4">
        <v>40545</v>
      </c>
      <c r="C43">
        <v>1</v>
      </c>
      <c r="D43">
        <v>0</v>
      </c>
      <c r="E43">
        <v>1</v>
      </c>
      <c r="F43">
        <v>18</v>
      </c>
      <c r="G43" t="b">
        <v>0</v>
      </c>
      <c r="H43">
        <v>0</v>
      </c>
      <c r="I43">
        <v>2</v>
      </c>
      <c r="J43">
        <v>0.36</v>
      </c>
      <c r="K43">
        <v>0.33329999999999999</v>
      </c>
      <c r="L43">
        <v>0.46</v>
      </c>
      <c r="M43">
        <v>0.32840000000000003</v>
      </c>
      <c r="N43">
        <v>10</v>
      </c>
      <c r="O43">
        <v>43</v>
      </c>
      <c r="P43">
        <v>53</v>
      </c>
    </row>
    <row r="44" spans="1:16" x14ac:dyDescent="0.25">
      <c r="A44">
        <v>43</v>
      </c>
      <c r="B44" s="4">
        <v>40545</v>
      </c>
      <c r="C44">
        <v>1</v>
      </c>
      <c r="D44">
        <v>0</v>
      </c>
      <c r="E44">
        <v>1</v>
      </c>
      <c r="F44">
        <v>19</v>
      </c>
      <c r="G44" t="b">
        <v>0</v>
      </c>
      <c r="H44">
        <v>0</v>
      </c>
      <c r="I44">
        <v>1</v>
      </c>
      <c r="J44">
        <v>0.32</v>
      </c>
      <c r="K44">
        <v>0.28789999999999999</v>
      </c>
      <c r="L44">
        <v>0.42</v>
      </c>
      <c r="M44">
        <v>0.44779999999999998</v>
      </c>
      <c r="N44">
        <v>1</v>
      </c>
      <c r="O44">
        <v>29</v>
      </c>
      <c r="P44">
        <v>30</v>
      </c>
    </row>
    <row r="45" spans="1:16" x14ac:dyDescent="0.25">
      <c r="A45">
        <v>44</v>
      </c>
      <c r="B45" s="4">
        <v>40545</v>
      </c>
      <c r="C45">
        <v>1</v>
      </c>
      <c r="D45">
        <v>0</v>
      </c>
      <c r="E45">
        <v>1</v>
      </c>
      <c r="F45">
        <v>20</v>
      </c>
      <c r="G45" t="b">
        <v>0</v>
      </c>
      <c r="H45">
        <v>0</v>
      </c>
      <c r="I45">
        <v>1</v>
      </c>
      <c r="J45">
        <v>0.3</v>
      </c>
      <c r="L45">
        <v>0.39</v>
      </c>
      <c r="M45">
        <v>0.35820000000000002</v>
      </c>
      <c r="N45">
        <v>5</v>
      </c>
      <c r="O45">
        <v>17</v>
      </c>
      <c r="P45">
        <v>22</v>
      </c>
    </row>
    <row r="46" spans="1:16" x14ac:dyDescent="0.25">
      <c r="A46">
        <v>45</v>
      </c>
      <c r="B46" s="4">
        <v>40545</v>
      </c>
      <c r="C46">
        <v>1</v>
      </c>
      <c r="D46">
        <v>0</v>
      </c>
      <c r="E46">
        <v>1</v>
      </c>
      <c r="F46">
        <v>21</v>
      </c>
      <c r="G46" t="b">
        <v>0</v>
      </c>
      <c r="H46">
        <v>0</v>
      </c>
      <c r="I46">
        <v>1</v>
      </c>
      <c r="J46">
        <v>0.26</v>
      </c>
      <c r="K46">
        <v>0.2273</v>
      </c>
      <c r="L46">
        <v>0.44</v>
      </c>
      <c r="M46">
        <v>0.32840000000000003</v>
      </c>
      <c r="N46">
        <v>11</v>
      </c>
      <c r="O46">
        <v>20</v>
      </c>
      <c r="P46">
        <v>31</v>
      </c>
    </row>
    <row r="47" spans="1:16" x14ac:dyDescent="0.25">
      <c r="A47">
        <v>46</v>
      </c>
      <c r="B47" s="4">
        <v>40545</v>
      </c>
      <c r="C47">
        <v>1</v>
      </c>
      <c r="D47">
        <v>0</v>
      </c>
      <c r="E47">
        <v>1</v>
      </c>
      <c r="F47">
        <v>22</v>
      </c>
      <c r="G47" t="b">
        <v>0</v>
      </c>
      <c r="H47">
        <v>0</v>
      </c>
      <c r="I47">
        <v>1</v>
      </c>
      <c r="J47">
        <v>0.24</v>
      </c>
      <c r="K47">
        <v>0.21210000000000001</v>
      </c>
      <c r="L47">
        <v>0.44</v>
      </c>
      <c r="M47">
        <v>0.29849999999999999</v>
      </c>
      <c r="N47">
        <v>0</v>
      </c>
      <c r="O47">
        <v>9</v>
      </c>
      <c r="P47">
        <v>9</v>
      </c>
    </row>
    <row r="48" spans="1:16" x14ac:dyDescent="0.25">
      <c r="A48">
        <v>47</v>
      </c>
      <c r="B48" s="4">
        <v>40545</v>
      </c>
      <c r="C48">
        <v>1</v>
      </c>
      <c r="D48">
        <v>0</v>
      </c>
      <c r="E48">
        <v>1</v>
      </c>
      <c r="F48">
        <v>23</v>
      </c>
      <c r="G48" t="b">
        <v>0</v>
      </c>
      <c r="H48">
        <v>0</v>
      </c>
      <c r="I48">
        <v>1</v>
      </c>
      <c r="J48">
        <v>0.22</v>
      </c>
      <c r="K48">
        <v>0.2273</v>
      </c>
      <c r="L48">
        <v>0.47</v>
      </c>
      <c r="M48">
        <v>0.16420000000000001</v>
      </c>
      <c r="N48">
        <v>0</v>
      </c>
      <c r="O48">
        <v>8</v>
      </c>
      <c r="P48">
        <v>8</v>
      </c>
    </row>
    <row r="49" spans="1:16" x14ac:dyDescent="0.25">
      <c r="A49">
        <v>48</v>
      </c>
      <c r="B49" s="4">
        <v>40546</v>
      </c>
      <c r="C49">
        <v>1</v>
      </c>
      <c r="D49">
        <v>0</v>
      </c>
      <c r="E49">
        <v>1</v>
      </c>
      <c r="F49">
        <v>0</v>
      </c>
      <c r="G49" t="b">
        <v>0</v>
      </c>
      <c r="H49">
        <v>1</v>
      </c>
      <c r="I49">
        <v>1</v>
      </c>
      <c r="J49">
        <v>0.22</v>
      </c>
      <c r="K49">
        <v>0.19700000000000001</v>
      </c>
      <c r="L49">
        <v>0.44</v>
      </c>
      <c r="M49">
        <v>0.35820000000000002</v>
      </c>
      <c r="N49">
        <v>0</v>
      </c>
      <c r="O49">
        <v>5</v>
      </c>
      <c r="P49">
        <v>5</v>
      </c>
    </row>
    <row r="50" spans="1:16" x14ac:dyDescent="0.25">
      <c r="A50">
        <v>49</v>
      </c>
      <c r="B50" s="4">
        <v>40546</v>
      </c>
      <c r="C50">
        <v>1</v>
      </c>
      <c r="D50">
        <v>0</v>
      </c>
      <c r="E50">
        <v>1</v>
      </c>
      <c r="F50">
        <v>1</v>
      </c>
      <c r="G50" t="b">
        <v>0</v>
      </c>
      <c r="H50">
        <v>1</v>
      </c>
      <c r="I50">
        <v>1</v>
      </c>
      <c r="J50">
        <v>0.2</v>
      </c>
      <c r="L50">
        <v>0.44</v>
      </c>
      <c r="M50">
        <v>0.41789999999999999</v>
      </c>
      <c r="N50">
        <v>0</v>
      </c>
      <c r="O50">
        <v>2</v>
      </c>
      <c r="P50">
        <v>2</v>
      </c>
    </row>
    <row r="51" spans="1:16" x14ac:dyDescent="0.25">
      <c r="A51">
        <v>50</v>
      </c>
      <c r="B51" s="4">
        <v>40546</v>
      </c>
      <c r="C51">
        <v>1</v>
      </c>
      <c r="D51">
        <v>0</v>
      </c>
      <c r="E51">
        <v>1</v>
      </c>
      <c r="F51">
        <v>4</v>
      </c>
      <c r="G51" t="b">
        <v>0</v>
      </c>
      <c r="H51">
        <v>1</v>
      </c>
      <c r="I51">
        <v>1</v>
      </c>
      <c r="J51">
        <v>0.16</v>
      </c>
      <c r="K51">
        <v>0.13639999999999999</v>
      </c>
      <c r="L51">
        <v>0.47</v>
      </c>
      <c r="M51">
        <v>0.3881</v>
      </c>
      <c r="N51">
        <v>0</v>
      </c>
      <c r="O51">
        <v>1</v>
      </c>
      <c r="P51">
        <v>1</v>
      </c>
    </row>
    <row r="52" spans="1:16" x14ac:dyDescent="0.25">
      <c r="A52">
        <v>51</v>
      </c>
      <c r="B52" s="4">
        <v>40546</v>
      </c>
      <c r="C52">
        <v>1</v>
      </c>
      <c r="D52">
        <v>0</v>
      </c>
      <c r="E52">
        <v>1</v>
      </c>
      <c r="F52">
        <v>5</v>
      </c>
      <c r="G52" t="b">
        <v>0</v>
      </c>
      <c r="H52">
        <v>1</v>
      </c>
      <c r="I52">
        <v>1</v>
      </c>
      <c r="J52">
        <v>0.16</v>
      </c>
      <c r="K52">
        <v>0.13639999999999999</v>
      </c>
      <c r="L52">
        <v>0.47</v>
      </c>
      <c r="M52">
        <v>0.28360000000000002</v>
      </c>
      <c r="N52">
        <v>0</v>
      </c>
      <c r="O52">
        <v>3</v>
      </c>
      <c r="P52">
        <v>3</v>
      </c>
    </row>
    <row r="53" spans="1:16" x14ac:dyDescent="0.25">
      <c r="A53">
        <v>52</v>
      </c>
      <c r="B53" s="4">
        <v>40546</v>
      </c>
      <c r="C53">
        <v>1</v>
      </c>
      <c r="D53">
        <v>0</v>
      </c>
      <c r="E53">
        <v>1</v>
      </c>
      <c r="F53">
        <v>6</v>
      </c>
      <c r="G53" t="b">
        <v>0</v>
      </c>
      <c r="H53">
        <v>1</v>
      </c>
      <c r="I53">
        <v>1</v>
      </c>
      <c r="J53">
        <v>0.14000000000000001</v>
      </c>
      <c r="K53">
        <v>0.1061</v>
      </c>
      <c r="L53">
        <v>0.5</v>
      </c>
      <c r="M53">
        <v>0.3881</v>
      </c>
      <c r="N53">
        <v>0</v>
      </c>
      <c r="O53">
        <v>30</v>
      </c>
      <c r="P53">
        <v>30</v>
      </c>
    </row>
    <row r="54" spans="1:16" x14ac:dyDescent="0.25">
      <c r="A54">
        <v>53</v>
      </c>
      <c r="B54" s="4">
        <v>40546</v>
      </c>
      <c r="C54">
        <v>1</v>
      </c>
      <c r="D54">
        <v>0</v>
      </c>
      <c r="E54">
        <v>1</v>
      </c>
      <c r="F54">
        <v>7</v>
      </c>
      <c r="G54" t="b">
        <v>0</v>
      </c>
      <c r="H54">
        <v>1</v>
      </c>
      <c r="I54">
        <v>1</v>
      </c>
      <c r="J54">
        <v>0.14000000000000001</v>
      </c>
      <c r="K54">
        <v>0.13639999999999999</v>
      </c>
      <c r="L54">
        <v>0.5</v>
      </c>
      <c r="M54">
        <v>0.19400000000000001</v>
      </c>
      <c r="N54">
        <v>1</v>
      </c>
      <c r="O54">
        <v>63</v>
      </c>
      <c r="P54">
        <v>64</v>
      </c>
    </row>
    <row r="55" spans="1:16" x14ac:dyDescent="0.25">
      <c r="A55">
        <v>54</v>
      </c>
      <c r="B55" s="4">
        <v>40546</v>
      </c>
      <c r="C55">
        <v>1</v>
      </c>
      <c r="D55">
        <v>0</v>
      </c>
      <c r="E55">
        <v>1</v>
      </c>
      <c r="F55">
        <v>8</v>
      </c>
      <c r="G55" t="b">
        <v>0</v>
      </c>
      <c r="H55">
        <v>1</v>
      </c>
      <c r="I55">
        <v>1</v>
      </c>
      <c r="J55">
        <v>0.14000000000000001</v>
      </c>
      <c r="K55">
        <v>0.1212</v>
      </c>
      <c r="L55">
        <v>0.5</v>
      </c>
      <c r="M55">
        <v>0.28360000000000002</v>
      </c>
      <c r="N55">
        <v>1</v>
      </c>
      <c r="O55">
        <v>153</v>
      </c>
      <c r="P55">
        <v>154</v>
      </c>
    </row>
    <row r="56" spans="1:16" x14ac:dyDescent="0.25">
      <c r="A56">
        <v>55</v>
      </c>
      <c r="B56" s="4">
        <v>40546</v>
      </c>
      <c r="C56">
        <v>1</v>
      </c>
      <c r="D56">
        <v>0</v>
      </c>
      <c r="E56">
        <v>1</v>
      </c>
      <c r="F56">
        <v>9</v>
      </c>
      <c r="G56" t="b">
        <v>0</v>
      </c>
      <c r="H56">
        <v>1</v>
      </c>
      <c r="I56">
        <v>1</v>
      </c>
      <c r="J56">
        <v>0.16</v>
      </c>
      <c r="K56">
        <v>0.13639999999999999</v>
      </c>
      <c r="L56">
        <v>0.43</v>
      </c>
      <c r="M56">
        <v>0.3881</v>
      </c>
      <c r="N56">
        <v>7</v>
      </c>
      <c r="O56">
        <v>81</v>
      </c>
      <c r="P56">
        <v>88</v>
      </c>
    </row>
    <row r="57" spans="1:16" x14ac:dyDescent="0.25">
      <c r="A57">
        <v>56</v>
      </c>
      <c r="B57" s="4">
        <v>40546</v>
      </c>
      <c r="C57">
        <v>1</v>
      </c>
      <c r="D57">
        <v>0</v>
      </c>
      <c r="E57">
        <v>1</v>
      </c>
      <c r="F57">
        <v>10</v>
      </c>
      <c r="G57" t="b">
        <v>0</v>
      </c>
      <c r="H57">
        <v>1</v>
      </c>
      <c r="I57">
        <v>1</v>
      </c>
      <c r="J57">
        <v>0.18</v>
      </c>
      <c r="K57">
        <v>0.16669999999999999</v>
      </c>
      <c r="L57">
        <v>0.43</v>
      </c>
      <c r="M57">
        <v>0.25369999999999998</v>
      </c>
      <c r="N57">
        <v>11</v>
      </c>
      <c r="O57">
        <v>33</v>
      </c>
      <c r="P57">
        <v>44</v>
      </c>
    </row>
    <row r="58" spans="1:16" x14ac:dyDescent="0.25">
      <c r="A58">
        <v>57</v>
      </c>
      <c r="B58" s="4">
        <v>40546</v>
      </c>
      <c r="C58">
        <v>1</v>
      </c>
      <c r="D58">
        <v>0</v>
      </c>
      <c r="E58">
        <v>1</v>
      </c>
      <c r="F58">
        <v>11</v>
      </c>
      <c r="G58" t="b">
        <v>0</v>
      </c>
      <c r="H58">
        <v>1</v>
      </c>
      <c r="I58">
        <v>1</v>
      </c>
      <c r="J58">
        <v>0.2</v>
      </c>
      <c r="K58">
        <v>0.18179999999999999</v>
      </c>
      <c r="L58">
        <v>0.4</v>
      </c>
      <c r="M58">
        <v>0.32840000000000003</v>
      </c>
      <c r="N58">
        <v>10</v>
      </c>
      <c r="O58">
        <v>41</v>
      </c>
      <c r="P58">
        <v>51</v>
      </c>
    </row>
    <row r="59" spans="1:16" x14ac:dyDescent="0.25">
      <c r="A59">
        <v>58</v>
      </c>
      <c r="B59" s="4">
        <v>40546</v>
      </c>
      <c r="C59">
        <v>1</v>
      </c>
      <c r="D59">
        <v>0</v>
      </c>
      <c r="E59">
        <v>1</v>
      </c>
      <c r="F59">
        <v>12</v>
      </c>
      <c r="G59" t="b">
        <v>0</v>
      </c>
      <c r="H59">
        <v>1</v>
      </c>
      <c r="I59">
        <v>1</v>
      </c>
      <c r="J59">
        <v>0.22</v>
      </c>
      <c r="K59">
        <v>0.21210000000000001</v>
      </c>
      <c r="L59">
        <v>0.35</v>
      </c>
      <c r="M59">
        <v>0.29849999999999999</v>
      </c>
      <c r="N59">
        <v>13</v>
      </c>
      <c r="O59">
        <v>48</v>
      </c>
      <c r="P59">
        <v>61</v>
      </c>
    </row>
    <row r="60" spans="1:16" x14ac:dyDescent="0.25">
      <c r="A60">
        <v>59</v>
      </c>
      <c r="B60" s="4">
        <v>40546</v>
      </c>
      <c r="C60">
        <v>1</v>
      </c>
      <c r="D60">
        <v>0</v>
      </c>
      <c r="E60">
        <v>1</v>
      </c>
      <c r="F60">
        <v>13</v>
      </c>
      <c r="G60" t="b">
        <v>0</v>
      </c>
      <c r="H60">
        <v>1</v>
      </c>
      <c r="I60">
        <v>1</v>
      </c>
      <c r="J60">
        <v>0.24</v>
      </c>
      <c r="L60">
        <v>0.35</v>
      </c>
      <c r="M60">
        <v>0.28360000000000002</v>
      </c>
      <c r="N60">
        <v>8</v>
      </c>
      <c r="O60">
        <v>53</v>
      </c>
      <c r="P60">
        <v>61</v>
      </c>
    </row>
    <row r="61" spans="1:16" x14ac:dyDescent="0.25">
      <c r="A61">
        <v>60</v>
      </c>
      <c r="B61" s="4">
        <v>40546</v>
      </c>
      <c r="C61">
        <v>1</v>
      </c>
      <c r="D61">
        <v>0</v>
      </c>
      <c r="E61">
        <v>1</v>
      </c>
      <c r="F61">
        <v>14</v>
      </c>
      <c r="G61" t="b">
        <v>0</v>
      </c>
      <c r="H61">
        <v>1</v>
      </c>
      <c r="I61">
        <v>1</v>
      </c>
      <c r="J61">
        <v>0.26</v>
      </c>
      <c r="K61">
        <v>0.2424</v>
      </c>
      <c r="L61">
        <v>0.3</v>
      </c>
      <c r="M61">
        <v>0.28360000000000002</v>
      </c>
      <c r="N61">
        <v>11</v>
      </c>
      <c r="O61">
        <v>66</v>
      </c>
      <c r="P61">
        <v>77</v>
      </c>
    </row>
    <row r="62" spans="1:16" x14ac:dyDescent="0.25">
      <c r="A62">
        <v>61</v>
      </c>
      <c r="B62" s="4">
        <v>40546</v>
      </c>
      <c r="C62">
        <v>1</v>
      </c>
      <c r="D62">
        <v>0</v>
      </c>
      <c r="E62">
        <v>1</v>
      </c>
      <c r="F62">
        <v>15</v>
      </c>
      <c r="G62" t="b">
        <v>0</v>
      </c>
      <c r="H62">
        <v>1</v>
      </c>
      <c r="I62">
        <v>1</v>
      </c>
      <c r="J62">
        <v>0.26</v>
      </c>
      <c r="K62">
        <v>0.2424</v>
      </c>
      <c r="L62">
        <v>0.3</v>
      </c>
      <c r="M62">
        <v>0.25369999999999998</v>
      </c>
      <c r="N62">
        <v>14</v>
      </c>
      <c r="O62">
        <v>58</v>
      </c>
      <c r="P62">
        <v>72</v>
      </c>
    </row>
    <row r="63" spans="1:16" x14ac:dyDescent="0.25">
      <c r="A63">
        <v>62</v>
      </c>
      <c r="B63" s="4">
        <v>40546</v>
      </c>
      <c r="C63">
        <v>1</v>
      </c>
      <c r="D63">
        <v>0</v>
      </c>
      <c r="E63">
        <v>1</v>
      </c>
      <c r="F63">
        <v>16</v>
      </c>
      <c r="G63" t="b">
        <v>0</v>
      </c>
      <c r="H63">
        <v>1</v>
      </c>
      <c r="I63">
        <v>1</v>
      </c>
      <c r="J63">
        <v>0.26</v>
      </c>
      <c r="K63">
        <v>0.2424</v>
      </c>
      <c r="L63">
        <v>0.3</v>
      </c>
      <c r="M63">
        <v>0.25369999999999998</v>
      </c>
      <c r="N63">
        <v>9</v>
      </c>
      <c r="O63">
        <v>67</v>
      </c>
      <c r="P63">
        <v>76</v>
      </c>
    </row>
    <row r="64" spans="1:16" x14ac:dyDescent="0.25">
      <c r="A64">
        <v>63</v>
      </c>
      <c r="B64" s="4">
        <v>40546</v>
      </c>
      <c r="C64">
        <v>1</v>
      </c>
      <c r="D64">
        <v>0</v>
      </c>
      <c r="E64">
        <v>1</v>
      </c>
      <c r="F64">
        <v>17</v>
      </c>
      <c r="G64" t="b">
        <v>0</v>
      </c>
      <c r="H64">
        <v>1</v>
      </c>
      <c r="I64">
        <v>1</v>
      </c>
      <c r="J64">
        <v>0.24</v>
      </c>
      <c r="K64">
        <v>0.2273</v>
      </c>
      <c r="L64">
        <v>0.3</v>
      </c>
      <c r="M64">
        <v>0.22389999999999999</v>
      </c>
      <c r="N64">
        <v>11</v>
      </c>
      <c r="O64">
        <v>146</v>
      </c>
      <c r="P64">
        <v>157</v>
      </c>
    </row>
    <row r="65" spans="1:16" x14ac:dyDescent="0.25">
      <c r="A65">
        <v>64</v>
      </c>
      <c r="B65" s="4">
        <v>40546</v>
      </c>
      <c r="C65">
        <v>1</v>
      </c>
      <c r="D65">
        <v>0</v>
      </c>
      <c r="E65">
        <v>1</v>
      </c>
      <c r="F65">
        <v>18</v>
      </c>
      <c r="G65" t="b">
        <v>0</v>
      </c>
      <c r="H65">
        <v>1</v>
      </c>
      <c r="I65">
        <v>1</v>
      </c>
      <c r="J65">
        <v>0.24</v>
      </c>
      <c r="K65">
        <v>0.2576</v>
      </c>
      <c r="L65">
        <v>0.32</v>
      </c>
      <c r="M65">
        <v>0.1045</v>
      </c>
      <c r="N65">
        <v>9</v>
      </c>
      <c r="O65">
        <v>148</v>
      </c>
      <c r="P65">
        <v>157</v>
      </c>
    </row>
    <row r="66" spans="1:16" x14ac:dyDescent="0.25">
      <c r="A66">
        <v>65</v>
      </c>
      <c r="B66" s="4">
        <v>40546</v>
      </c>
      <c r="C66">
        <v>1</v>
      </c>
      <c r="D66">
        <v>0</v>
      </c>
      <c r="E66">
        <v>1</v>
      </c>
      <c r="F66">
        <v>19</v>
      </c>
      <c r="G66" t="b">
        <v>0</v>
      </c>
      <c r="H66">
        <v>1</v>
      </c>
      <c r="I66">
        <v>1</v>
      </c>
      <c r="J66">
        <v>0.2</v>
      </c>
      <c r="K66">
        <v>0.2576</v>
      </c>
      <c r="L66">
        <v>0.47</v>
      </c>
      <c r="M66">
        <v>0</v>
      </c>
      <c r="N66">
        <v>8</v>
      </c>
      <c r="O66">
        <v>102</v>
      </c>
      <c r="P66">
        <v>110</v>
      </c>
    </row>
    <row r="67" spans="1:16" x14ac:dyDescent="0.25">
      <c r="A67">
        <v>66</v>
      </c>
      <c r="B67" s="4">
        <v>40546</v>
      </c>
      <c r="C67">
        <v>1</v>
      </c>
      <c r="D67">
        <v>0</v>
      </c>
      <c r="E67">
        <v>1</v>
      </c>
      <c r="F67">
        <v>20</v>
      </c>
      <c r="G67" t="b">
        <v>0</v>
      </c>
      <c r="H67">
        <v>1</v>
      </c>
      <c r="I67">
        <v>1</v>
      </c>
      <c r="J67">
        <v>0.2</v>
      </c>
      <c r="L67">
        <v>0.47</v>
      </c>
      <c r="M67">
        <v>0.1045</v>
      </c>
      <c r="N67">
        <v>3</v>
      </c>
      <c r="O67">
        <v>49</v>
      </c>
      <c r="P67">
        <v>52</v>
      </c>
    </row>
    <row r="68" spans="1:16" x14ac:dyDescent="0.25">
      <c r="A68">
        <v>67</v>
      </c>
      <c r="B68" s="4">
        <v>40546</v>
      </c>
      <c r="C68">
        <v>1</v>
      </c>
      <c r="D68">
        <v>0</v>
      </c>
      <c r="E68">
        <v>1</v>
      </c>
      <c r="F68">
        <v>21</v>
      </c>
      <c r="G68" t="b">
        <v>0</v>
      </c>
      <c r="H68">
        <v>1</v>
      </c>
      <c r="I68">
        <v>1</v>
      </c>
      <c r="J68">
        <v>0.18</v>
      </c>
      <c r="K68">
        <v>0.19700000000000001</v>
      </c>
      <c r="L68">
        <v>0.64</v>
      </c>
      <c r="M68">
        <v>0.1343</v>
      </c>
      <c r="N68">
        <v>3</v>
      </c>
      <c r="O68">
        <v>49</v>
      </c>
      <c r="P68">
        <v>52</v>
      </c>
    </row>
    <row r="69" spans="1:16" x14ac:dyDescent="0.25">
      <c r="A69">
        <v>68</v>
      </c>
      <c r="B69" s="4">
        <v>40546</v>
      </c>
      <c r="C69">
        <v>1</v>
      </c>
      <c r="D69">
        <v>0</v>
      </c>
      <c r="E69">
        <v>1</v>
      </c>
      <c r="F69">
        <v>22</v>
      </c>
      <c r="G69" t="b">
        <v>0</v>
      </c>
      <c r="H69">
        <v>1</v>
      </c>
      <c r="I69">
        <v>1</v>
      </c>
      <c r="J69">
        <v>0.14000000000000001</v>
      </c>
      <c r="K69">
        <v>0.1515</v>
      </c>
      <c r="L69">
        <v>0.69</v>
      </c>
      <c r="M69">
        <v>0.1343</v>
      </c>
      <c r="N69">
        <v>0</v>
      </c>
      <c r="O69">
        <v>20</v>
      </c>
      <c r="P69">
        <v>20</v>
      </c>
    </row>
    <row r="70" spans="1:16" x14ac:dyDescent="0.25">
      <c r="A70">
        <v>69</v>
      </c>
      <c r="B70" s="4">
        <v>40546</v>
      </c>
      <c r="C70">
        <v>1</v>
      </c>
      <c r="D70">
        <v>0</v>
      </c>
      <c r="E70">
        <v>1</v>
      </c>
      <c r="F70">
        <v>23</v>
      </c>
      <c r="G70" t="b">
        <v>0</v>
      </c>
      <c r="H70">
        <v>1</v>
      </c>
      <c r="I70">
        <v>1</v>
      </c>
      <c r="J70">
        <v>0.18</v>
      </c>
      <c r="K70">
        <v>0.21210000000000001</v>
      </c>
      <c r="L70">
        <v>0.55000000000000004</v>
      </c>
      <c r="M70">
        <v>0.1045</v>
      </c>
      <c r="N70">
        <v>1</v>
      </c>
      <c r="O70">
        <v>11</v>
      </c>
      <c r="P70">
        <v>12</v>
      </c>
    </row>
    <row r="71" spans="1:16" x14ac:dyDescent="0.25">
      <c r="A71">
        <v>70</v>
      </c>
      <c r="B71" s="4">
        <v>40547</v>
      </c>
      <c r="C71">
        <v>1</v>
      </c>
      <c r="D71">
        <v>0</v>
      </c>
      <c r="E71">
        <v>1</v>
      </c>
      <c r="F71">
        <v>0</v>
      </c>
      <c r="G71" t="b">
        <v>0</v>
      </c>
      <c r="H71">
        <v>2</v>
      </c>
      <c r="I71">
        <v>1</v>
      </c>
      <c r="J71">
        <v>0.16</v>
      </c>
      <c r="L71">
        <v>0.55000000000000004</v>
      </c>
      <c r="M71">
        <v>0.1045</v>
      </c>
      <c r="N71">
        <v>0</v>
      </c>
      <c r="O71">
        <v>5</v>
      </c>
      <c r="P71">
        <v>5</v>
      </c>
    </row>
    <row r="72" spans="1:16" x14ac:dyDescent="0.25">
      <c r="A72">
        <v>71</v>
      </c>
      <c r="B72" s="4">
        <v>40547</v>
      </c>
      <c r="C72">
        <v>1</v>
      </c>
      <c r="D72">
        <v>0</v>
      </c>
      <c r="E72">
        <v>1</v>
      </c>
      <c r="F72">
        <v>1</v>
      </c>
      <c r="G72" t="b">
        <v>0</v>
      </c>
      <c r="H72">
        <v>2</v>
      </c>
      <c r="I72">
        <v>1</v>
      </c>
      <c r="J72">
        <v>0.16</v>
      </c>
      <c r="K72">
        <v>0.18179999999999999</v>
      </c>
      <c r="L72">
        <v>0.59</v>
      </c>
      <c r="M72">
        <v>0.1045</v>
      </c>
      <c r="N72">
        <v>0</v>
      </c>
      <c r="O72">
        <v>2</v>
      </c>
      <c r="P72">
        <v>2</v>
      </c>
    </row>
    <row r="73" spans="1:16" x14ac:dyDescent="0.25">
      <c r="A73">
        <v>72</v>
      </c>
      <c r="B73" s="4">
        <v>40547</v>
      </c>
      <c r="C73">
        <v>1</v>
      </c>
      <c r="D73">
        <v>0</v>
      </c>
      <c r="E73">
        <v>1</v>
      </c>
      <c r="F73">
        <v>2</v>
      </c>
      <c r="G73" t="b">
        <v>0</v>
      </c>
      <c r="H73">
        <v>2</v>
      </c>
      <c r="I73">
        <v>1</v>
      </c>
      <c r="J73">
        <v>0.14000000000000001</v>
      </c>
      <c r="K73">
        <v>0.1515</v>
      </c>
      <c r="L73">
        <v>0.63</v>
      </c>
      <c r="M73">
        <v>0.1343</v>
      </c>
      <c r="N73">
        <v>0</v>
      </c>
      <c r="O73">
        <v>1</v>
      </c>
      <c r="P73">
        <v>1</v>
      </c>
    </row>
    <row r="74" spans="1:16" x14ac:dyDescent="0.25">
      <c r="A74">
        <v>73</v>
      </c>
      <c r="B74" s="4">
        <v>40547</v>
      </c>
      <c r="C74">
        <v>1</v>
      </c>
      <c r="D74">
        <v>0</v>
      </c>
      <c r="E74">
        <v>1</v>
      </c>
      <c r="F74">
        <v>4</v>
      </c>
      <c r="G74" t="b">
        <v>0</v>
      </c>
      <c r="H74">
        <v>2</v>
      </c>
      <c r="I74">
        <v>1</v>
      </c>
      <c r="J74">
        <v>0.14000000000000001</v>
      </c>
      <c r="K74">
        <v>0.18179999999999999</v>
      </c>
      <c r="L74">
        <v>0.63</v>
      </c>
      <c r="M74">
        <v>8.9599999999999999E-2</v>
      </c>
      <c r="N74">
        <v>0</v>
      </c>
      <c r="O74">
        <v>2</v>
      </c>
      <c r="P74">
        <v>2</v>
      </c>
    </row>
    <row r="75" spans="1:16" x14ac:dyDescent="0.25">
      <c r="A75">
        <v>74</v>
      </c>
      <c r="B75" s="4">
        <v>40547</v>
      </c>
      <c r="C75">
        <v>1</v>
      </c>
      <c r="D75">
        <v>0</v>
      </c>
      <c r="E75">
        <v>1</v>
      </c>
      <c r="F75">
        <v>5</v>
      </c>
      <c r="G75" t="b">
        <v>0</v>
      </c>
      <c r="H75">
        <v>2</v>
      </c>
      <c r="I75">
        <v>1</v>
      </c>
      <c r="J75">
        <v>0.12</v>
      </c>
      <c r="K75">
        <v>0.1515</v>
      </c>
      <c r="L75">
        <v>0.68</v>
      </c>
      <c r="M75">
        <v>0.1045</v>
      </c>
      <c r="N75">
        <v>0</v>
      </c>
      <c r="O75">
        <v>4</v>
      </c>
      <c r="P75">
        <v>4</v>
      </c>
    </row>
    <row r="76" spans="1:16" x14ac:dyDescent="0.25">
      <c r="A76">
        <v>75</v>
      </c>
      <c r="B76" s="4">
        <v>40547</v>
      </c>
      <c r="C76">
        <v>1</v>
      </c>
      <c r="D76">
        <v>0</v>
      </c>
      <c r="E76">
        <v>1</v>
      </c>
      <c r="F76">
        <v>6</v>
      </c>
      <c r="G76" t="b">
        <v>0</v>
      </c>
      <c r="H76">
        <v>2</v>
      </c>
      <c r="I76">
        <v>1</v>
      </c>
      <c r="J76">
        <v>0.12</v>
      </c>
      <c r="K76">
        <v>0.1515</v>
      </c>
      <c r="L76">
        <v>0.74</v>
      </c>
      <c r="M76">
        <v>0.1045</v>
      </c>
      <c r="N76">
        <v>0</v>
      </c>
      <c r="O76">
        <v>36</v>
      </c>
      <c r="P76">
        <v>36</v>
      </c>
    </row>
    <row r="77" spans="1:16" x14ac:dyDescent="0.25">
      <c r="A77">
        <v>76</v>
      </c>
      <c r="B77" s="4">
        <v>40547</v>
      </c>
      <c r="C77">
        <v>1</v>
      </c>
      <c r="D77">
        <v>0</v>
      </c>
      <c r="E77">
        <v>1</v>
      </c>
      <c r="F77">
        <v>7</v>
      </c>
      <c r="G77" t="b">
        <v>0</v>
      </c>
      <c r="H77">
        <v>2</v>
      </c>
      <c r="I77">
        <v>1</v>
      </c>
      <c r="J77">
        <v>0.12</v>
      </c>
      <c r="K77">
        <v>0.1515</v>
      </c>
      <c r="L77">
        <v>0.74</v>
      </c>
      <c r="M77">
        <v>0.1343</v>
      </c>
      <c r="N77">
        <v>2</v>
      </c>
      <c r="O77">
        <v>92</v>
      </c>
      <c r="P77">
        <v>94</v>
      </c>
    </row>
    <row r="78" spans="1:16" x14ac:dyDescent="0.25">
      <c r="A78">
        <v>77</v>
      </c>
      <c r="B78" s="4">
        <v>40547</v>
      </c>
      <c r="C78">
        <v>1</v>
      </c>
      <c r="D78">
        <v>0</v>
      </c>
      <c r="E78">
        <v>1</v>
      </c>
      <c r="F78">
        <v>8</v>
      </c>
      <c r="G78" t="b">
        <v>0</v>
      </c>
      <c r="H78">
        <v>2</v>
      </c>
      <c r="I78">
        <v>1</v>
      </c>
      <c r="J78">
        <v>0.14000000000000001</v>
      </c>
      <c r="K78">
        <v>0.1515</v>
      </c>
      <c r="L78">
        <v>0.69</v>
      </c>
      <c r="M78">
        <v>0.16420000000000001</v>
      </c>
      <c r="N78">
        <v>2</v>
      </c>
      <c r="O78">
        <v>177</v>
      </c>
      <c r="P78">
        <v>179</v>
      </c>
    </row>
    <row r="79" spans="1:16" x14ac:dyDescent="0.25">
      <c r="A79">
        <v>78</v>
      </c>
      <c r="B79" s="4">
        <v>40547</v>
      </c>
      <c r="C79">
        <v>1</v>
      </c>
      <c r="D79">
        <v>0</v>
      </c>
      <c r="E79">
        <v>1</v>
      </c>
      <c r="F79">
        <v>9</v>
      </c>
      <c r="G79" t="b">
        <v>0</v>
      </c>
      <c r="H79">
        <v>2</v>
      </c>
      <c r="I79">
        <v>1</v>
      </c>
      <c r="J79">
        <v>0.16</v>
      </c>
      <c r="K79">
        <v>0.1515</v>
      </c>
      <c r="L79">
        <v>0.64</v>
      </c>
      <c r="M79">
        <v>0.22389999999999999</v>
      </c>
      <c r="N79">
        <v>2</v>
      </c>
      <c r="O79">
        <v>98</v>
      </c>
      <c r="P79">
        <v>100</v>
      </c>
    </row>
    <row r="80" spans="1:16" x14ac:dyDescent="0.25">
      <c r="A80">
        <v>79</v>
      </c>
      <c r="B80" s="4">
        <v>40547</v>
      </c>
      <c r="C80">
        <v>1</v>
      </c>
      <c r="D80">
        <v>0</v>
      </c>
      <c r="E80">
        <v>1</v>
      </c>
      <c r="F80">
        <v>10</v>
      </c>
      <c r="G80" t="b">
        <v>0</v>
      </c>
      <c r="H80">
        <v>2</v>
      </c>
      <c r="I80">
        <v>2</v>
      </c>
      <c r="J80">
        <v>0.16</v>
      </c>
      <c r="K80">
        <v>0.13639999999999999</v>
      </c>
      <c r="L80">
        <v>0.69</v>
      </c>
      <c r="M80">
        <v>0.32840000000000003</v>
      </c>
      <c r="N80">
        <v>5</v>
      </c>
      <c r="O80">
        <v>37</v>
      </c>
      <c r="P80">
        <v>42</v>
      </c>
    </row>
    <row r="81" spans="1:16" x14ac:dyDescent="0.25">
      <c r="A81">
        <v>80</v>
      </c>
      <c r="B81" s="4">
        <v>40547</v>
      </c>
      <c r="C81">
        <v>1</v>
      </c>
      <c r="D81">
        <v>0</v>
      </c>
      <c r="E81">
        <v>1</v>
      </c>
      <c r="F81">
        <v>11</v>
      </c>
      <c r="G81" t="b">
        <v>0</v>
      </c>
      <c r="H81">
        <v>2</v>
      </c>
      <c r="I81">
        <v>1</v>
      </c>
      <c r="J81">
        <v>0.22</v>
      </c>
      <c r="K81">
        <v>0.21210000000000001</v>
      </c>
      <c r="L81">
        <v>0.51</v>
      </c>
      <c r="M81">
        <v>0.29849999999999999</v>
      </c>
      <c r="N81">
        <v>7</v>
      </c>
      <c r="O81">
        <v>50</v>
      </c>
      <c r="P81">
        <v>57</v>
      </c>
    </row>
    <row r="82" spans="1:16" x14ac:dyDescent="0.25">
      <c r="A82">
        <v>81</v>
      </c>
      <c r="B82" s="4">
        <v>40547</v>
      </c>
      <c r="C82">
        <v>1</v>
      </c>
      <c r="D82">
        <v>0</v>
      </c>
      <c r="E82">
        <v>1</v>
      </c>
      <c r="F82">
        <v>12</v>
      </c>
      <c r="G82" t="b">
        <v>0</v>
      </c>
      <c r="H82">
        <v>2</v>
      </c>
      <c r="I82">
        <v>1</v>
      </c>
      <c r="J82">
        <v>0.22</v>
      </c>
      <c r="K82">
        <v>0.2273</v>
      </c>
      <c r="L82">
        <v>0.51</v>
      </c>
      <c r="M82">
        <v>0.16420000000000001</v>
      </c>
      <c r="N82">
        <v>12</v>
      </c>
      <c r="O82">
        <v>66</v>
      </c>
      <c r="P82">
        <v>78</v>
      </c>
    </row>
    <row r="83" spans="1:16" x14ac:dyDescent="0.25">
      <c r="A83">
        <v>82</v>
      </c>
      <c r="B83" s="4">
        <v>40547</v>
      </c>
      <c r="C83">
        <v>1</v>
      </c>
      <c r="D83">
        <v>0</v>
      </c>
      <c r="E83">
        <v>1</v>
      </c>
      <c r="F83">
        <v>13</v>
      </c>
      <c r="G83" t="b">
        <v>0</v>
      </c>
      <c r="H83">
        <v>2</v>
      </c>
      <c r="I83">
        <v>1</v>
      </c>
      <c r="J83">
        <v>0.24</v>
      </c>
      <c r="K83">
        <v>0.2273</v>
      </c>
      <c r="L83">
        <v>0.56000000000000005</v>
      </c>
      <c r="M83">
        <v>0.19400000000000001</v>
      </c>
      <c r="N83">
        <v>18</v>
      </c>
      <c r="O83">
        <v>79</v>
      </c>
      <c r="P83">
        <v>97</v>
      </c>
    </row>
    <row r="84" spans="1:16" x14ac:dyDescent="0.25">
      <c r="A84">
        <v>83</v>
      </c>
      <c r="B84" s="4">
        <v>40547</v>
      </c>
      <c r="C84">
        <v>1</v>
      </c>
      <c r="D84">
        <v>0</v>
      </c>
      <c r="E84">
        <v>1</v>
      </c>
      <c r="F84">
        <v>14</v>
      </c>
      <c r="G84" t="b">
        <v>0</v>
      </c>
      <c r="H84">
        <v>2</v>
      </c>
      <c r="I84">
        <v>1</v>
      </c>
      <c r="J84">
        <v>0.26</v>
      </c>
      <c r="K84">
        <v>0.2576</v>
      </c>
      <c r="L84">
        <v>0.52</v>
      </c>
      <c r="M84">
        <v>0.22389999999999999</v>
      </c>
      <c r="N84">
        <v>9</v>
      </c>
      <c r="O84">
        <v>54</v>
      </c>
      <c r="P84">
        <v>63</v>
      </c>
    </row>
    <row r="85" spans="1:16" x14ac:dyDescent="0.25">
      <c r="A85">
        <v>84</v>
      </c>
      <c r="B85" s="4">
        <v>40547</v>
      </c>
      <c r="C85">
        <v>1</v>
      </c>
      <c r="D85">
        <v>0</v>
      </c>
      <c r="E85">
        <v>1</v>
      </c>
      <c r="F85">
        <v>15</v>
      </c>
      <c r="G85" t="b">
        <v>0</v>
      </c>
      <c r="H85">
        <v>2</v>
      </c>
      <c r="I85">
        <v>1</v>
      </c>
      <c r="J85">
        <v>0.28000000000000003</v>
      </c>
      <c r="K85">
        <v>0.2727</v>
      </c>
      <c r="L85">
        <v>0.52</v>
      </c>
      <c r="M85">
        <v>0.25369999999999998</v>
      </c>
      <c r="N85">
        <v>17</v>
      </c>
      <c r="O85">
        <v>48</v>
      </c>
      <c r="P85">
        <v>65</v>
      </c>
    </row>
    <row r="86" spans="1:16" x14ac:dyDescent="0.25">
      <c r="A86">
        <v>85</v>
      </c>
      <c r="B86" s="4">
        <v>40547</v>
      </c>
      <c r="C86">
        <v>1</v>
      </c>
      <c r="D86">
        <v>0</v>
      </c>
      <c r="E86">
        <v>1</v>
      </c>
      <c r="F86">
        <v>16</v>
      </c>
      <c r="G86" t="b">
        <v>0</v>
      </c>
      <c r="H86">
        <v>2</v>
      </c>
      <c r="I86">
        <v>1</v>
      </c>
      <c r="J86">
        <v>0.3</v>
      </c>
      <c r="K86">
        <v>0.28789999999999999</v>
      </c>
      <c r="L86">
        <v>0.49</v>
      </c>
      <c r="M86">
        <v>0.25369999999999998</v>
      </c>
      <c r="N86">
        <v>15</v>
      </c>
      <c r="O86">
        <v>68</v>
      </c>
      <c r="P86">
        <v>83</v>
      </c>
    </row>
    <row r="87" spans="1:16" x14ac:dyDescent="0.25">
      <c r="A87">
        <v>86</v>
      </c>
      <c r="B87" s="4">
        <v>40547</v>
      </c>
      <c r="C87">
        <v>1</v>
      </c>
      <c r="D87">
        <v>0</v>
      </c>
      <c r="E87">
        <v>1</v>
      </c>
      <c r="F87">
        <v>17</v>
      </c>
      <c r="G87" t="b">
        <v>0</v>
      </c>
      <c r="H87">
        <v>2</v>
      </c>
      <c r="I87">
        <v>1</v>
      </c>
      <c r="J87">
        <v>0.28000000000000003</v>
      </c>
      <c r="K87">
        <v>0.2727</v>
      </c>
      <c r="L87">
        <v>0.48</v>
      </c>
      <c r="M87">
        <v>0.22389999999999999</v>
      </c>
      <c r="N87">
        <v>10</v>
      </c>
      <c r="O87">
        <v>202</v>
      </c>
      <c r="P87">
        <v>212</v>
      </c>
    </row>
    <row r="88" spans="1:16" x14ac:dyDescent="0.25">
      <c r="A88">
        <v>87</v>
      </c>
      <c r="B88" s="4">
        <v>40547</v>
      </c>
      <c r="C88">
        <v>1</v>
      </c>
      <c r="D88">
        <v>0</v>
      </c>
      <c r="E88">
        <v>1</v>
      </c>
      <c r="F88">
        <v>18</v>
      </c>
      <c r="G88" t="b">
        <v>0</v>
      </c>
      <c r="H88">
        <v>2</v>
      </c>
      <c r="I88">
        <v>1</v>
      </c>
      <c r="J88">
        <v>0.26</v>
      </c>
      <c r="K88">
        <v>0.2576</v>
      </c>
      <c r="L88">
        <v>0.48</v>
      </c>
      <c r="M88">
        <v>0.19400000000000001</v>
      </c>
      <c r="N88">
        <v>3</v>
      </c>
      <c r="O88">
        <v>179</v>
      </c>
      <c r="P88">
        <v>182</v>
      </c>
    </row>
    <row r="89" spans="1:16" x14ac:dyDescent="0.25">
      <c r="A89">
        <v>88</v>
      </c>
      <c r="B89" s="4">
        <v>40547</v>
      </c>
      <c r="C89">
        <v>1</v>
      </c>
      <c r="D89">
        <v>0</v>
      </c>
      <c r="E89">
        <v>1</v>
      </c>
      <c r="F89">
        <v>19</v>
      </c>
      <c r="G89" t="b">
        <v>0</v>
      </c>
      <c r="H89">
        <v>2</v>
      </c>
      <c r="I89">
        <v>1</v>
      </c>
      <c r="J89">
        <v>0.24</v>
      </c>
      <c r="K89">
        <v>0.2576</v>
      </c>
      <c r="L89">
        <v>0.48</v>
      </c>
      <c r="M89">
        <v>0.1045</v>
      </c>
      <c r="N89">
        <v>2</v>
      </c>
      <c r="O89">
        <v>110</v>
      </c>
      <c r="P89">
        <v>112</v>
      </c>
    </row>
    <row r="90" spans="1:16" x14ac:dyDescent="0.25">
      <c r="A90">
        <v>89</v>
      </c>
      <c r="B90" s="4">
        <v>40547</v>
      </c>
      <c r="C90">
        <v>1</v>
      </c>
      <c r="D90">
        <v>0</v>
      </c>
      <c r="E90">
        <v>1</v>
      </c>
      <c r="F90">
        <v>20</v>
      </c>
      <c r="G90" t="b">
        <v>0</v>
      </c>
      <c r="H90">
        <v>2</v>
      </c>
      <c r="I90">
        <v>1</v>
      </c>
      <c r="J90">
        <v>0.24</v>
      </c>
      <c r="K90">
        <v>0.2576</v>
      </c>
      <c r="L90">
        <v>0.48</v>
      </c>
      <c r="M90">
        <v>0.1045</v>
      </c>
      <c r="N90">
        <v>1</v>
      </c>
      <c r="O90">
        <v>53</v>
      </c>
      <c r="P90">
        <v>54</v>
      </c>
    </row>
    <row r="91" spans="1:16" x14ac:dyDescent="0.25">
      <c r="A91">
        <v>90</v>
      </c>
      <c r="B91" s="4">
        <v>40547</v>
      </c>
      <c r="C91">
        <v>1</v>
      </c>
      <c r="D91">
        <v>0</v>
      </c>
      <c r="E91">
        <v>1</v>
      </c>
      <c r="F91">
        <v>21</v>
      </c>
      <c r="G91" t="b">
        <v>0</v>
      </c>
      <c r="H91">
        <v>2</v>
      </c>
      <c r="I91">
        <v>1</v>
      </c>
      <c r="J91">
        <v>0.22</v>
      </c>
      <c r="K91">
        <v>0.2727</v>
      </c>
      <c r="L91">
        <v>0.64</v>
      </c>
      <c r="M91">
        <v>0</v>
      </c>
      <c r="N91">
        <v>0</v>
      </c>
      <c r="O91">
        <v>48</v>
      </c>
      <c r="P91">
        <v>48</v>
      </c>
    </row>
    <row r="92" spans="1:16" x14ac:dyDescent="0.25">
      <c r="A92">
        <v>91</v>
      </c>
      <c r="B92" s="4">
        <v>40547</v>
      </c>
      <c r="C92">
        <v>1</v>
      </c>
      <c r="D92">
        <v>0</v>
      </c>
      <c r="E92">
        <v>1</v>
      </c>
      <c r="F92">
        <v>22</v>
      </c>
      <c r="G92" t="b">
        <v>0</v>
      </c>
      <c r="H92">
        <v>2</v>
      </c>
      <c r="I92">
        <v>1</v>
      </c>
      <c r="J92">
        <v>0.22</v>
      </c>
      <c r="K92">
        <v>0.2576</v>
      </c>
      <c r="L92">
        <v>0.64</v>
      </c>
      <c r="M92">
        <v>8.9599999999999999E-2</v>
      </c>
      <c r="N92">
        <v>1</v>
      </c>
      <c r="O92">
        <v>34</v>
      </c>
      <c r="P92">
        <v>35</v>
      </c>
    </row>
    <row r="93" spans="1:16" x14ac:dyDescent="0.25">
      <c r="A93">
        <v>92</v>
      </c>
      <c r="B93" s="4">
        <v>40547</v>
      </c>
      <c r="C93">
        <v>1</v>
      </c>
      <c r="D93">
        <v>0</v>
      </c>
      <c r="E93">
        <v>1</v>
      </c>
      <c r="F93">
        <v>23</v>
      </c>
      <c r="G93" t="b">
        <v>0</v>
      </c>
      <c r="H93">
        <v>2</v>
      </c>
      <c r="I93">
        <v>1</v>
      </c>
      <c r="J93">
        <v>0.2</v>
      </c>
      <c r="K93">
        <v>0.2273</v>
      </c>
      <c r="L93">
        <v>0.69</v>
      </c>
      <c r="M93">
        <v>8.9599999999999999E-2</v>
      </c>
      <c r="N93">
        <v>2</v>
      </c>
      <c r="O93">
        <v>9</v>
      </c>
      <c r="P93">
        <v>11</v>
      </c>
    </row>
    <row r="94" spans="1:16" x14ac:dyDescent="0.25">
      <c r="A94">
        <v>93</v>
      </c>
      <c r="B94" s="4">
        <v>40548</v>
      </c>
      <c r="C94">
        <v>1</v>
      </c>
      <c r="D94">
        <v>0</v>
      </c>
      <c r="E94">
        <v>1</v>
      </c>
      <c r="F94">
        <v>0</v>
      </c>
      <c r="G94" t="b">
        <v>0</v>
      </c>
      <c r="H94">
        <v>3</v>
      </c>
      <c r="I94">
        <v>1</v>
      </c>
      <c r="J94">
        <v>0.2</v>
      </c>
      <c r="K94">
        <v>0.2576</v>
      </c>
      <c r="L94">
        <v>0.64</v>
      </c>
      <c r="M94">
        <v>0</v>
      </c>
      <c r="N94">
        <v>0</v>
      </c>
      <c r="O94">
        <v>6</v>
      </c>
      <c r="P94">
        <v>6</v>
      </c>
    </row>
    <row r="95" spans="1:16" x14ac:dyDescent="0.25">
      <c r="A95">
        <v>94</v>
      </c>
      <c r="B95" s="4">
        <v>40548</v>
      </c>
      <c r="C95">
        <v>1</v>
      </c>
      <c r="D95">
        <v>0</v>
      </c>
      <c r="E95">
        <v>1</v>
      </c>
      <c r="F95">
        <v>1</v>
      </c>
      <c r="G95" t="b">
        <v>0</v>
      </c>
      <c r="H95">
        <v>3</v>
      </c>
      <c r="I95">
        <v>1</v>
      </c>
      <c r="J95">
        <v>0.16</v>
      </c>
      <c r="K95">
        <v>0.19700000000000001</v>
      </c>
      <c r="L95">
        <v>0.74</v>
      </c>
      <c r="M95">
        <v>8.9599999999999999E-2</v>
      </c>
      <c r="N95">
        <v>0</v>
      </c>
      <c r="O95">
        <v>6</v>
      </c>
      <c r="P95">
        <v>6</v>
      </c>
    </row>
    <row r="96" spans="1:16" x14ac:dyDescent="0.25">
      <c r="A96">
        <v>95</v>
      </c>
      <c r="B96" s="4">
        <v>40548</v>
      </c>
      <c r="C96">
        <v>1</v>
      </c>
      <c r="D96">
        <v>0</v>
      </c>
      <c r="E96">
        <v>1</v>
      </c>
      <c r="F96">
        <v>2</v>
      </c>
      <c r="G96" t="b">
        <v>0</v>
      </c>
      <c r="H96">
        <v>3</v>
      </c>
      <c r="I96">
        <v>1</v>
      </c>
      <c r="J96">
        <v>0.16</v>
      </c>
      <c r="K96">
        <v>0.19700000000000001</v>
      </c>
      <c r="L96">
        <v>0.74</v>
      </c>
      <c r="M96">
        <v>8.9599999999999999E-2</v>
      </c>
      <c r="N96">
        <v>0</v>
      </c>
      <c r="O96">
        <v>2</v>
      </c>
      <c r="P96">
        <v>2</v>
      </c>
    </row>
    <row r="97" spans="1:16" x14ac:dyDescent="0.25">
      <c r="A97">
        <v>96</v>
      </c>
      <c r="B97" s="4">
        <v>40548</v>
      </c>
      <c r="C97">
        <v>1</v>
      </c>
      <c r="D97">
        <v>0</v>
      </c>
      <c r="E97">
        <v>1</v>
      </c>
      <c r="F97">
        <v>4</v>
      </c>
      <c r="G97" t="b">
        <v>0</v>
      </c>
      <c r="H97">
        <v>3</v>
      </c>
      <c r="I97">
        <v>1</v>
      </c>
      <c r="J97">
        <v>0.24</v>
      </c>
      <c r="K97">
        <v>0.2273</v>
      </c>
      <c r="L97">
        <v>0.48</v>
      </c>
      <c r="M97">
        <v>0.22389999999999999</v>
      </c>
      <c r="N97">
        <v>0</v>
      </c>
      <c r="O97">
        <v>2</v>
      </c>
      <c r="P97">
        <v>2</v>
      </c>
    </row>
    <row r="98" spans="1:16" x14ac:dyDescent="0.25">
      <c r="A98">
        <v>97</v>
      </c>
      <c r="B98" s="4">
        <v>40548</v>
      </c>
      <c r="C98">
        <v>1</v>
      </c>
      <c r="D98">
        <v>0</v>
      </c>
      <c r="E98">
        <v>1</v>
      </c>
      <c r="F98">
        <v>5</v>
      </c>
      <c r="G98" t="b">
        <v>0</v>
      </c>
      <c r="H98">
        <v>3</v>
      </c>
      <c r="I98">
        <v>1</v>
      </c>
      <c r="J98">
        <v>0.22</v>
      </c>
      <c r="K98">
        <v>0.2273</v>
      </c>
      <c r="L98">
        <v>0.47</v>
      </c>
      <c r="M98">
        <v>0.16420000000000001</v>
      </c>
      <c r="N98">
        <v>0</v>
      </c>
      <c r="O98">
        <v>3</v>
      </c>
      <c r="P98">
        <v>3</v>
      </c>
    </row>
    <row r="99" spans="1:16" x14ac:dyDescent="0.25">
      <c r="A99">
        <v>98</v>
      </c>
      <c r="B99" s="4">
        <v>40548</v>
      </c>
      <c r="C99">
        <v>1</v>
      </c>
      <c r="D99">
        <v>0</v>
      </c>
      <c r="E99">
        <v>1</v>
      </c>
      <c r="F99">
        <v>6</v>
      </c>
      <c r="G99" t="b">
        <v>0</v>
      </c>
      <c r="H99">
        <v>3</v>
      </c>
      <c r="I99">
        <v>1</v>
      </c>
      <c r="J99">
        <v>0.2</v>
      </c>
      <c r="K99">
        <v>0.19700000000000001</v>
      </c>
      <c r="L99">
        <v>0.47</v>
      </c>
      <c r="M99">
        <v>0.22389999999999999</v>
      </c>
      <c r="N99">
        <v>0</v>
      </c>
      <c r="O99">
        <v>33</v>
      </c>
      <c r="P99">
        <v>33</v>
      </c>
    </row>
    <row r="100" spans="1:16" x14ac:dyDescent="0.25">
      <c r="A100">
        <v>99</v>
      </c>
      <c r="B100" s="4">
        <v>40548</v>
      </c>
      <c r="C100">
        <v>1</v>
      </c>
      <c r="D100">
        <v>0</v>
      </c>
      <c r="E100">
        <v>1</v>
      </c>
      <c r="F100">
        <v>7</v>
      </c>
      <c r="G100" t="b">
        <v>0</v>
      </c>
      <c r="H100">
        <v>3</v>
      </c>
      <c r="I100">
        <v>1</v>
      </c>
      <c r="J100">
        <v>0.18</v>
      </c>
      <c r="K100">
        <v>0.18179999999999999</v>
      </c>
      <c r="L100">
        <v>0.43</v>
      </c>
      <c r="M100">
        <v>0.19400000000000001</v>
      </c>
      <c r="N100">
        <v>1</v>
      </c>
      <c r="O100">
        <v>87</v>
      </c>
      <c r="P100">
        <v>88</v>
      </c>
    </row>
    <row r="101" spans="1:16" x14ac:dyDescent="0.25">
      <c r="A101">
        <v>100</v>
      </c>
      <c r="B101" s="4">
        <v>40548</v>
      </c>
      <c r="C101">
        <v>1</v>
      </c>
      <c r="D101">
        <v>0</v>
      </c>
      <c r="E101">
        <v>1</v>
      </c>
      <c r="F101">
        <v>8</v>
      </c>
      <c r="G101" t="b">
        <v>0</v>
      </c>
      <c r="H101">
        <v>3</v>
      </c>
      <c r="I101">
        <v>1</v>
      </c>
      <c r="J101">
        <v>0.2</v>
      </c>
      <c r="K101">
        <v>0.18179999999999999</v>
      </c>
      <c r="L101">
        <v>0.4</v>
      </c>
      <c r="M101">
        <v>0.29849999999999999</v>
      </c>
      <c r="N101">
        <v>3</v>
      </c>
      <c r="O101">
        <v>192</v>
      </c>
      <c r="P101">
        <v>195</v>
      </c>
    </row>
    <row r="102" spans="1:16" x14ac:dyDescent="0.25">
      <c r="A102">
        <v>101</v>
      </c>
      <c r="B102" s="4">
        <v>40548</v>
      </c>
      <c r="C102">
        <v>1</v>
      </c>
      <c r="D102">
        <v>0</v>
      </c>
      <c r="E102">
        <v>1</v>
      </c>
      <c r="F102">
        <v>9</v>
      </c>
      <c r="G102" t="b">
        <v>0</v>
      </c>
      <c r="H102">
        <v>3</v>
      </c>
      <c r="I102">
        <v>1</v>
      </c>
      <c r="J102">
        <v>0.22</v>
      </c>
      <c r="K102">
        <v>0.19700000000000001</v>
      </c>
      <c r="L102">
        <v>0.37</v>
      </c>
      <c r="M102">
        <v>0.32840000000000003</v>
      </c>
      <c r="N102">
        <v>6</v>
      </c>
      <c r="O102">
        <v>109</v>
      </c>
      <c r="P102">
        <v>115</v>
      </c>
    </row>
    <row r="103" spans="1:16" x14ac:dyDescent="0.25">
      <c r="A103">
        <v>102</v>
      </c>
      <c r="B103" s="4">
        <v>40548</v>
      </c>
      <c r="C103">
        <v>1</v>
      </c>
      <c r="D103">
        <v>0</v>
      </c>
      <c r="E103">
        <v>1</v>
      </c>
      <c r="F103">
        <v>10</v>
      </c>
      <c r="G103" t="b">
        <v>0</v>
      </c>
      <c r="H103">
        <v>3</v>
      </c>
      <c r="I103">
        <v>1</v>
      </c>
      <c r="J103">
        <v>0.22</v>
      </c>
      <c r="K103">
        <v>0.19700000000000001</v>
      </c>
      <c r="L103">
        <v>0.37</v>
      </c>
      <c r="M103">
        <v>0.32840000000000003</v>
      </c>
      <c r="N103">
        <v>4</v>
      </c>
      <c r="O103">
        <v>53</v>
      </c>
      <c r="P103">
        <v>57</v>
      </c>
    </row>
    <row r="104" spans="1:16" x14ac:dyDescent="0.25">
      <c r="A104">
        <v>103</v>
      </c>
      <c r="B104" s="4">
        <v>40548</v>
      </c>
      <c r="C104">
        <v>1</v>
      </c>
      <c r="D104">
        <v>0</v>
      </c>
      <c r="E104">
        <v>1</v>
      </c>
      <c r="F104">
        <v>11</v>
      </c>
      <c r="G104" t="b">
        <v>0</v>
      </c>
      <c r="H104">
        <v>3</v>
      </c>
      <c r="I104">
        <v>1</v>
      </c>
      <c r="J104">
        <v>0.26</v>
      </c>
      <c r="K104">
        <v>0.2273</v>
      </c>
      <c r="L104">
        <v>0.33</v>
      </c>
      <c r="M104">
        <v>0.32840000000000003</v>
      </c>
      <c r="N104">
        <v>12</v>
      </c>
      <c r="O104">
        <v>34</v>
      </c>
      <c r="P104">
        <v>46</v>
      </c>
    </row>
    <row r="105" spans="1:16" x14ac:dyDescent="0.25">
      <c r="A105">
        <v>104</v>
      </c>
      <c r="B105" s="4">
        <v>40548</v>
      </c>
      <c r="C105">
        <v>1</v>
      </c>
      <c r="D105">
        <v>0</v>
      </c>
      <c r="E105">
        <v>1</v>
      </c>
      <c r="F105">
        <v>12</v>
      </c>
      <c r="G105" t="b">
        <v>0</v>
      </c>
      <c r="H105">
        <v>3</v>
      </c>
      <c r="I105">
        <v>1</v>
      </c>
      <c r="J105">
        <v>0.26</v>
      </c>
      <c r="K105">
        <v>0.2273</v>
      </c>
      <c r="L105">
        <v>0.33</v>
      </c>
      <c r="M105">
        <v>0.32840000000000003</v>
      </c>
      <c r="N105">
        <v>5</v>
      </c>
      <c r="O105">
        <v>74</v>
      </c>
      <c r="P105">
        <v>79</v>
      </c>
    </row>
    <row r="106" spans="1:16" x14ac:dyDescent="0.25">
      <c r="A106">
        <v>105</v>
      </c>
      <c r="B106" s="4">
        <v>40548</v>
      </c>
      <c r="C106">
        <v>1</v>
      </c>
      <c r="D106">
        <v>0</v>
      </c>
      <c r="E106">
        <v>1</v>
      </c>
      <c r="F106">
        <v>13</v>
      </c>
      <c r="G106" t="b">
        <v>0</v>
      </c>
      <c r="H106">
        <v>3</v>
      </c>
      <c r="I106">
        <v>1</v>
      </c>
      <c r="J106">
        <v>0.28000000000000003</v>
      </c>
      <c r="K106">
        <v>0.2576</v>
      </c>
      <c r="L106">
        <v>0.3</v>
      </c>
      <c r="M106">
        <v>0.29849999999999999</v>
      </c>
      <c r="N106">
        <v>6</v>
      </c>
      <c r="O106">
        <v>65</v>
      </c>
      <c r="P106">
        <v>71</v>
      </c>
    </row>
    <row r="107" spans="1:16" x14ac:dyDescent="0.25">
      <c r="A107">
        <v>106</v>
      </c>
      <c r="B107" s="4">
        <v>40548</v>
      </c>
      <c r="C107">
        <v>1</v>
      </c>
      <c r="D107">
        <v>0</v>
      </c>
      <c r="E107">
        <v>1</v>
      </c>
      <c r="F107">
        <v>14</v>
      </c>
      <c r="G107" t="b">
        <v>0</v>
      </c>
      <c r="H107">
        <v>3</v>
      </c>
      <c r="I107">
        <v>1</v>
      </c>
      <c r="J107">
        <v>0.3</v>
      </c>
      <c r="K107">
        <v>0.28789999999999999</v>
      </c>
      <c r="L107">
        <v>0.28000000000000003</v>
      </c>
      <c r="M107">
        <v>0.19400000000000001</v>
      </c>
      <c r="N107">
        <v>10</v>
      </c>
      <c r="O107">
        <v>52</v>
      </c>
      <c r="P107">
        <v>62</v>
      </c>
    </row>
    <row r="108" spans="1:16" x14ac:dyDescent="0.25">
      <c r="A108">
        <v>107</v>
      </c>
      <c r="B108" s="4">
        <v>40548</v>
      </c>
      <c r="C108">
        <v>1</v>
      </c>
      <c r="D108">
        <v>0</v>
      </c>
      <c r="E108">
        <v>1</v>
      </c>
      <c r="F108">
        <v>15</v>
      </c>
      <c r="G108" t="b">
        <v>0</v>
      </c>
      <c r="H108">
        <v>3</v>
      </c>
      <c r="I108">
        <v>1</v>
      </c>
      <c r="J108">
        <v>0.3</v>
      </c>
      <c r="K108">
        <v>0.28789999999999999</v>
      </c>
      <c r="L108">
        <v>0.28000000000000003</v>
      </c>
      <c r="M108">
        <v>0.19400000000000001</v>
      </c>
      <c r="N108">
        <v>7</v>
      </c>
      <c r="O108">
        <v>55</v>
      </c>
      <c r="P108">
        <v>62</v>
      </c>
    </row>
    <row r="109" spans="1:16" x14ac:dyDescent="0.25">
      <c r="A109">
        <v>108</v>
      </c>
      <c r="B109" s="4">
        <v>40548</v>
      </c>
      <c r="C109">
        <v>1</v>
      </c>
      <c r="D109">
        <v>0</v>
      </c>
      <c r="E109">
        <v>1</v>
      </c>
      <c r="F109">
        <v>16</v>
      </c>
      <c r="G109" t="b">
        <v>0</v>
      </c>
      <c r="H109">
        <v>3</v>
      </c>
      <c r="I109">
        <v>1</v>
      </c>
      <c r="J109">
        <v>0.3</v>
      </c>
      <c r="K109">
        <v>0.31819999999999998</v>
      </c>
      <c r="L109">
        <v>0.28000000000000003</v>
      </c>
      <c r="M109">
        <v>8.9599999999999999E-2</v>
      </c>
      <c r="N109">
        <v>4</v>
      </c>
      <c r="O109">
        <v>85</v>
      </c>
      <c r="P109">
        <v>89</v>
      </c>
    </row>
    <row r="110" spans="1:16" x14ac:dyDescent="0.25">
      <c r="A110">
        <v>109</v>
      </c>
      <c r="B110" s="4">
        <v>40548</v>
      </c>
      <c r="C110">
        <v>1</v>
      </c>
      <c r="D110">
        <v>0</v>
      </c>
      <c r="E110">
        <v>1</v>
      </c>
      <c r="F110">
        <v>17</v>
      </c>
      <c r="G110" t="b">
        <v>0</v>
      </c>
      <c r="H110">
        <v>3</v>
      </c>
      <c r="I110">
        <v>1</v>
      </c>
      <c r="J110">
        <v>0.24</v>
      </c>
      <c r="K110">
        <v>0.2273</v>
      </c>
      <c r="L110">
        <v>0.38</v>
      </c>
      <c r="M110">
        <v>0.19400000000000001</v>
      </c>
      <c r="N110">
        <v>4</v>
      </c>
      <c r="O110">
        <v>186</v>
      </c>
      <c r="P110">
        <v>190</v>
      </c>
    </row>
    <row r="111" spans="1:16" x14ac:dyDescent="0.25">
      <c r="A111">
        <v>110</v>
      </c>
      <c r="B111" s="4">
        <v>40548</v>
      </c>
      <c r="C111">
        <v>1</v>
      </c>
      <c r="D111">
        <v>0</v>
      </c>
      <c r="E111">
        <v>1</v>
      </c>
      <c r="F111">
        <v>18</v>
      </c>
      <c r="G111" t="b">
        <v>0</v>
      </c>
      <c r="H111">
        <v>3</v>
      </c>
      <c r="I111">
        <v>1</v>
      </c>
      <c r="J111">
        <v>0.24</v>
      </c>
      <c r="K111">
        <v>0.2424</v>
      </c>
      <c r="L111">
        <v>0.38</v>
      </c>
      <c r="M111">
        <v>0.1343</v>
      </c>
      <c r="N111">
        <v>3</v>
      </c>
      <c r="O111">
        <v>166</v>
      </c>
      <c r="P111">
        <v>169</v>
      </c>
    </row>
    <row r="112" spans="1:16" x14ac:dyDescent="0.25">
      <c r="A112">
        <v>111</v>
      </c>
      <c r="B112" s="4">
        <v>40548</v>
      </c>
      <c r="C112">
        <v>1</v>
      </c>
      <c r="D112">
        <v>0</v>
      </c>
      <c r="E112">
        <v>1</v>
      </c>
      <c r="F112">
        <v>19</v>
      </c>
      <c r="G112" t="b">
        <v>0</v>
      </c>
      <c r="H112">
        <v>3</v>
      </c>
      <c r="I112">
        <v>1</v>
      </c>
      <c r="J112">
        <v>0.24</v>
      </c>
      <c r="K112">
        <v>0.2576</v>
      </c>
      <c r="L112">
        <v>0.38</v>
      </c>
      <c r="M112">
        <v>0.1045</v>
      </c>
      <c r="N112">
        <v>5</v>
      </c>
      <c r="O112">
        <v>127</v>
      </c>
      <c r="P112">
        <v>132</v>
      </c>
    </row>
    <row r="113" spans="1:16" x14ac:dyDescent="0.25">
      <c r="A113">
        <v>112</v>
      </c>
      <c r="B113" s="4">
        <v>40548</v>
      </c>
      <c r="C113">
        <v>1</v>
      </c>
      <c r="D113">
        <v>0</v>
      </c>
      <c r="E113">
        <v>1</v>
      </c>
      <c r="F113">
        <v>20</v>
      </c>
      <c r="G113" t="b">
        <v>0</v>
      </c>
      <c r="H113">
        <v>3</v>
      </c>
      <c r="I113">
        <v>1</v>
      </c>
      <c r="J113">
        <v>0.22</v>
      </c>
      <c r="K113">
        <v>0.2273</v>
      </c>
      <c r="L113">
        <v>0.47</v>
      </c>
      <c r="M113">
        <v>0.16420000000000001</v>
      </c>
      <c r="N113">
        <v>7</v>
      </c>
      <c r="O113">
        <v>82</v>
      </c>
      <c r="P113">
        <v>89</v>
      </c>
    </row>
    <row r="114" spans="1:16" x14ac:dyDescent="0.25">
      <c r="A114">
        <v>113</v>
      </c>
      <c r="B114" s="4">
        <v>40548</v>
      </c>
      <c r="C114">
        <v>1</v>
      </c>
      <c r="D114">
        <v>0</v>
      </c>
      <c r="E114">
        <v>1</v>
      </c>
      <c r="F114">
        <v>21</v>
      </c>
      <c r="G114" t="b">
        <v>0</v>
      </c>
      <c r="H114">
        <v>3</v>
      </c>
      <c r="I114">
        <v>1</v>
      </c>
      <c r="J114">
        <v>0.2</v>
      </c>
      <c r="K114">
        <v>0.19700000000000001</v>
      </c>
      <c r="L114">
        <v>0.51</v>
      </c>
      <c r="M114">
        <v>0.19400000000000001</v>
      </c>
      <c r="N114">
        <v>3</v>
      </c>
      <c r="O114">
        <v>40</v>
      </c>
      <c r="P114">
        <v>43</v>
      </c>
    </row>
    <row r="115" spans="1:16" x14ac:dyDescent="0.25">
      <c r="A115">
        <v>114</v>
      </c>
      <c r="B115" s="4">
        <v>40548</v>
      </c>
      <c r="C115">
        <v>1</v>
      </c>
      <c r="D115">
        <v>0</v>
      </c>
      <c r="E115">
        <v>1</v>
      </c>
      <c r="F115">
        <v>22</v>
      </c>
      <c r="G115" t="b">
        <v>0</v>
      </c>
      <c r="H115">
        <v>3</v>
      </c>
      <c r="I115">
        <v>1</v>
      </c>
      <c r="J115">
        <v>0.18</v>
      </c>
      <c r="K115">
        <v>0.19700000000000001</v>
      </c>
      <c r="L115">
        <v>0.55000000000000004</v>
      </c>
      <c r="M115">
        <v>0.1343</v>
      </c>
      <c r="N115">
        <v>1</v>
      </c>
      <c r="O115">
        <v>41</v>
      </c>
      <c r="P115">
        <v>42</v>
      </c>
    </row>
    <row r="116" spans="1:16" x14ac:dyDescent="0.25">
      <c r="A116">
        <v>115</v>
      </c>
      <c r="B116" s="4">
        <v>40548</v>
      </c>
      <c r="C116">
        <v>1</v>
      </c>
      <c r="D116">
        <v>0</v>
      </c>
      <c r="E116">
        <v>1</v>
      </c>
      <c r="F116">
        <v>23</v>
      </c>
      <c r="G116" t="b">
        <v>0</v>
      </c>
      <c r="H116">
        <v>3</v>
      </c>
      <c r="I116">
        <v>1</v>
      </c>
      <c r="J116">
        <v>0.2</v>
      </c>
      <c r="K116">
        <v>0.2576</v>
      </c>
      <c r="L116">
        <v>0.47</v>
      </c>
      <c r="M116">
        <v>0</v>
      </c>
      <c r="N116">
        <v>1</v>
      </c>
      <c r="O116">
        <v>18</v>
      </c>
      <c r="P116">
        <v>19</v>
      </c>
    </row>
    <row r="117" spans="1:16" x14ac:dyDescent="0.25">
      <c r="A117">
        <v>116</v>
      </c>
      <c r="B117" s="4">
        <v>40549</v>
      </c>
      <c r="C117">
        <v>1</v>
      </c>
      <c r="D117">
        <v>0</v>
      </c>
      <c r="E117">
        <v>1</v>
      </c>
      <c r="F117">
        <v>0</v>
      </c>
      <c r="G117" t="b">
        <v>0</v>
      </c>
      <c r="H117">
        <v>4</v>
      </c>
      <c r="I117">
        <v>1</v>
      </c>
      <c r="J117">
        <v>0.18</v>
      </c>
      <c r="K117">
        <v>0.2424</v>
      </c>
      <c r="L117">
        <v>0.55000000000000004</v>
      </c>
      <c r="M117">
        <v>0</v>
      </c>
      <c r="N117">
        <v>0</v>
      </c>
      <c r="O117">
        <v>11</v>
      </c>
      <c r="P117">
        <v>11</v>
      </c>
    </row>
    <row r="118" spans="1:16" x14ac:dyDescent="0.25">
      <c r="A118">
        <v>117</v>
      </c>
      <c r="B118" s="4">
        <v>40549</v>
      </c>
      <c r="C118">
        <v>1</v>
      </c>
      <c r="D118">
        <v>0</v>
      </c>
      <c r="E118">
        <v>1</v>
      </c>
      <c r="F118">
        <v>1</v>
      </c>
      <c r="G118" t="b">
        <v>0</v>
      </c>
      <c r="H118">
        <v>4</v>
      </c>
      <c r="I118">
        <v>1</v>
      </c>
      <c r="J118">
        <v>0.16</v>
      </c>
      <c r="K118">
        <v>0.2273</v>
      </c>
      <c r="L118">
        <v>0.64</v>
      </c>
      <c r="M118">
        <v>0</v>
      </c>
      <c r="N118">
        <v>0</v>
      </c>
      <c r="O118">
        <v>4</v>
      </c>
      <c r="P118">
        <v>4</v>
      </c>
    </row>
    <row r="119" spans="1:16" x14ac:dyDescent="0.25">
      <c r="A119">
        <v>118</v>
      </c>
      <c r="B119" s="4">
        <v>40549</v>
      </c>
      <c r="C119">
        <v>1</v>
      </c>
      <c r="D119">
        <v>0</v>
      </c>
      <c r="E119">
        <v>1</v>
      </c>
      <c r="F119">
        <v>2</v>
      </c>
      <c r="G119" t="b">
        <v>0</v>
      </c>
      <c r="H119">
        <v>4</v>
      </c>
      <c r="I119">
        <v>1</v>
      </c>
      <c r="J119">
        <v>0.16</v>
      </c>
      <c r="K119">
        <v>0.2273</v>
      </c>
      <c r="L119">
        <v>0.64</v>
      </c>
      <c r="M119">
        <v>0</v>
      </c>
      <c r="N119">
        <v>0</v>
      </c>
      <c r="O119">
        <v>2</v>
      </c>
      <c r="P119">
        <v>2</v>
      </c>
    </row>
    <row r="120" spans="1:16" x14ac:dyDescent="0.25">
      <c r="A120">
        <v>119</v>
      </c>
      <c r="B120" s="4">
        <v>40549</v>
      </c>
      <c r="C120">
        <v>1</v>
      </c>
      <c r="D120">
        <v>0</v>
      </c>
      <c r="E120">
        <v>1</v>
      </c>
      <c r="F120">
        <v>4</v>
      </c>
      <c r="G120" t="b">
        <v>0</v>
      </c>
      <c r="H120">
        <v>4</v>
      </c>
      <c r="I120">
        <v>2</v>
      </c>
      <c r="J120">
        <v>0.16</v>
      </c>
      <c r="K120">
        <v>0.19700000000000001</v>
      </c>
      <c r="L120">
        <v>0.64</v>
      </c>
      <c r="M120">
        <v>8.9599999999999999E-2</v>
      </c>
      <c r="N120">
        <v>0</v>
      </c>
      <c r="O120">
        <v>1</v>
      </c>
      <c r="P120">
        <v>1</v>
      </c>
    </row>
    <row r="121" spans="1:16" x14ac:dyDescent="0.25">
      <c r="A121">
        <v>120</v>
      </c>
      <c r="B121" s="4">
        <v>40549</v>
      </c>
      <c r="C121">
        <v>1</v>
      </c>
      <c r="D121">
        <v>0</v>
      </c>
      <c r="E121">
        <v>1</v>
      </c>
      <c r="F121">
        <v>5</v>
      </c>
      <c r="G121" t="b">
        <v>0</v>
      </c>
      <c r="H121">
        <v>4</v>
      </c>
      <c r="I121">
        <v>2</v>
      </c>
      <c r="J121">
        <v>0.14000000000000001</v>
      </c>
      <c r="K121">
        <v>0.18179999999999999</v>
      </c>
      <c r="L121">
        <v>0.69</v>
      </c>
      <c r="M121">
        <v>8.9599999999999999E-2</v>
      </c>
      <c r="N121">
        <v>0</v>
      </c>
      <c r="O121">
        <v>4</v>
      </c>
      <c r="P121">
        <v>4</v>
      </c>
    </row>
    <row r="122" spans="1:16" x14ac:dyDescent="0.25">
      <c r="A122">
        <v>121</v>
      </c>
      <c r="B122" s="4">
        <v>40549</v>
      </c>
      <c r="C122">
        <v>1</v>
      </c>
      <c r="D122">
        <v>0</v>
      </c>
      <c r="E122">
        <v>1</v>
      </c>
      <c r="F122">
        <v>6</v>
      </c>
      <c r="G122" t="b">
        <v>0</v>
      </c>
      <c r="H122">
        <v>4</v>
      </c>
      <c r="I122">
        <v>2</v>
      </c>
      <c r="J122">
        <v>0.14000000000000001</v>
      </c>
      <c r="K122">
        <v>0.16669999999999999</v>
      </c>
      <c r="L122">
        <v>0.63</v>
      </c>
      <c r="M122">
        <v>0.1045</v>
      </c>
      <c r="N122">
        <v>0</v>
      </c>
      <c r="O122">
        <v>36</v>
      </c>
      <c r="P122">
        <v>36</v>
      </c>
    </row>
    <row r="123" spans="1:16" x14ac:dyDescent="0.25">
      <c r="A123">
        <v>122</v>
      </c>
      <c r="B123" s="4">
        <v>40549</v>
      </c>
      <c r="C123">
        <v>1</v>
      </c>
      <c r="D123">
        <v>0</v>
      </c>
      <c r="E123">
        <v>1</v>
      </c>
      <c r="F123">
        <v>7</v>
      </c>
      <c r="G123" t="b">
        <v>0</v>
      </c>
      <c r="H123">
        <v>4</v>
      </c>
      <c r="I123">
        <v>2</v>
      </c>
      <c r="J123">
        <v>0.16</v>
      </c>
      <c r="K123">
        <v>0.2273</v>
      </c>
      <c r="L123">
        <v>0.59</v>
      </c>
      <c r="M123">
        <v>0</v>
      </c>
      <c r="N123">
        <v>0</v>
      </c>
      <c r="O123">
        <v>95</v>
      </c>
      <c r="P123">
        <v>95</v>
      </c>
    </row>
    <row r="124" spans="1:16" x14ac:dyDescent="0.25">
      <c r="A124">
        <v>123</v>
      </c>
      <c r="B124" s="4">
        <v>40549</v>
      </c>
      <c r="C124">
        <v>1</v>
      </c>
      <c r="D124">
        <v>0</v>
      </c>
      <c r="E124">
        <v>1</v>
      </c>
      <c r="F124">
        <v>8</v>
      </c>
      <c r="G124" t="b">
        <v>0</v>
      </c>
      <c r="H124">
        <v>4</v>
      </c>
      <c r="I124">
        <v>1</v>
      </c>
      <c r="J124">
        <v>0.16</v>
      </c>
      <c r="K124">
        <v>0.2273</v>
      </c>
      <c r="L124">
        <v>0.59</v>
      </c>
      <c r="M124">
        <v>0</v>
      </c>
      <c r="N124">
        <v>3</v>
      </c>
      <c r="O124">
        <v>216</v>
      </c>
      <c r="P124">
        <v>219</v>
      </c>
    </row>
    <row r="125" spans="1:16" x14ac:dyDescent="0.25">
      <c r="A125">
        <v>124</v>
      </c>
      <c r="B125" s="4">
        <v>40549</v>
      </c>
      <c r="C125">
        <v>1</v>
      </c>
      <c r="D125">
        <v>0</v>
      </c>
      <c r="E125">
        <v>1</v>
      </c>
      <c r="F125">
        <v>9</v>
      </c>
      <c r="G125" t="b">
        <v>0</v>
      </c>
      <c r="H125">
        <v>4</v>
      </c>
      <c r="I125">
        <v>2</v>
      </c>
      <c r="J125">
        <v>0.18</v>
      </c>
      <c r="K125">
        <v>0.2424</v>
      </c>
      <c r="L125">
        <v>0.51</v>
      </c>
      <c r="M125">
        <v>0</v>
      </c>
      <c r="N125">
        <v>6</v>
      </c>
      <c r="O125">
        <v>116</v>
      </c>
      <c r="P125">
        <v>122</v>
      </c>
    </row>
    <row r="126" spans="1:16" x14ac:dyDescent="0.25">
      <c r="A126">
        <v>125</v>
      </c>
      <c r="B126" s="4">
        <v>40549</v>
      </c>
      <c r="C126">
        <v>1</v>
      </c>
      <c r="D126">
        <v>0</v>
      </c>
      <c r="E126">
        <v>1</v>
      </c>
      <c r="F126">
        <v>10</v>
      </c>
      <c r="G126" t="b">
        <v>0</v>
      </c>
      <c r="H126">
        <v>4</v>
      </c>
      <c r="I126">
        <v>1</v>
      </c>
      <c r="J126">
        <v>0.2</v>
      </c>
      <c r="K126">
        <v>0.2576</v>
      </c>
      <c r="L126">
        <v>0.47</v>
      </c>
      <c r="M126">
        <v>0</v>
      </c>
      <c r="N126">
        <v>3</v>
      </c>
      <c r="O126">
        <v>42</v>
      </c>
      <c r="P126">
        <v>45</v>
      </c>
    </row>
    <row r="127" spans="1:16" x14ac:dyDescent="0.25">
      <c r="A127">
        <v>126</v>
      </c>
      <c r="B127" s="4">
        <v>40549</v>
      </c>
      <c r="C127">
        <v>1</v>
      </c>
      <c r="D127">
        <v>0</v>
      </c>
      <c r="E127">
        <v>1</v>
      </c>
      <c r="F127">
        <v>11</v>
      </c>
      <c r="G127" t="b">
        <v>0</v>
      </c>
      <c r="H127">
        <v>4</v>
      </c>
      <c r="I127">
        <v>1</v>
      </c>
      <c r="J127">
        <v>0.22</v>
      </c>
      <c r="K127">
        <v>0.2576</v>
      </c>
      <c r="L127">
        <v>0.44</v>
      </c>
      <c r="M127">
        <v>8.9599999999999999E-2</v>
      </c>
      <c r="N127">
        <v>2</v>
      </c>
      <c r="O127">
        <v>57</v>
      </c>
      <c r="P127">
        <v>59</v>
      </c>
    </row>
    <row r="128" spans="1:16" x14ac:dyDescent="0.25">
      <c r="A128">
        <v>127</v>
      </c>
      <c r="B128" s="4">
        <v>40549</v>
      </c>
      <c r="C128">
        <v>1</v>
      </c>
      <c r="D128">
        <v>0</v>
      </c>
      <c r="E128">
        <v>1</v>
      </c>
      <c r="F128">
        <v>12</v>
      </c>
      <c r="G128" t="b">
        <v>0</v>
      </c>
      <c r="H128">
        <v>4</v>
      </c>
      <c r="I128">
        <v>1</v>
      </c>
      <c r="J128">
        <v>0.26</v>
      </c>
      <c r="K128">
        <v>0.28789999999999999</v>
      </c>
      <c r="L128">
        <v>0.35</v>
      </c>
      <c r="M128">
        <v>0</v>
      </c>
      <c r="N128">
        <v>6</v>
      </c>
      <c r="O128">
        <v>78</v>
      </c>
      <c r="P128">
        <v>84</v>
      </c>
    </row>
    <row r="129" spans="1:16" x14ac:dyDescent="0.25">
      <c r="A129">
        <v>128</v>
      </c>
      <c r="B129" s="4">
        <v>40549</v>
      </c>
      <c r="C129">
        <v>1</v>
      </c>
      <c r="D129">
        <v>0</v>
      </c>
      <c r="E129">
        <v>1</v>
      </c>
      <c r="F129">
        <v>13</v>
      </c>
      <c r="G129" t="b">
        <v>0</v>
      </c>
      <c r="H129">
        <v>4</v>
      </c>
      <c r="I129">
        <v>1</v>
      </c>
      <c r="J129">
        <v>0.26</v>
      </c>
      <c r="K129">
        <v>0.2727</v>
      </c>
      <c r="L129">
        <v>0.35</v>
      </c>
      <c r="M129">
        <v>0.1045</v>
      </c>
      <c r="N129">
        <v>12</v>
      </c>
      <c r="O129">
        <v>55</v>
      </c>
      <c r="P129">
        <v>67</v>
      </c>
    </row>
    <row r="130" spans="1:16" x14ac:dyDescent="0.25">
      <c r="A130">
        <v>129</v>
      </c>
      <c r="B130" s="4">
        <v>40549</v>
      </c>
      <c r="C130">
        <v>1</v>
      </c>
      <c r="D130">
        <v>0</v>
      </c>
      <c r="E130">
        <v>1</v>
      </c>
      <c r="F130">
        <v>14</v>
      </c>
      <c r="G130" t="b">
        <v>0</v>
      </c>
      <c r="H130">
        <v>4</v>
      </c>
      <c r="I130">
        <v>1</v>
      </c>
      <c r="J130">
        <v>0.28000000000000003</v>
      </c>
      <c r="K130">
        <v>0.2727</v>
      </c>
      <c r="L130">
        <v>0.36</v>
      </c>
      <c r="M130">
        <v>0.16420000000000001</v>
      </c>
      <c r="N130">
        <v>11</v>
      </c>
      <c r="O130">
        <v>59</v>
      </c>
      <c r="P130">
        <v>70</v>
      </c>
    </row>
    <row r="131" spans="1:16" x14ac:dyDescent="0.25">
      <c r="A131">
        <v>130</v>
      </c>
      <c r="B131" s="4">
        <v>40549</v>
      </c>
      <c r="C131">
        <v>1</v>
      </c>
      <c r="D131">
        <v>0</v>
      </c>
      <c r="E131">
        <v>1</v>
      </c>
      <c r="F131">
        <v>15</v>
      </c>
      <c r="G131" t="b">
        <v>0</v>
      </c>
      <c r="H131">
        <v>4</v>
      </c>
      <c r="I131">
        <v>1</v>
      </c>
      <c r="J131">
        <v>0.28000000000000003</v>
      </c>
      <c r="K131">
        <v>0.2727</v>
      </c>
      <c r="L131">
        <v>0.36</v>
      </c>
      <c r="M131">
        <v>0</v>
      </c>
      <c r="N131">
        <v>8</v>
      </c>
      <c r="O131">
        <v>54</v>
      </c>
      <c r="P131">
        <v>62</v>
      </c>
    </row>
    <row r="132" spans="1:16" x14ac:dyDescent="0.25">
      <c r="A132">
        <v>131</v>
      </c>
      <c r="B132" s="4">
        <v>40549</v>
      </c>
      <c r="C132">
        <v>1</v>
      </c>
      <c r="D132">
        <v>0</v>
      </c>
      <c r="E132">
        <v>1</v>
      </c>
      <c r="F132">
        <v>16</v>
      </c>
      <c r="G132" t="b">
        <v>0</v>
      </c>
      <c r="H132">
        <v>4</v>
      </c>
      <c r="I132">
        <v>1</v>
      </c>
      <c r="J132">
        <v>0.26</v>
      </c>
      <c r="K132">
        <v>0.2576</v>
      </c>
      <c r="L132">
        <v>0.38</v>
      </c>
      <c r="M132">
        <v>0.16420000000000001</v>
      </c>
      <c r="N132">
        <v>12</v>
      </c>
      <c r="O132">
        <v>74</v>
      </c>
      <c r="P132">
        <v>86</v>
      </c>
    </row>
    <row r="133" spans="1:16" x14ac:dyDescent="0.25">
      <c r="A133">
        <v>132</v>
      </c>
      <c r="B133" s="4">
        <v>40549</v>
      </c>
      <c r="C133">
        <v>1</v>
      </c>
      <c r="D133">
        <v>0</v>
      </c>
      <c r="E133">
        <v>1</v>
      </c>
      <c r="F133">
        <v>17</v>
      </c>
      <c r="G133" t="b">
        <v>0</v>
      </c>
      <c r="H133">
        <v>4</v>
      </c>
      <c r="I133">
        <v>1</v>
      </c>
      <c r="J133">
        <v>0.22</v>
      </c>
      <c r="K133">
        <v>0.2273</v>
      </c>
      <c r="L133">
        <v>0.51</v>
      </c>
      <c r="M133">
        <v>0.16420000000000001</v>
      </c>
      <c r="N133">
        <v>9</v>
      </c>
      <c r="O133">
        <v>163</v>
      </c>
      <c r="P133">
        <v>172</v>
      </c>
    </row>
    <row r="134" spans="1:16" x14ac:dyDescent="0.25">
      <c r="A134">
        <v>133</v>
      </c>
      <c r="B134" s="4">
        <v>40549</v>
      </c>
      <c r="C134">
        <v>1</v>
      </c>
      <c r="D134">
        <v>0</v>
      </c>
      <c r="E134">
        <v>1</v>
      </c>
      <c r="F134">
        <v>18</v>
      </c>
      <c r="G134" t="b">
        <v>0</v>
      </c>
      <c r="H134">
        <v>4</v>
      </c>
      <c r="I134">
        <v>1</v>
      </c>
      <c r="J134">
        <v>0.22</v>
      </c>
      <c r="K134">
        <v>0.2273</v>
      </c>
      <c r="L134">
        <v>0.51</v>
      </c>
      <c r="M134">
        <v>0.1343</v>
      </c>
      <c r="N134">
        <v>5</v>
      </c>
      <c r="O134">
        <v>158</v>
      </c>
      <c r="P134">
        <v>163</v>
      </c>
    </row>
    <row r="135" spans="1:16" x14ac:dyDescent="0.25">
      <c r="A135">
        <v>134</v>
      </c>
      <c r="B135" s="4">
        <v>40549</v>
      </c>
      <c r="C135">
        <v>1</v>
      </c>
      <c r="D135">
        <v>0</v>
      </c>
      <c r="E135">
        <v>1</v>
      </c>
      <c r="F135">
        <v>19</v>
      </c>
      <c r="G135" t="b">
        <v>0</v>
      </c>
      <c r="H135">
        <v>4</v>
      </c>
      <c r="I135">
        <v>1</v>
      </c>
      <c r="J135">
        <v>0.22</v>
      </c>
      <c r="K135">
        <v>0.2576</v>
      </c>
      <c r="L135">
        <v>0.55000000000000004</v>
      </c>
      <c r="M135">
        <v>8.9599999999999999E-2</v>
      </c>
      <c r="N135">
        <v>3</v>
      </c>
      <c r="O135">
        <v>109</v>
      </c>
      <c r="P135">
        <v>112</v>
      </c>
    </row>
    <row r="136" spans="1:16" x14ac:dyDescent="0.25">
      <c r="A136">
        <v>135</v>
      </c>
      <c r="B136" s="4">
        <v>40549</v>
      </c>
      <c r="C136">
        <v>1</v>
      </c>
      <c r="D136">
        <v>0</v>
      </c>
      <c r="E136">
        <v>1</v>
      </c>
      <c r="F136">
        <v>20</v>
      </c>
      <c r="G136" t="b">
        <v>0</v>
      </c>
      <c r="H136">
        <v>4</v>
      </c>
      <c r="I136">
        <v>1</v>
      </c>
      <c r="J136">
        <v>0.2</v>
      </c>
      <c r="K136">
        <v>0.21210000000000001</v>
      </c>
      <c r="L136">
        <v>0.51</v>
      </c>
      <c r="M136">
        <v>0.16420000000000001</v>
      </c>
      <c r="N136">
        <v>3</v>
      </c>
      <c r="O136">
        <v>66</v>
      </c>
      <c r="P136">
        <v>69</v>
      </c>
    </row>
    <row r="137" spans="1:16" x14ac:dyDescent="0.25">
      <c r="A137">
        <v>136</v>
      </c>
      <c r="B137" s="4">
        <v>40549</v>
      </c>
      <c r="C137">
        <v>1</v>
      </c>
      <c r="D137">
        <v>0</v>
      </c>
      <c r="E137">
        <v>1</v>
      </c>
      <c r="F137">
        <v>21</v>
      </c>
      <c r="G137" t="b">
        <v>0</v>
      </c>
      <c r="H137">
        <v>4</v>
      </c>
      <c r="I137">
        <v>2</v>
      </c>
      <c r="J137">
        <v>0.22</v>
      </c>
      <c r="K137">
        <v>0.21210000000000001</v>
      </c>
      <c r="L137">
        <v>0.55000000000000004</v>
      </c>
      <c r="M137">
        <v>0.22389999999999999</v>
      </c>
      <c r="N137">
        <v>0</v>
      </c>
      <c r="O137">
        <v>48</v>
      </c>
      <c r="P137">
        <v>48</v>
      </c>
    </row>
    <row r="138" spans="1:16" x14ac:dyDescent="0.25">
      <c r="A138">
        <v>137</v>
      </c>
      <c r="B138" s="4">
        <v>40549</v>
      </c>
      <c r="C138">
        <v>1</v>
      </c>
      <c r="D138">
        <v>0</v>
      </c>
      <c r="E138">
        <v>1</v>
      </c>
      <c r="F138">
        <v>22</v>
      </c>
      <c r="G138" t="b">
        <v>0</v>
      </c>
      <c r="H138">
        <v>4</v>
      </c>
      <c r="I138">
        <v>2</v>
      </c>
      <c r="J138">
        <v>0.22</v>
      </c>
      <c r="K138">
        <v>0.21210000000000001</v>
      </c>
      <c r="L138">
        <v>0.51</v>
      </c>
      <c r="M138">
        <v>0.28360000000000002</v>
      </c>
      <c r="N138">
        <v>1</v>
      </c>
      <c r="O138">
        <v>51</v>
      </c>
      <c r="P138">
        <v>52</v>
      </c>
    </row>
    <row r="139" spans="1:16" x14ac:dyDescent="0.25">
      <c r="A139">
        <v>138</v>
      </c>
      <c r="B139" s="4">
        <v>40549</v>
      </c>
      <c r="C139">
        <v>1</v>
      </c>
      <c r="D139">
        <v>0</v>
      </c>
      <c r="E139">
        <v>1</v>
      </c>
      <c r="F139">
        <v>23</v>
      </c>
      <c r="G139" t="b">
        <v>0</v>
      </c>
      <c r="H139">
        <v>4</v>
      </c>
      <c r="I139">
        <v>2</v>
      </c>
      <c r="J139">
        <v>0.2</v>
      </c>
      <c r="K139">
        <v>0.19700000000000001</v>
      </c>
      <c r="L139">
        <v>0.59</v>
      </c>
      <c r="M139">
        <v>0.19400000000000001</v>
      </c>
      <c r="N139">
        <v>4</v>
      </c>
      <c r="O139">
        <v>19</v>
      </c>
      <c r="P139">
        <v>23</v>
      </c>
    </row>
    <row r="140" spans="1:16" x14ac:dyDescent="0.25">
      <c r="A140">
        <v>139</v>
      </c>
      <c r="B140" s="4">
        <v>40550</v>
      </c>
      <c r="C140">
        <v>1</v>
      </c>
      <c r="D140">
        <v>0</v>
      </c>
      <c r="E140">
        <v>1</v>
      </c>
      <c r="F140">
        <v>0</v>
      </c>
      <c r="G140" t="b">
        <v>0</v>
      </c>
      <c r="H140">
        <v>5</v>
      </c>
      <c r="I140">
        <v>2</v>
      </c>
      <c r="J140">
        <v>0.2</v>
      </c>
      <c r="K140">
        <v>0.19700000000000001</v>
      </c>
      <c r="L140">
        <v>0.64</v>
      </c>
      <c r="M140">
        <v>0.19400000000000001</v>
      </c>
      <c r="N140">
        <v>4</v>
      </c>
      <c r="O140">
        <v>13</v>
      </c>
      <c r="P140">
        <v>17</v>
      </c>
    </row>
    <row r="141" spans="1:16" x14ac:dyDescent="0.25">
      <c r="A141">
        <v>140</v>
      </c>
      <c r="B141" s="4">
        <v>40550</v>
      </c>
      <c r="C141">
        <v>1</v>
      </c>
      <c r="D141">
        <v>0</v>
      </c>
      <c r="E141">
        <v>1</v>
      </c>
      <c r="F141">
        <v>1</v>
      </c>
      <c r="G141" t="b">
        <v>0</v>
      </c>
      <c r="H141">
        <v>5</v>
      </c>
      <c r="I141">
        <v>2</v>
      </c>
      <c r="J141">
        <v>0.2</v>
      </c>
      <c r="K141">
        <v>0.19700000000000001</v>
      </c>
      <c r="L141">
        <v>0.69</v>
      </c>
      <c r="M141">
        <v>0.22389999999999999</v>
      </c>
      <c r="N141">
        <v>2</v>
      </c>
      <c r="O141">
        <v>5</v>
      </c>
      <c r="P141">
        <v>7</v>
      </c>
    </row>
    <row r="142" spans="1:16" x14ac:dyDescent="0.25">
      <c r="A142">
        <v>141</v>
      </c>
      <c r="B142" s="4">
        <v>40550</v>
      </c>
      <c r="C142">
        <v>1</v>
      </c>
      <c r="D142">
        <v>0</v>
      </c>
      <c r="E142">
        <v>1</v>
      </c>
      <c r="F142">
        <v>2</v>
      </c>
      <c r="G142" t="b">
        <v>0</v>
      </c>
      <c r="H142">
        <v>5</v>
      </c>
      <c r="I142">
        <v>2</v>
      </c>
      <c r="J142">
        <v>0.2</v>
      </c>
      <c r="K142">
        <v>0.19700000000000001</v>
      </c>
      <c r="L142">
        <v>0.69</v>
      </c>
      <c r="M142">
        <v>0.22389999999999999</v>
      </c>
      <c r="N142">
        <v>0</v>
      </c>
      <c r="O142">
        <v>1</v>
      </c>
      <c r="P142">
        <v>1</v>
      </c>
    </row>
    <row r="143" spans="1:16" x14ac:dyDescent="0.25">
      <c r="A143">
        <v>142</v>
      </c>
      <c r="B143" s="4">
        <v>40550</v>
      </c>
      <c r="C143">
        <v>1</v>
      </c>
      <c r="D143">
        <v>0</v>
      </c>
      <c r="E143">
        <v>1</v>
      </c>
      <c r="F143">
        <v>4</v>
      </c>
      <c r="G143" t="b">
        <v>0</v>
      </c>
      <c r="H143">
        <v>5</v>
      </c>
      <c r="I143">
        <v>2</v>
      </c>
      <c r="J143">
        <v>0.2</v>
      </c>
      <c r="K143">
        <v>0.21210000000000001</v>
      </c>
      <c r="L143">
        <v>0.69</v>
      </c>
      <c r="M143">
        <v>0.1343</v>
      </c>
      <c r="N143">
        <v>0</v>
      </c>
      <c r="O143">
        <v>1</v>
      </c>
      <c r="P143">
        <v>1</v>
      </c>
    </row>
    <row r="144" spans="1:16" x14ac:dyDescent="0.25">
      <c r="A144">
        <v>143</v>
      </c>
      <c r="B144" s="4">
        <v>40550</v>
      </c>
      <c r="C144">
        <v>1</v>
      </c>
      <c r="D144">
        <v>0</v>
      </c>
      <c r="E144">
        <v>1</v>
      </c>
      <c r="F144">
        <v>5</v>
      </c>
      <c r="G144" t="b">
        <v>0</v>
      </c>
      <c r="H144">
        <v>5</v>
      </c>
      <c r="I144">
        <v>3</v>
      </c>
      <c r="J144">
        <v>0.22</v>
      </c>
      <c r="K144">
        <v>0.2727</v>
      </c>
      <c r="L144">
        <v>0.55000000000000004</v>
      </c>
      <c r="M144">
        <v>0</v>
      </c>
      <c r="N144">
        <v>0</v>
      </c>
      <c r="O144">
        <v>5</v>
      </c>
      <c r="P144">
        <v>5</v>
      </c>
    </row>
    <row r="145" spans="1:16" x14ac:dyDescent="0.25">
      <c r="A145">
        <v>144</v>
      </c>
      <c r="B145" s="4">
        <v>40550</v>
      </c>
      <c r="C145">
        <v>1</v>
      </c>
      <c r="D145">
        <v>0</v>
      </c>
      <c r="E145">
        <v>1</v>
      </c>
      <c r="F145">
        <v>6</v>
      </c>
      <c r="G145" t="b">
        <v>0</v>
      </c>
      <c r="H145">
        <v>5</v>
      </c>
      <c r="I145">
        <v>2</v>
      </c>
      <c r="J145">
        <v>0.2</v>
      </c>
      <c r="K145">
        <v>0.2576</v>
      </c>
      <c r="L145">
        <v>0.69</v>
      </c>
      <c r="M145">
        <v>0</v>
      </c>
      <c r="N145">
        <v>8</v>
      </c>
      <c r="O145">
        <v>26</v>
      </c>
      <c r="P145">
        <v>34</v>
      </c>
    </row>
    <row r="146" spans="1:16" x14ac:dyDescent="0.25">
      <c r="A146">
        <v>145</v>
      </c>
      <c r="B146" s="4">
        <v>40550</v>
      </c>
      <c r="C146">
        <v>1</v>
      </c>
      <c r="D146">
        <v>0</v>
      </c>
      <c r="E146">
        <v>1</v>
      </c>
      <c r="F146">
        <v>7</v>
      </c>
      <c r="G146" t="b">
        <v>0</v>
      </c>
      <c r="H146">
        <v>5</v>
      </c>
      <c r="I146">
        <v>1</v>
      </c>
      <c r="J146">
        <v>0.2</v>
      </c>
      <c r="K146">
        <v>0.21210000000000001</v>
      </c>
      <c r="L146">
        <v>0.69</v>
      </c>
      <c r="M146">
        <v>0.1343</v>
      </c>
      <c r="N146">
        <v>8</v>
      </c>
      <c r="O146">
        <v>76</v>
      </c>
      <c r="P146">
        <v>84</v>
      </c>
    </row>
    <row r="147" spans="1:16" x14ac:dyDescent="0.25">
      <c r="A147">
        <v>146</v>
      </c>
      <c r="B147" s="4">
        <v>40550</v>
      </c>
      <c r="C147">
        <v>1</v>
      </c>
      <c r="D147">
        <v>0</v>
      </c>
      <c r="E147">
        <v>1</v>
      </c>
      <c r="F147">
        <v>8</v>
      </c>
      <c r="G147" t="b">
        <v>0</v>
      </c>
      <c r="H147">
        <v>5</v>
      </c>
      <c r="I147">
        <v>1</v>
      </c>
      <c r="J147">
        <v>0.2</v>
      </c>
      <c r="K147">
        <v>0.19700000000000001</v>
      </c>
      <c r="L147">
        <v>0.51</v>
      </c>
      <c r="M147">
        <v>0.25369999999999998</v>
      </c>
      <c r="N147">
        <v>20</v>
      </c>
      <c r="O147">
        <v>190</v>
      </c>
      <c r="P147">
        <v>210</v>
      </c>
    </row>
    <row r="148" spans="1:16" x14ac:dyDescent="0.25">
      <c r="A148">
        <v>147</v>
      </c>
      <c r="B148" s="4">
        <v>40550</v>
      </c>
      <c r="C148">
        <v>1</v>
      </c>
      <c r="D148">
        <v>0</v>
      </c>
      <c r="E148">
        <v>1</v>
      </c>
      <c r="F148">
        <v>9</v>
      </c>
      <c r="G148" t="b">
        <v>0</v>
      </c>
      <c r="H148">
        <v>5</v>
      </c>
      <c r="I148">
        <v>1</v>
      </c>
      <c r="J148">
        <v>0.2</v>
      </c>
      <c r="K148">
        <v>0.18179999999999999</v>
      </c>
      <c r="L148">
        <v>0.47</v>
      </c>
      <c r="M148">
        <v>0.29849999999999999</v>
      </c>
      <c r="N148">
        <v>9</v>
      </c>
      <c r="O148">
        <v>125</v>
      </c>
      <c r="P148">
        <v>134</v>
      </c>
    </row>
    <row r="149" spans="1:16" x14ac:dyDescent="0.25">
      <c r="A149">
        <v>148</v>
      </c>
      <c r="B149" s="4">
        <v>40550</v>
      </c>
      <c r="C149">
        <v>1</v>
      </c>
      <c r="D149">
        <v>0</v>
      </c>
      <c r="E149">
        <v>1</v>
      </c>
      <c r="F149">
        <v>10</v>
      </c>
      <c r="G149" t="b">
        <v>0</v>
      </c>
      <c r="H149">
        <v>5</v>
      </c>
      <c r="I149">
        <v>1</v>
      </c>
      <c r="J149">
        <v>0.22</v>
      </c>
      <c r="K149">
        <v>0.19700000000000001</v>
      </c>
      <c r="L149">
        <v>0.37</v>
      </c>
      <c r="M149">
        <v>0.32840000000000003</v>
      </c>
      <c r="N149">
        <v>16</v>
      </c>
      <c r="O149">
        <v>47</v>
      </c>
      <c r="P149">
        <v>63</v>
      </c>
    </row>
    <row r="150" spans="1:16" x14ac:dyDescent="0.25">
      <c r="A150">
        <v>149</v>
      </c>
      <c r="B150" s="4">
        <v>40550</v>
      </c>
      <c r="C150">
        <v>1</v>
      </c>
      <c r="D150">
        <v>0</v>
      </c>
      <c r="E150">
        <v>1</v>
      </c>
      <c r="F150">
        <v>11</v>
      </c>
      <c r="G150" t="b">
        <v>0</v>
      </c>
      <c r="H150">
        <v>5</v>
      </c>
      <c r="I150">
        <v>2</v>
      </c>
      <c r="J150">
        <v>0.2</v>
      </c>
      <c r="K150">
        <v>0.19700000000000001</v>
      </c>
      <c r="L150">
        <v>0.4</v>
      </c>
      <c r="M150">
        <v>0.22389999999999999</v>
      </c>
      <c r="N150">
        <v>19</v>
      </c>
      <c r="O150">
        <v>48</v>
      </c>
      <c r="P150">
        <v>67</v>
      </c>
    </row>
    <row r="151" spans="1:16" x14ac:dyDescent="0.25">
      <c r="A151">
        <v>150</v>
      </c>
      <c r="B151" s="4">
        <v>40550</v>
      </c>
      <c r="C151">
        <v>1</v>
      </c>
      <c r="D151">
        <v>0</v>
      </c>
      <c r="E151">
        <v>1</v>
      </c>
      <c r="F151">
        <v>12</v>
      </c>
      <c r="G151" t="b">
        <v>0</v>
      </c>
      <c r="H151">
        <v>5</v>
      </c>
      <c r="I151">
        <v>2</v>
      </c>
      <c r="J151">
        <v>0.2</v>
      </c>
      <c r="K151">
        <v>0.19700000000000001</v>
      </c>
      <c r="L151">
        <v>0.37</v>
      </c>
      <c r="M151">
        <v>0.25369999999999998</v>
      </c>
      <c r="N151">
        <v>9</v>
      </c>
      <c r="O151">
        <v>50</v>
      </c>
      <c r="P151">
        <v>59</v>
      </c>
    </row>
    <row r="152" spans="1:16" x14ac:dyDescent="0.25">
      <c r="A152">
        <v>151</v>
      </c>
      <c r="B152" s="4">
        <v>40550</v>
      </c>
      <c r="C152">
        <v>1</v>
      </c>
      <c r="D152">
        <v>0</v>
      </c>
      <c r="E152">
        <v>1</v>
      </c>
      <c r="F152">
        <v>13</v>
      </c>
      <c r="G152" t="b">
        <v>0</v>
      </c>
      <c r="H152">
        <v>5</v>
      </c>
      <c r="I152">
        <v>2</v>
      </c>
      <c r="J152">
        <v>0.2</v>
      </c>
      <c r="K152">
        <v>0.18179999999999999</v>
      </c>
      <c r="L152">
        <v>0.37</v>
      </c>
      <c r="M152">
        <v>0.28360000000000002</v>
      </c>
      <c r="N152">
        <v>9</v>
      </c>
      <c r="O152">
        <v>64</v>
      </c>
      <c r="P152">
        <v>73</v>
      </c>
    </row>
    <row r="153" spans="1:16" x14ac:dyDescent="0.25">
      <c r="A153">
        <v>152</v>
      </c>
      <c r="B153" s="4">
        <v>40550</v>
      </c>
      <c r="C153">
        <v>1</v>
      </c>
      <c r="D153">
        <v>0</v>
      </c>
      <c r="E153">
        <v>1</v>
      </c>
      <c r="F153">
        <v>14</v>
      </c>
      <c r="G153" t="b">
        <v>0</v>
      </c>
      <c r="H153">
        <v>5</v>
      </c>
      <c r="I153">
        <v>2</v>
      </c>
      <c r="J153">
        <v>0.2</v>
      </c>
      <c r="K153">
        <v>0.19700000000000001</v>
      </c>
      <c r="L153">
        <v>0.4</v>
      </c>
      <c r="M153">
        <v>0.25369999999999998</v>
      </c>
      <c r="N153">
        <v>7</v>
      </c>
      <c r="O153">
        <v>43</v>
      </c>
      <c r="P153">
        <v>50</v>
      </c>
    </row>
    <row r="154" spans="1:16" x14ac:dyDescent="0.25">
      <c r="A154">
        <v>153</v>
      </c>
      <c r="B154" s="4">
        <v>40550</v>
      </c>
      <c r="C154">
        <v>1</v>
      </c>
      <c r="D154">
        <v>0</v>
      </c>
      <c r="E154">
        <v>1</v>
      </c>
      <c r="F154">
        <v>15</v>
      </c>
      <c r="G154" t="b">
        <v>0</v>
      </c>
      <c r="H154">
        <v>5</v>
      </c>
      <c r="I154">
        <v>2</v>
      </c>
      <c r="J154">
        <v>0.2</v>
      </c>
      <c r="K154">
        <v>0.21210000000000001</v>
      </c>
      <c r="L154">
        <v>0.37</v>
      </c>
      <c r="M154">
        <v>0.16420000000000001</v>
      </c>
      <c r="N154">
        <v>9</v>
      </c>
      <c r="O154">
        <v>63</v>
      </c>
      <c r="P154">
        <v>72</v>
      </c>
    </row>
    <row r="155" spans="1:16" x14ac:dyDescent="0.25">
      <c r="A155">
        <v>154</v>
      </c>
      <c r="B155" s="4">
        <v>40550</v>
      </c>
      <c r="C155">
        <v>1</v>
      </c>
      <c r="D155">
        <v>0</v>
      </c>
      <c r="E155">
        <v>1</v>
      </c>
      <c r="F155">
        <v>16</v>
      </c>
      <c r="G155" t="b">
        <v>0</v>
      </c>
      <c r="H155">
        <v>5</v>
      </c>
      <c r="I155">
        <v>2</v>
      </c>
      <c r="J155">
        <v>0.2</v>
      </c>
      <c r="K155">
        <v>0.21210000000000001</v>
      </c>
      <c r="L155">
        <v>0.37</v>
      </c>
      <c r="M155">
        <v>0.16420000000000001</v>
      </c>
      <c r="N155">
        <v>5</v>
      </c>
      <c r="O155">
        <v>82</v>
      </c>
      <c r="P155">
        <v>87</v>
      </c>
    </row>
    <row r="156" spans="1:16" x14ac:dyDescent="0.25">
      <c r="A156">
        <v>155</v>
      </c>
      <c r="B156" s="4">
        <v>40550</v>
      </c>
      <c r="C156">
        <v>1</v>
      </c>
      <c r="D156">
        <v>0</v>
      </c>
      <c r="E156">
        <v>1</v>
      </c>
      <c r="F156">
        <v>17</v>
      </c>
      <c r="G156" t="b">
        <v>0</v>
      </c>
      <c r="H156">
        <v>5</v>
      </c>
      <c r="I156">
        <v>2</v>
      </c>
      <c r="J156">
        <v>0.2</v>
      </c>
      <c r="K156">
        <v>0.2576</v>
      </c>
      <c r="L156">
        <v>0.37</v>
      </c>
      <c r="M156">
        <v>0</v>
      </c>
      <c r="N156">
        <v>9</v>
      </c>
      <c r="O156">
        <v>178</v>
      </c>
      <c r="P156">
        <v>187</v>
      </c>
    </row>
    <row r="157" spans="1:16" x14ac:dyDescent="0.25">
      <c r="A157">
        <v>156</v>
      </c>
      <c r="B157" s="4">
        <v>40550</v>
      </c>
      <c r="C157">
        <v>1</v>
      </c>
      <c r="D157">
        <v>0</v>
      </c>
      <c r="E157">
        <v>1</v>
      </c>
      <c r="F157">
        <v>18</v>
      </c>
      <c r="G157" t="b">
        <v>0</v>
      </c>
      <c r="H157">
        <v>5</v>
      </c>
      <c r="I157">
        <v>1</v>
      </c>
      <c r="J157">
        <v>0.2</v>
      </c>
      <c r="K157">
        <v>0.2273</v>
      </c>
      <c r="L157">
        <v>0.4</v>
      </c>
      <c r="M157">
        <v>8.9599999999999999E-2</v>
      </c>
      <c r="N157">
        <v>7</v>
      </c>
      <c r="O157">
        <v>116</v>
      </c>
      <c r="P157">
        <v>123</v>
      </c>
    </row>
    <row r="158" spans="1:16" x14ac:dyDescent="0.25">
      <c r="A158">
        <v>157</v>
      </c>
      <c r="B158" s="4">
        <v>40550</v>
      </c>
      <c r="C158">
        <v>1</v>
      </c>
      <c r="D158">
        <v>0</v>
      </c>
      <c r="E158">
        <v>1</v>
      </c>
      <c r="F158">
        <v>19</v>
      </c>
      <c r="G158" t="b">
        <v>0</v>
      </c>
      <c r="H158">
        <v>5</v>
      </c>
      <c r="I158">
        <v>1</v>
      </c>
      <c r="J158">
        <v>0.16</v>
      </c>
      <c r="K158">
        <v>0.19700000000000001</v>
      </c>
      <c r="L158">
        <v>0.55000000000000004</v>
      </c>
      <c r="M158">
        <v>8.9599999999999999E-2</v>
      </c>
      <c r="N158">
        <v>3</v>
      </c>
      <c r="O158">
        <v>92</v>
      </c>
      <c r="P158">
        <v>95</v>
      </c>
    </row>
    <row r="159" spans="1:16" x14ac:dyDescent="0.25">
      <c r="A159">
        <v>158</v>
      </c>
      <c r="B159" s="4">
        <v>40550</v>
      </c>
      <c r="C159">
        <v>1</v>
      </c>
      <c r="D159">
        <v>0</v>
      </c>
      <c r="E159">
        <v>1</v>
      </c>
      <c r="F159">
        <v>20</v>
      </c>
      <c r="G159" t="b">
        <v>0</v>
      </c>
      <c r="H159">
        <v>5</v>
      </c>
      <c r="I159">
        <v>1</v>
      </c>
      <c r="J159">
        <v>0.18</v>
      </c>
      <c r="K159">
        <v>0.21210000000000001</v>
      </c>
      <c r="L159">
        <v>0.47</v>
      </c>
      <c r="M159">
        <v>0.1045</v>
      </c>
      <c r="N159">
        <v>1</v>
      </c>
      <c r="O159">
        <v>50</v>
      </c>
      <c r="P159">
        <v>51</v>
      </c>
    </row>
    <row r="160" spans="1:16" x14ac:dyDescent="0.25">
      <c r="A160">
        <v>159</v>
      </c>
      <c r="B160" s="4">
        <v>40550</v>
      </c>
      <c r="C160">
        <v>1</v>
      </c>
      <c r="D160">
        <v>0</v>
      </c>
      <c r="E160">
        <v>1</v>
      </c>
      <c r="F160">
        <v>21</v>
      </c>
      <c r="G160" t="b">
        <v>0</v>
      </c>
      <c r="H160">
        <v>5</v>
      </c>
      <c r="I160">
        <v>1</v>
      </c>
      <c r="J160">
        <v>0.18</v>
      </c>
      <c r="K160">
        <v>0.19700000000000001</v>
      </c>
      <c r="L160">
        <v>0.47</v>
      </c>
      <c r="M160">
        <v>0.1343</v>
      </c>
      <c r="N160">
        <v>0</v>
      </c>
      <c r="O160">
        <v>39</v>
      </c>
      <c r="P160">
        <v>39</v>
      </c>
    </row>
    <row r="161" spans="1:16" x14ac:dyDescent="0.25">
      <c r="A161">
        <v>160</v>
      </c>
      <c r="B161" s="4">
        <v>40550</v>
      </c>
      <c r="C161">
        <v>1</v>
      </c>
      <c r="D161">
        <v>0</v>
      </c>
      <c r="E161">
        <v>1</v>
      </c>
      <c r="F161">
        <v>22</v>
      </c>
      <c r="G161" t="b">
        <v>0</v>
      </c>
      <c r="H161">
        <v>5</v>
      </c>
      <c r="I161">
        <v>2</v>
      </c>
      <c r="J161">
        <v>0.18</v>
      </c>
      <c r="K161">
        <v>0.19700000000000001</v>
      </c>
      <c r="L161">
        <v>0.43</v>
      </c>
      <c r="M161">
        <v>0.16420000000000001</v>
      </c>
      <c r="N161">
        <v>2</v>
      </c>
      <c r="O161">
        <v>34</v>
      </c>
      <c r="P161">
        <v>36</v>
      </c>
    </row>
    <row r="162" spans="1:16" x14ac:dyDescent="0.25">
      <c r="A162">
        <v>161</v>
      </c>
      <c r="B162" s="4">
        <v>40550</v>
      </c>
      <c r="C162">
        <v>1</v>
      </c>
      <c r="D162">
        <v>0</v>
      </c>
      <c r="E162">
        <v>1</v>
      </c>
      <c r="F162">
        <v>23</v>
      </c>
      <c r="G162" t="b">
        <v>0</v>
      </c>
      <c r="H162">
        <v>5</v>
      </c>
      <c r="I162">
        <v>2</v>
      </c>
      <c r="J162">
        <v>0.18</v>
      </c>
      <c r="K162">
        <v>0.19700000000000001</v>
      </c>
      <c r="L162">
        <v>0.51</v>
      </c>
      <c r="M162">
        <v>0.16420000000000001</v>
      </c>
      <c r="N162">
        <v>1</v>
      </c>
      <c r="O162">
        <v>14</v>
      </c>
      <c r="P162">
        <v>15</v>
      </c>
    </row>
    <row r="163" spans="1:16" x14ac:dyDescent="0.25">
      <c r="A163">
        <v>162</v>
      </c>
      <c r="B163" s="4">
        <v>40551</v>
      </c>
      <c r="C163">
        <v>1</v>
      </c>
      <c r="D163">
        <v>0</v>
      </c>
      <c r="E163">
        <v>1</v>
      </c>
      <c r="F163">
        <v>0</v>
      </c>
      <c r="G163" t="b">
        <v>0</v>
      </c>
      <c r="H163">
        <v>6</v>
      </c>
      <c r="I163">
        <v>2</v>
      </c>
      <c r="J163">
        <v>0.18</v>
      </c>
      <c r="K163">
        <v>0.19700000000000001</v>
      </c>
      <c r="L163">
        <v>0.51</v>
      </c>
      <c r="M163">
        <v>0.16420000000000001</v>
      </c>
      <c r="N163">
        <v>1</v>
      </c>
      <c r="O163">
        <v>24</v>
      </c>
      <c r="P163">
        <v>25</v>
      </c>
    </row>
    <row r="164" spans="1:16" x14ac:dyDescent="0.25">
      <c r="A164">
        <v>163</v>
      </c>
      <c r="B164" s="4">
        <v>40551</v>
      </c>
      <c r="C164">
        <v>1</v>
      </c>
      <c r="D164">
        <v>0</v>
      </c>
      <c r="E164">
        <v>1</v>
      </c>
      <c r="F164">
        <v>1</v>
      </c>
      <c r="G164" t="b">
        <v>0</v>
      </c>
      <c r="H164">
        <v>6</v>
      </c>
      <c r="I164">
        <v>2</v>
      </c>
      <c r="J164">
        <v>0.18</v>
      </c>
      <c r="K164">
        <v>0.21210000000000001</v>
      </c>
      <c r="L164">
        <v>0.55000000000000004</v>
      </c>
      <c r="M164">
        <v>8.9599999999999999E-2</v>
      </c>
      <c r="N164">
        <v>1</v>
      </c>
      <c r="O164">
        <v>15</v>
      </c>
      <c r="P164">
        <v>16</v>
      </c>
    </row>
    <row r="165" spans="1:16" x14ac:dyDescent="0.25">
      <c r="A165">
        <v>164</v>
      </c>
      <c r="B165" s="4">
        <v>40551</v>
      </c>
      <c r="C165">
        <v>1</v>
      </c>
      <c r="D165">
        <v>0</v>
      </c>
      <c r="E165">
        <v>1</v>
      </c>
      <c r="F165">
        <v>2</v>
      </c>
      <c r="G165" t="b">
        <v>0</v>
      </c>
      <c r="H165">
        <v>6</v>
      </c>
      <c r="I165">
        <v>2</v>
      </c>
      <c r="J165">
        <v>0.18</v>
      </c>
      <c r="K165">
        <v>0.2424</v>
      </c>
      <c r="L165">
        <v>0.55000000000000004</v>
      </c>
      <c r="M165">
        <v>0</v>
      </c>
      <c r="N165">
        <v>3</v>
      </c>
      <c r="O165">
        <v>13</v>
      </c>
      <c r="P165">
        <v>16</v>
      </c>
    </row>
    <row r="166" spans="1:16" x14ac:dyDescent="0.25">
      <c r="A166">
        <v>165</v>
      </c>
      <c r="B166" s="4">
        <v>40551</v>
      </c>
      <c r="C166">
        <v>1</v>
      </c>
      <c r="D166">
        <v>0</v>
      </c>
      <c r="E166">
        <v>1</v>
      </c>
      <c r="F166">
        <v>3</v>
      </c>
      <c r="G166" t="b">
        <v>0</v>
      </c>
      <c r="H166">
        <v>6</v>
      </c>
      <c r="I166">
        <v>3</v>
      </c>
      <c r="J166">
        <v>0.18</v>
      </c>
      <c r="K166">
        <v>0.19700000000000001</v>
      </c>
      <c r="L166">
        <v>0.55000000000000004</v>
      </c>
      <c r="M166">
        <v>0.16420000000000001</v>
      </c>
      <c r="N166">
        <v>0</v>
      </c>
      <c r="O166">
        <v>7</v>
      </c>
      <c r="P166">
        <v>7</v>
      </c>
    </row>
    <row r="167" spans="1:16" x14ac:dyDescent="0.25">
      <c r="A167">
        <v>166</v>
      </c>
      <c r="B167" s="4">
        <v>40551</v>
      </c>
      <c r="C167">
        <v>1</v>
      </c>
      <c r="D167">
        <v>0</v>
      </c>
      <c r="E167">
        <v>1</v>
      </c>
      <c r="F167">
        <v>4</v>
      </c>
      <c r="G167" t="b">
        <v>0</v>
      </c>
      <c r="H167">
        <v>6</v>
      </c>
      <c r="I167">
        <v>3</v>
      </c>
      <c r="J167">
        <v>0.18</v>
      </c>
      <c r="K167">
        <v>0.19700000000000001</v>
      </c>
      <c r="L167">
        <v>0.55000000000000004</v>
      </c>
      <c r="M167">
        <v>0.16420000000000001</v>
      </c>
      <c r="N167">
        <v>0</v>
      </c>
      <c r="O167">
        <v>1</v>
      </c>
      <c r="P167">
        <v>1</v>
      </c>
    </row>
    <row r="168" spans="1:16" x14ac:dyDescent="0.25">
      <c r="A168">
        <v>167</v>
      </c>
      <c r="B168" s="4">
        <v>40551</v>
      </c>
      <c r="C168">
        <v>1</v>
      </c>
      <c r="D168">
        <v>0</v>
      </c>
      <c r="E168">
        <v>1</v>
      </c>
      <c r="F168">
        <v>5</v>
      </c>
      <c r="G168" t="b">
        <v>0</v>
      </c>
      <c r="H168">
        <v>6</v>
      </c>
      <c r="I168">
        <v>2</v>
      </c>
      <c r="J168">
        <v>0.16</v>
      </c>
      <c r="K168">
        <v>0.16669999999999999</v>
      </c>
      <c r="L168">
        <v>0.74</v>
      </c>
      <c r="M168">
        <v>0.16420000000000001</v>
      </c>
      <c r="N168">
        <v>0</v>
      </c>
      <c r="O168">
        <v>5</v>
      </c>
      <c r="P168">
        <v>5</v>
      </c>
    </row>
    <row r="169" spans="1:16" x14ac:dyDescent="0.25">
      <c r="A169">
        <v>168</v>
      </c>
      <c r="B169" s="4">
        <v>40551</v>
      </c>
      <c r="C169">
        <v>1</v>
      </c>
      <c r="D169">
        <v>0</v>
      </c>
      <c r="E169">
        <v>1</v>
      </c>
      <c r="F169">
        <v>6</v>
      </c>
      <c r="G169" t="b">
        <v>0</v>
      </c>
      <c r="H169">
        <v>6</v>
      </c>
      <c r="I169">
        <v>2</v>
      </c>
      <c r="J169">
        <v>0.16</v>
      </c>
      <c r="K169">
        <v>0.16669999999999999</v>
      </c>
      <c r="L169">
        <v>0.74</v>
      </c>
      <c r="M169">
        <v>0.16420000000000001</v>
      </c>
      <c r="N169">
        <v>0</v>
      </c>
      <c r="O169">
        <v>2</v>
      </c>
      <c r="P169">
        <v>2</v>
      </c>
    </row>
    <row r="170" spans="1:16" x14ac:dyDescent="0.25">
      <c r="A170">
        <v>169</v>
      </c>
      <c r="B170" s="4">
        <v>40551</v>
      </c>
      <c r="C170">
        <v>1</v>
      </c>
      <c r="D170">
        <v>0</v>
      </c>
      <c r="E170">
        <v>1</v>
      </c>
      <c r="F170">
        <v>7</v>
      </c>
      <c r="G170" t="b">
        <v>0</v>
      </c>
      <c r="H170">
        <v>6</v>
      </c>
      <c r="I170">
        <v>2</v>
      </c>
      <c r="J170">
        <v>0.16</v>
      </c>
      <c r="K170">
        <v>0.18179999999999999</v>
      </c>
      <c r="L170">
        <v>0.74</v>
      </c>
      <c r="M170">
        <v>0.1045</v>
      </c>
      <c r="N170">
        <v>1</v>
      </c>
      <c r="O170">
        <v>8</v>
      </c>
      <c r="P170">
        <v>9</v>
      </c>
    </row>
    <row r="171" spans="1:16" x14ac:dyDescent="0.25">
      <c r="A171">
        <v>170</v>
      </c>
      <c r="B171" s="4">
        <v>40551</v>
      </c>
      <c r="C171">
        <v>1</v>
      </c>
      <c r="D171">
        <v>0</v>
      </c>
      <c r="E171">
        <v>1</v>
      </c>
      <c r="F171">
        <v>8</v>
      </c>
      <c r="G171" t="b">
        <v>0</v>
      </c>
      <c r="H171">
        <v>6</v>
      </c>
      <c r="I171">
        <v>3</v>
      </c>
      <c r="J171">
        <v>0.16</v>
      </c>
      <c r="K171">
        <v>0.18179999999999999</v>
      </c>
      <c r="L171">
        <v>0.93</v>
      </c>
      <c r="M171">
        <v>0.1045</v>
      </c>
      <c r="N171">
        <v>0</v>
      </c>
      <c r="O171">
        <v>15</v>
      </c>
      <c r="P171">
        <v>15</v>
      </c>
    </row>
    <row r="172" spans="1:16" x14ac:dyDescent="0.25">
      <c r="A172">
        <v>171</v>
      </c>
      <c r="B172" s="4">
        <v>40551</v>
      </c>
      <c r="C172">
        <v>1</v>
      </c>
      <c r="D172">
        <v>0</v>
      </c>
      <c r="E172">
        <v>1</v>
      </c>
      <c r="F172">
        <v>9</v>
      </c>
      <c r="G172" t="b">
        <v>0</v>
      </c>
      <c r="H172">
        <v>6</v>
      </c>
      <c r="I172">
        <v>3</v>
      </c>
      <c r="J172">
        <v>0.16</v>
      </c>
      <c r="K172">
        <v>0.18179999999999999</v>
      </c>
      <c r="L172">
        <v>0.93</v>
      </c>
      <c r="M172">
        <v>0.1045</v>
      </c>
      <c r="N172">
        <v>0</v>
      </c>
      <c r="O172">
        <v>20</v>
      </c>
      <c r="P172">
        <v>20</v>
      </c>
    </row>
    <row r="173" spans="1:16" x14ac:dyDescent="0.25">
      <c r="A173">
        <v>172</v>
      </c>
      <c r="B173" s="4">
        <v>40551</v>
      </c>
      <c r="C173">
        <v>1</v>
      </c>
      <c r="D173">
        <v>0</v>
      </c>
      <c r="E173">
        <v>1</v>
      </c>
      <c r="F173">
        <v>10</v>
      </c>
      <c r="G173" t="b">
        <v>0</v>
      </c>
      <c r="H173">
        <v>6</v>
      </c>
      <c r="I173">
        <v>2</v>
      </c>
      <c r="J173">
        <v>0.18</v>
      </c>
      <c r="K173">
        <v>0.19700000000000001</v>
      </c>
      <c r="L173">
        <v>0.8</v>
      </c>
      <c r="M173">
        <v>0.16420000000000001</v>
      </c>
      <c r="N173">
        <v>5</v>
      </c>
      <c r="O173">
        <v>56</v>
      </c>
      <c r="P173">
        <v>61</v>
      </c>
    </row>
    <row r="174" spans="1:16" x14ac:dyDescent="0.25">
      <c r="A174">
        <v>173</v>
      </c>
      <c r="B174" s="4">
        <v>40551</v>
      </c>
      <c r="C174">
        <v>1</v>
      </c>
      <c r="D174">
        <v>0</v>
      </c>
      <c r="E174">
        <v>1</v>
      </c>
      <c r="F174">
        <v>11</v>
      </c>
      <c r="G174" t="b">
        <v>0</v>
      </c>
      <c r="H174">
        <v>6</v>
      </c>
      <c r="I174">
        <v>2</v>
      </c>
      <c r="J174">
        <v>0.2</v>
      </c>
      <c r="K174">
        <v>0.18179999999999999</v>
      </c>
      <c r="L174">
        <v>0.69</v>
      </c>
      <c r="M174">
        <v>0.3881</v>
      </c>
      <c r="N174">
        <v>2</v>
      </c>
      <c r="O174">
        <v>60</v>
      </c>
      <c r="P174">
        <v>62</v>
      </c>
    </row>
    <row r="175" spans="1:16" x14ac:dyDescent="0.25">
      <c r="A175">
        <v>174</v>
      </c>
      <c r="B175" s="4">
        <v>40551</v>
      </c>
      <c r="C175">
        <v>1</v>
      </c>
      <c r="D175">
        <v>0</v>
      </c>
      <c r="E175">
        <v>1</v>
      </c>
      <c r="F175">
        <v>12</v>
      </c>
      <c r="G175" t="b">
        <v>0</v>
      </c>
      <c r="H175">
        <v>6</v>
      </c>
      <c r="I175">
        <v>2</v>
      </c>
      <c r="J175">
        <v>0.2</v>
      </c>
      <c r="K175">
        <v>0.18179999999999999</v>
      </c>
      <c r="L175">
        <v>0.59</v>
      </c>
      <c r="M175">
        <v>0.35820000000000002</v>
      </c>
      <c r="N175">
        <v>8</v>
      </c>
      <c r="O175">
        <v>90</v>
      </c>
      <c r="P175">
        <v>98</v>
      </c>
    </row>
    <row r="176" spans="1:16" x14ac:dyDescent="0.25">
      <c r="A176">
        <v>175</v>
      </c>
      <c r="B176" s="4">
        <v>40551</v>
      </c>
      <c r="C176">
        <v>1</v>
      </c>
      <c r="D176">
        <v>0</v>
      </c>
      <c r="E176">
        <v>1</v>
      </c>
      <c r="F176">
        <v>13</v>
      </c>
      <c r="G176" t="b">
        <v>0</v>
      </c>
      <c r="H176">
        <v>6</v>
      </c>
      <c r="I176">
        <v>1</v>
      </c>
      <c r="J176">
        <v>0.2</v>
      </c>
      <c r="K176">
        <v>0.18179999999999999</v>
      </c>
      <c r="L176">
        <v>0.44</v>
      </c>
      <c r="M176">
        <v>0.32840000000000003</v>
      </c>
      <c r="N176">
        <v>7</v>
      </c>
      <c r="O176">
        <v>95</v>
      </c>
      <c r="P176">
        <v>102</v>
      </c>
    </row>
    <row r="177" spans="1:16" x14ac:dyDescent="0.25">
      <c r="A177">
        <v>176</v>
      </c>
      <c r="B177" s="4">
        <v>40551</v>
      </c>
      <c r="C177">
        <v>1</v>
      </c>
      <c r="D177">
        <v>0</v>
      </c>
      <c r="E177">
        <v>1</v>
      </c>
      <c r="F177">
        <v>14</v>
      </c>
      <c r="G177" t="b">
        <v>0</v>
      </c>
      <c r="H177">
        <v>6</v>
      </c>
      <c r="I177">
        <v>1</v>
      </c>
      <c r="J177">
        <v>0.2</v>
      </c>
      <c r="K177">
        <v>0.16669999999999999</v>
      </c>
      <c r="L177">
        <v>0.32</v>
      </c>
      <c r="M177">
        <v>0.49249999999999999</v>
      </c>
      <c r="N177">
        <v>12</v>
      </c>
      <c r="O177">
        <v>83</v>
      </c>
      <c r="P177">
        <v>95</v>
      </c>
    </row>
    <row r="178" spans="1:16" x14ac:dyDescent="0.25">
      <c r="A178">
        <v>177</v>
      </c>
      <c r="B178" s="4">
        <v>40551</v>
      </c>
      <c r="C178">
        <v>1</v>
      </c>
      <c r="D178">
        <v>0</v>
      </c>
      <c r="E178">
        <v>1</v>
      </c>
      <c r="F178">
        <v>15</v>
      </c>
      <c r="G178" t="b">
        <v>0</v>
      </c>
      <c r="H178">
        <v>6</v>
      </c>
      <c r="I178">
        <v>1</v>
      </c>
      <c r="J178">
        <v>0.2</v>
      </c>
      <c r="K178">
        <v>0.16669999999999999</v>
      </c>
      <c r="L178">
        <v>0.32</v>
      </c>
      <c r="M178">
        <v>0.44779999999999998</v>
      </c>
      <c r="N178">
        <v>5</v>
      </c>
      <c r="O178">
        <v>69</v>
      </c>
      <c r="P178">
        <v>74</v>
      </c>
    </row>
    <row r="179" spans="1:16" x14ac:dyDescent="0.25">
      <c r="A179">
        <v>178</v>
      </c>
      <c r="B179" s="4">
        <v>40551</v>
      </c>
      <c r="C179">
        <v>1</v>
      </c>
      <c r="D179">
        <v>0</v>
      </c>
      <c r="E179">
        <v>1</v>
      </c>
      <c r="F179">
        <v>16</v>
      </c>
      <c r="G179" t="b">
        <v>0</v>
      </c>
      <c r="H179">
        <v>6</v>
      </c>
      <c r="I179">
        <v>1</v>
      </c>
      <c r="J179">
        <v>0.18</v>
      </c>
      <c r="K179">
        <v>0.13639999999999999</v>
      </c>
      <c r="L179">
        <v>0.28999999999999998</v>
      </c>
      <c r="M179">
        <v>0.44779999999999998</v>
      </c>
      <c r="N179">
        <v>8</v>
      </c>
      <c r="O179">
        <v>68</v>
      </c>
      <c r="P179">
        <v>76</v>
      </c>
    </row>
    <row r="180" spans="1:16" x14ac:dyDescent="0.25">
      <c r="A180">
        <v>179</v>
      </c>
      <c r="B180" s="4">
        <v>40551</v>
      </c>
      <c r="C180">
        <v>1</v>
      </c>
      <c r="D180">
        <v>0</v>
      </c>
      <c r="E180">
        <v>1</v>
      </c>
      <c r="F180">
        <v>17</v>
      </c>
      <c r="G180" t="b">
        <v>0</v>
      </c>
      <c r="H180">
        <v>6</v>
      </c>
      <c r="I180">
        <v>1</v>
      </c>
      <c r="J180">
        <v>0.16</v>
      </c>
      <c r="K180">
        <v>0.1212</v>
      </c>
      <c r="L180">
        <v>0.37</v>
      </c>
      <c r="M180">
        <v>0.55220000000000002</v>
      </c>
      <c r="N180">
        <v>5</v>
      </c>
      <c r="O180">
        <v>64</v>
      </c>
      <c r="P180">
        <v>69</v>
      </c>
    </row>
    <row r="181" spans="1:16" x14ac:dyDescent="0.25">
      <c r="A181">
        <v>180</v>
      </c>
      <c r="B181" s="4">
        <v>40551</v>
      </c>
      <c r="C181">
        <v>1</v>
      </c>
      <c r="D181">
        <v>0</v>
      </c>
      <c r="E181">
        <v>1</v>
      </c>
      <c r="F181">
        <v>18</v>
      </c>
      <c r="G181" t="b">
        <v>0</v>
      </c>
      <c r="H181">
        <v>6</v>
      </c>
      <c r="I181">
        <v>1</v>
      </c>
      <c r="J181">
        <v>0.14000000000000001</v>
      </c>
      <c r="K181">
        <v>0.1212</v>
      </c>
      <c r="L181">
        <v>0.39</v>
      </c>
      <c r="M181">
        <v>0.29849999999999999</v>
      </c>
      <c r="N181">
        <v>3</v>
      </c>
      <c r="O181">
        <v>52</v>
      </c>
      <c r="P181">
        <v>55</v>
      </c>
    </row>
    <row r="182" spans="1:16" x14ac:dyDescent="0.25">
      <c r="A182">
        <v>181</v>
      </c>
      <c r="B182" s="4">
        <v>40551</v>
      </c>
      <c r="C182">
        <v>1</v>
      </c>
      <c r="D182">
        <v>0</v>
      </c>
      <c r="E182">
        <v>1</v>
      </c>
      <c r="F182">
        <v>19</v>
      </c>
      <c r="G182" t="b">
        <v>0</v>
      </c>
      <c r="H182">
        <v>6</v>
      </c>
      <c r="I182">
        <v>1</v>
      </c>
      <c r="J182">
        <v>0.14000000000000001</v>
      </c>
      <c r="K182">
        <v>0.1212</v>
      </c>
      <c r="L182">
        <v>0.36</v>
      </c>
      <c r="M182">
        <v>0.25369999999999998</v>
      </c>
      <c r="N182">
        <v>4</v>
      </c>
      <c r="O182">
        <v>26</v>
      </c>
      <c r="P182">
        <v>30</v>
      </c>
    </row>
    <row r="183" spans="1:16" x14ac:dyDescent="0.25">
      <c r="A183">
        <v>182</v>
      </c>
      <c r="B183" s="4">
        <v>40551</v>
      </c>
      <c r="C183">
        <v>1</v>
      </c>
      <c r="D183">
        <v>0</v>
      </c>
      <c r="E183">
        <v>1</v>
      </c>
      <c r="F183">
        <v>20</v>
      </c>
      <c r="G183" t="b">
        <v>0</v>
      </c>
      <c r="H183">
        <v>6</v>
      </c>
      <c r="I183">
        <v>1</v>
      </c>
      <c r="J183">
        <v>0.12</v>
      </c>
      <c r="K183">
        <v>0.1212</v>
      </c>
      <c r="L183">
        <v>0.36</v>
      </c>
      <c r="M183">
        <v>0.25369999999999998</v>
      </c>
      <c r="N183">
        <v>0</v>
      </c>
      <c r="O183">
        <v>28</v>
      </c>
      <c r="P183">
        <v>28</v>
      </c>
    </row>
    <row r="184" spans="1:16" x14ac:dyDescent="0.25">
      <c r="A184">
        <v>183</v>
      </c>
      <c r="B184" s="4">
        <v>40551</v>
      </c>
      <c r="C184">
        <v>1</v>
      </c>
      <c r="D184">
        <v>0</v>
      </c>
      <c r="E184">
        <v>1</v>
      </c>
      <c r="F184">
        <v>21</v>
      </c>
      <c r="G184" t="b">
        <v>0</v>
      </c>
      <c r="H184">
        <v>6</v>
      </c>
      <c r="I184">
        <v>1</v>
      </c>
      <c r="J184">
        <v>0.12</v>
      </c>
      <c r="K184">
        <v>0.1061</v>
      </c>
      <c r="L184">
        <v>0.39</v>
      </c>
      <c r="M184">
        <v>0.35820000000000002</v>
      </c>
      <c r="N184">
        <v>2</v>
      </c>
      <c r="O184">
        <v>35</v>
      </c>
      <c r="P184">
        <v>37</v>
      </c>
    </row>
    <row r="185" spans="1:16" x14ac:dyDescent="0.25">
      <c r="A185">
        <v>184</v>
      </c>
      <c r="B185" s="4">
        <v>40551</v>
      </c>
      <c r="C185">
        <v>1</v>
      </c>
      <c r="D185">
        <v>0</v>
      </c>
      <c r="E185">
        <v>1</v>
      </c>
      <c r="F185">
        <v>22</v>
      </c>
      <c r="G185" t="b">
        <v>0</v>
      </c>
      <c r="H185">
        <v>6</v>
      </c>
      <c r="I185">
        <v>1</v>
      </c>
      <c r="J185">
        <v>0.12</v>
      </c>
      <c r="K185">
        <v>0.1061</v>
      </c>
      <c r="L185">
        <v>0.36</v>
      </c>
      <c r="M185">
        <v>0.3881</v>
      </c>
      <c r="N185">
        <v>1</v>
      </c>
      <c r="O185">
        <v>33</v>
      </c>
      <c r="P185">
        <v>34</v>
      </c>
    </row>
    <row r="186" spans="1:16" x14ac:dyDescent="0.25">
      <c r="A186">
        <v>185</v>
      </c>
      <c r="B186" s="4">
        <v>40551</v>
      </c>
      <c r="C186">
        <v>1</v>
      </c>
      <c r="D186">
        <v>0</v>
      </c>
      <c r="E186">
        <v>1</v>
      </c>
      <c r="F186">
        <v>23</v>
      </c>
      <c r="G186" t="b">
        <v>0</v>
      </c>
      <c r="H186">
        <v>6</v>
      </c>
      <c r="I186">
        <v>1</v>
      </c>
      <c r="J186">
        <v>0.1</v>
      </c>
      <c r="K186">
        <v>6.0600000000000001E-2</v>
      </c>
      <c r="L186">
        <v>0.39</v>
      </c>
      <c r="M186">
        <v>0.44779999999999998</v>
      </c>
      <c r="N186">
        <v>0</v>
      </c>
      <c r="O186">
        <v>22</v>
      </c>
      <c r="P186">
        <v>22</v>
      </c>
    </row>
    <row r="187" spans="1:16" x14ac:dyDescent="0.25">
      <c r="A187">
        <v>186</v>
      </c>
      <c r="B187" s="4">
        <v>40552</v>
      </c>
      <c r="C187">
        <v>1</v>
      </c>
      <c r="D187">
        <v>0</v>
      </c>
      <c r="E187">
        <v>1</v>
      </c>
      <c r="F187">
        <v>0</v>
      </c>
      <c r="G187" t="b">
        <v>0</v>
      </c>
      <c r="H187">
        <v>0</v>
      </c>
      <c r="I187">
        <v>1</v>
      </c>
      <c r="J187">
        <v>0.1</v>
      </c>
      <c r="K187">
        <v>7.5800000000000006E-2</v>
      </c>
      <c r="L187">
        <v>0.42</v>
      </c>
      <c r="M187">
        <v>0.3881</v>
      </c>
      <c r="N187">
        <v>1</v>
      </c>
      <c r="O187">
        <v>24</v>
      </c>
      <c r="P187">
        <v>25</v>
      </c>
    </row>
    <row r="188" spans="1:16" x14ac:dyDescent="0.25">
      <c r="A188">
        <v>187</v>
      </c>
      <c r="B188" s="4">
        <v>40552</v>
      </c>
      <c r="C188">
        <v>1</v>
      </c>
      <c r="D188">
        <v>0</v>
      </c>
      <c r="E188">
        <v>1</v>
      </c>
      <c r="F188">
        <v>1</v>
      </c>
      <c r="G188" t="b">
        <v>0</v>
      </c>
      <c r="H188">
        <v>0</v>
      </c>
      <c r="I188">
        <v>1</v>
      </c>
      <c r="J188">
        <v>0.1</v>
      </c>
      <c r="K188">
        <v>6.0600000000000001E-2</v>
      </c>
      <c r="L188">
        <v>0.42</v>
      </c>
      <c r="M188">
        <v>0.4627</v>
      </c>
      <c r="N188">
        <v>0</v>
      </c>
      <c r="O188">
        <v>12</v>
      </c>
      <c r="P188">
        <v>12</v>
      </c>
    </row>
    <row r="189" spans="1:16" x14ac:dyDescent="0.25">
      <c r="A189">
        <v>188</v>
      </c>
      <c r="B189" s="4">
        <v>40552</v>
      </c>
      <c r="C189">
        <v>1</v>
      </c>
      <c r="D189">
        <v>0</v>
      </c>
      <c r="E189">
        <v>1</v>
      </c>
      <c r="F189">
        <v>2</v>
      </c>
      <c r="G189" t="b">
        <v>0</v>
      </c>
      <c r="H189">
        <v>0</v>
      </c>
      <c r="I189">
        <v>1</v>
      </c>
      <c r="J189">
        <v>0.1</v>
      </c>
      <c r="K189">
        <v>6.0600000000000001E-2</v>
      </c>
      <c r="L189">
        <v>0.46</v>
      </c>
      <c r="M189">
        <v>0.4627</v>
      </c>
      <c r="N189">
        <v>0</v>
      </c>
      <c r="O189">
        <v>11</v>
      </c>
      <c r="P189">
        <v>11</v>
      </c>
    </row>
    <row r="190" spans="1:16" x14ac:dyDescent="0.25">
      <c r="A190">
        <v>189</v>
      </c>
      <c r="B190" s="4">
        <v>40552</v>
      </c>
      <c r="C190">
        <v>1</v>
      </c>
      <c r="D190">
        <v>0</v>
      </c>
      <c r="E190">
        <v>1</v>
      </c>
      <c r="F190">
        <v>3</v>
      </c>
      <c r="G190" t="b">
        <v>0</v>
      </c>
      <c r="H190">
        <v>0</v>
      </c>
      <c r="I190">
        <v>1</v>
      </c>
      <c r="J190">
        <v>0.1</v>
      </c>
      <c r="K190">
        <v>7.5800000000000006E-2</v>
      </c>
      <c r="L190">
        <v>0.46</v>
      </c>
      <c r="M190">
        <v>0.41789999999999999</v>
      </c>
      <c r="N190">
        <v>0</v>
      </c>
      <c r="O190">
        <v>4</v>
      </c>
      <c r="P190">
        <v>4</v>
      </c>
    </row>
    <row r="191" spans="1:16" x14ac:dyDescent="0.25">
      <c r="A191">
        <v>190</v>
      </c>
      <c r="B191" s="4">
        <v>40552</v>
      </c>
      <c r="C191">
        <v>1</v>
      </c>
      <c r="D191">
        <v>0</v>
      </c>
      <c r="E191">
        <v>1</v>
      </c>
      <c r="F191">
        <v>4</v>
      </c>
      <c r="G191" t="b">
        <v>0</v>
      </c>
      <c r="H191">
        <v>0</v>
      </c>
      <c r="I191">
        <v>1</v>
      </c>
      <c r="J191">
        <v>0.08</v>
      </c>
      <c r="K191">
        <v>9.0899999999999995E-2</v>
      </c>
      <c r="L191">
        <v>0.53</v>
      </c>
      <c r="M191">
        <v>0.19400000000000001</v>
      </c>
      <c r="N191">
        <v>0</v>
      </c>
      <c r="O191">
        <v>1</v>
      </c>
      <c r="P191">
        <v>1</v>
      </c>
    </row>
    <row r="192" spans="1:16" x14ac:dyDescent="0.25">
      <c r="A192">
        <v>191</v>
      </c>
      <c r="B192" s="4">
        <v>40552</v>
      </c>
      <c r="C192">
        <v>1</v>
      </c>
      <c r="D192">
        <v>0</v>
      </c>
      <c r="E192">
        <v>1</v>
      </c>
      <c r="F192">
        <v>5</v>
      </c>
      <c r="G192" t="b">
        <v>0</v>
      </c>
      <c r="H192">
        <v>0</v>
      </c>
      <c r="I192">
        <v>1</v>
      </c>
      <c r="J192">
        <v>0.08</v>
      </c>
      <c r="K192">
        <v>9.0899999999999995E-2</v>
      </c>
      <c r="L192">
        <v>0.53</v>
      </c>
      <c r="M192">
        <v>0.19400000000000001</v>
      </c>
      <c r="N192">
        <v>0</v>
      </c>
      <c r="O192">
        <v>1</v>
      </c>
      <c r="P192">
        <v>1</v>
      </c>
    </row>
    <row r="193" spans="1:16" x14ac:dyDescent="0.25">
      <c r="A193">
        <v>192</v>
      </c>
      <c r="B193" s="4">
        <v>40552</v>
      </c>
      <c r="C193">
        <v>1</v>
      </c>
      <c r="D193">
        <v>0</v>
      </c>
      <c r="E193">
        <v>1</v>
      </c>
      <c r="F193">
        <v>6</v>
      </c>
      <c r="G193" t="b">
        <v>0</v>
      </c>
      <c r="H193">
        <v>0</v>
      </c>
      <c r="I193">
        <v>1</v>
      </c>
      <c r="J193">
        <v>0.1</v>
      </c>
      <c r="K193">
        <v>9.0899999999999995E-2</v>
      </c>
      <c r="L193">
        <v>0.49</v>
      </c>
      <c r="M193">
        <v>0.28360000000000002</v>
      </c>
      <c r="N193">
        <v>0</v>
      </c>
      <c r="O193">
        <v>1</v>
      </c>
      <c r="P193">
        <v>1</v>
      </c>
    </row>
    <row r="194" spans="1:16" x14ac:dyDescent="0.25">
      <c r="A194">
        <v>193</v>
      </c>
      <c r="B194" s="4">
        <v>40552</v>
      </c>
      <c r="C194">
        <v>1</v>
      </c>
      <c r="D194">
        <v>0</v>
      </c>
      <c r="E194">
        <v>1</v>
      </c>
      <c r="F194">
        <v>7</v>
      </c>
      <c r="G194" t="b">
        <v>0</v>
      </c>
      <c r="H194">
        <v>0</v>
      </c>
      <c r="I194">
        <v>1</v>
      </c>
      <c r="J194">
        <v>0.08</v>
      </c>
      <c r="K194">
        <v>9.0899999999999995E-2</v>
      </c>
      <c r="L194">
        <v>0.53</v>
      </c>
      <c r="M194">
        <v>0.19400000000000001</v>
      </c>
      <c r="N194">
        <v>1</v>
      </c>
      <c r="O194">
        <v>5</v>
      </c>
      <c r="P194">
        <v>6</v>
      </c>
    </row>
    <row r="195" spans="1:16" x14ac:dyDescent="0.25">
      <c r="A195">
        <v>194</v>
      </c>
      <c r="B195" s="4">
        <v>40552</v>
      </c>
      <c r="C195">
        <v>1</v>
      </c>
      <c r="D195">
        <v>0</v>
      </c>
      <c r="E195">
        <v>1</v>
      </c>
      <c r="F195">
        <v>8</v>
      </c>
      <c r="G195" t="b">
        <v>0</v>
      </c>
      <c r="H195">
        <v>0</v>
      </c>
      <c r="I195">
        <v>1</v>
      </c>
      <c r="J195">
        <v>0.1</v>
      </c>
      <c r="K195">
        <v>9.0899999999999995E-2</v>
      </c>
      <c r="L195">
        <v>0.49</v>
      </c>
      <c r="M195">
        <v>0.28360000000000002</v>
      </c>
      <c r="N195">
        <v>0</v>
      </c>
      <c r="O195">
        <v>10</v>
      </c>
      <c r="P195">
        <v>10</v>
      </c>
    </row>
    <row r="196" spans="1:16" x14ac:dyDescent="0.25">
      <c r="A196">
        <v>195</v>
      </c>
      <c r="B196" s="4">
        <v>40552</v>
      </c>
      <c r="C196">
        <v>1</v>
      </c>
      <c r="D196">
        <v>0</v>
      </c>
      <c r="E196">
        <v>1</v>
      </c>
      <c r="F196">
        <v>9</v>
      </c>
      <c r="G196" t="b">
        <v>0</v>
      </c>
      <c r="H196">
        <v>0</v>
      </c>
      <c r="I196">
        <v>1</v>
      </c>
      <c r="J196">
        <v>0.12</v>
      </c>
      <c r="K196">
        <v>7.5800000000000006E-2</v>
      </c>
      <c r="L196">
        <v>0.46</v>
      </c>
      <c r="M196">
        <v>0.52239999999999998</v>
      </c>
      <c r="N196">
        <v>0</v>
      </c>
      <c r="O196">
        <v>19</v>
      </c>
      <c r="P196">
        <v>19</v>
      </c>
    </row>
    <row r="197" spans="1:16" x14ac:dyDescent="0.25">
      <c r="A197">
        <v>196</v>
      </c>
      <c r="B197" s="4">
        <v>40552</v>
      </c>
      <c r="C197">
        <v>1</v>
      </c>
      <c r="D197">
        <v>0</v>
      </c>
      <c r="E197">
        <v>1</v>
      </c>
      <c r="F197">
        <v>10</v>
      </c>
      <c r="G197" t="b">
        <v>0</v>
      </c>
      <c r="H197">
        <v>0</v>
      </c>
      <c r="I197">
        <v>1</v>
      </c>
      <c r="J197">
        <v>0.14000000000000001</v>
      </c>
      <c r="K197">
        <v>0.1061</v>
      </c>
      <c r="L197">
        <v>0.43</v>
      </c>
      <c r="M197">
        <v>0.3881</v>
      </c>
      <c r="N197">
        <v>0</v>
      </c>
      <c r="O197">
        <v>49</v>
      </c>
      <c r="P197">
        <v>49</v>
      </c>
    </row>
    <row r="198" spans="1:16" x14ac:dyDescent="0.25">
      <c r="A198">
        <v>197</v>
      </c>
      <c r="B198" s="4">
        <v>40552</v>
      </c>
      <c r="C198">
        <v>1</v>
      </c>
      <c r="D198">
        <v>0</v>
      </c>
      <c r="E198">
        <v>1</v>
      </c>
      <c r="F198">
        <v>11</v>
      </c>
      <c r="G198" t="b">
        <v>0</v>
      </c>
      <c r="H198">
        <v>0</v>
      </c>
      <c r="I198">
        <v>1</v>
      </c>
      <c r="J198">
        <v>0.16</v>
      </c>
      <c r="K198">
        <v>0.1212</v>
      </c>
      <c r="L198">
        <v>0.4</v>
      </c>
      <c r="M198">
        <v>0.52239999999999998</v>
      </c>
      <c r="N198">
        <v>2</v>
      </c>
      <c r="O198">
        <v>47</v>
      </c>
      <c r="P198">
        <v>49</v>
      </c>
    </row>
    <row r="199" spans="1:16" x14ac:dyDescent="0.25">
      <c r="A199">
        <v>198</v>
      </c>
      <c r="B199" s="4">
        <v>40552</v>
      </c>
      <c r="C199">
        <v>1</v>
      </c>
      <c r="D199">
        <v>0</v>
      </c>
      <c r="E199">
        <v>1</v>
      </c>
      <c r="F199">
        <v>12</v>
      </c>
      <c r="G199" t="b">
        <v>0</v>
      </c>
      <c r="H199">
        <v>0</v>
      </c>
      <c r="I199">
        <v>1</v>
      </c>
      <c r="J199">
        <v>0.18</v>
      </c>
      <c r="K199">
        <v>0.13639999999999999</v>
      </c>
      <c r="L199">
        <v>0.37</v>
      </c>
      <c r="M199">
        <v>0.44779999999999998</v>
      </c>
      <c r="N199">
        <v>4</v>
      </c>
      <c r="O199">
        <v>79</v>
      </c>
      <c r="P199">
        <v>83</v>
      </c>
    </row>
    <row r="200" spans="1:16" x14ac:dyDescent="0.25">
      <c r="A200">
        <v>199</v>
      </c>
      <c r="B200" s="4">
        <v>40552</v>
      </c>
      <c r="C200">
        <v>1</v>
      </c>
      <c r="D200">
        <v>0</v>
      </c>
      <c r="E200">
        <v>1</v>
      </c>
      <c r="F200">
        <v>13</v>
      </c>
      <c r="G200" t="b">
        <v>0</v>
      </c>
      <c r="H200">
        <v>0</v>
      </c>
      <c r="I200">
        <v>1</v>
      </c>
      <c r="J200">
        <v>0.2</v>
      </c>
      <c r="K200">
        <v>0.16669999999999999</v>
      </c>
      <c r="L200">
        <v>0.34</v>
      </c>
      <c r="M200">
        <v>0.44779999999999998</v>
      </c>
      <c r="N200">
        <v>6</v>
      </c>
      <c r="O200">
        <v>69</v>
      </c>
      <c r="P200">
        <v>75</v>
      </c>
    </row>
    <row r="201" spans="1:16" x14ac:dyDescent="0.25">
      <c r="A201">
        <v>200</v>
      </c>
      <c r="B201" s="4">
        <v>40552</v>
      </c>
      <c r="C201">
        <v>1</v>
      </c>
      <c r="D201">
        <v>0</v>
      </c>
      <c r="E201">
        <v>1</v>
      </c>
      <c r="F201">
        <v>14</v>
      </c>
      <c r="G201" t="b">
        <v>0</v>
      </c>
      <c r="H201">
        <v>0</v>
      </c>
      <c r="I201">
        <v>1</v>
      </c>
      <c r="J201">
        <v>0.22</v>
      </c>
      <c r="K201">
        <v>0.18179999999999999</v>
      </c>
      <c r="L201">
        <v>0.32</v>
      </c>
      <c r="M201">
        <v>0.4627</v>
      </c>
      <c r="N201">
        <v>8</v>
      </c>
      <c r="O201">
        <v>64</v>
      </c>
      <c r="P201">
        <v>72</v>
      </c>
    </row>
    <row r="202" spans="1:16" x14ac:dyDescent="0.25">
      <c r="A202">
        <v>201</v>
      </c>
      <c r="B202" s="4">
        <v>40552</v>
      </c>
      <c r="C202">
        <v>1</v>
      </c>
      <c r="D202">
        <v>0</v>
      </c>
      <c r="E202">
        <v>1</v>
      </c>
      <c r="F202">
        <v>15</v>
      </c>
      <c r="G202" t="b">
        <v>0</v>
      </c>
      <c r="H202">
        <v>0</v>
      </c>
      <c r="I202">
        <v>1</v>
      </c>
      <c r="J202">
        <v>0.22</v>
      </c>
      <c r="K202">
        <v>0.19700000000000001</v>
      </c>
      <c r="L202">
        <v>0.35</v>
      </c>
      <c r="M202">
        <v>0.35820000000000002</v>
      </c>
      <c r="N202">
        <v>5</v>
      </c>
      <c r="O202">
        <v>77</v>
      </c>
      <c r="P202">
        <v>82</v>
      </c>
    </row>
    <row r="203" spans="1:16" x14ac:dyDescent="0.25">
      <c r="A203">
        <v>202</v>
      </c>
      <c r="B203" s="4">
        <v>40552</v>
      </c>
      <c r="C203">
        <v>1</v>
      </c>
      <c r="D203">
        <v>0</v>
      </c>
      <c r="E203">
        <v>1</v>
      </c>
      <c r="F203">
        <v>16</v>
      </c>
      <c r="G203" t="b">
        <v>0</v>
      </c>
      <c r="H203">
        <v>0</v>
      </c>
      <c r="I203">
        <v>1</v>
      </c>
      <c r="J203">
        <v>0.2</v>
      </c>
      <c r="K203">
        <v>0.16669999999999999</v>
      </c>
      <c r="L203">
        <v>0.34</v>
      </c>
      <c r="M203">
        <v>0.44779999999999998</v>
      </c>
      <c r="N203">
        <v>13</v>
      </c>
      <c r="O203">
        <v>79</v>
      </c>
      <c r="P203">
        <v>92</v>
      </c>
    </row>
    <row r="204" spans="1:16" x14ac:dyDescent="0.25">
      <c r="A204">
        <v>203</v>
      </c>
      <c r="B204" s="4">
        <v>40552</v>
      </c>
      <c r="C204">
        <v>1</v>
      </c>
      <c r="D204">
        <v>0</v>
      </c>
      <c r="E204">
        <v>1</v>
      </c>
      <c r="F204">
        <v>17</v>
      </c>
      <c r="G204" t="b">
        <v>0</v>
      </c>
      <c r="H204">
        <v>0</v>
      </c>
      <c r="I204">
        <v>1</v>
      </c>
      <c r="J204">
        <v>0.18</v>
      </c>
      <c r="K204">
        <v>0.1515</v>
      </c>
      <c r="L204">
        <v>0.37</v>
      </c>
      <c r="M204">
        <v>0.3881</v>
      </c>
      <c r="N204">
        <v>3</v>
      </c>
      <c r="O204">
        <v>59</v>
      </c>
      <c r="P204">
        <v>62</v>
      </c>
    </row>
    <row r="205" spans="1:16" x14ac:dyDescent="0.25">
      <c r="A205">
        <v>204</v>
      </c>
      <c r="B205" s="4">
        <v>40552</v>
      </c>
      <c r="C205">
        <v>1</v>
      </c>
      <c r="D205">
        <v>0</v>
      </c>
      <c r="E205">
        <v>1</v>
      </c>
      <c r="F205">
        <v>18</v>
      </c>
      <c r="G205" t="b">
        <v>0</v>
      </c>
      <c r="H205">
        <v>0</v>
      </c>
      <c r="I205">
        <v>1</v>
      </c>
      <c r="J205">
        <v>0.16</v>
      </c>
      <c r="K205">
        <v>0.13639999999999999</v>
      </c>
      <c r="L205">
        <v>0.4</v>
      </c>
      <c r="M205">
        <v>0.32840000000000003</v>
      </c>
      <c r="N205">
        <v>4</v>
      </c>
      <c r="O205">
        <v>44</v>
      </c>
      <c r="P205">
        <v>48</v>
      </c>
    </row>
    <row r="206" spans="1:16" x14ac:dyDescent="0.25">
      <c r="A206">
        <v>205</v>
      </c>
      <c r="B206" s="4">
        <v>40552</v>
      </c>
      <c r="C206">
        <v>1</v>
      </c>
      <c r="D206">
        <v>0</v>
      </c>
      <c r="E206">
        <v>1</v>
      </c>
      <c r="F206">
        <v>19</v>
      </c>
      <c r="G206" t="b">
        <v>0</v>
      </c>
      <c r="H206">
        <v>0</v>
      </c>
      <c r="I206">
        <v>1</v>
      </c>
      <c r="J206">
        <v>0.16</v>
      </c>
      <c r="K206">
        <v>0.13639999999999999</v>
      </c>
      <c r="L206">
        <v>0.43</v>
      </c>
      <c r="M206">
        <v>0.32840000000000003</v>
      </c>
      <c r="N206">
        <v>1</v>
      </c>
      <c r="O206">
        <v>40</v>
      </c>
      <c r="P206">
        <v>41</v>
      </c>
    </row>
    <row r="207" spans="1:16" x14ac:dyDescent="0.25">
      <c r="A207">
        <v>206</v>
      </c>
      <c r="B207" s="4">
        <v>40552</v>
      </c>
      <c r="C207">
        <v>1</v>
      </c>
      <c r="D207">
        <v>0</v>
      </c>
      <c r="E207">
        <v>1</v>
      </c>
      <c r="F207">
        <v>20</v>
      </c>
      <c r="G207" t="b">
        <v>0</v>
      </c>
      <c r="H207">
        <v>0</v>
      </c>
      <c r="I207">
        <v>1</v>
      </c>
      <c r="J207">
        <v>0.14000000000000001</v>
      </c>
      <c r="K207">
        <v>0.1212</v>
      </c>
      <c r="L207">
        <v>0.46</v>
      </c>
      <c r="M207">
        <v>0.25369999999999998</v>
      </c>
      <c r="N207">
        <v>0</v>
      </c>
      <c r="O207">
        <v>38</v>
      </c>
      <c r="P207">
        <v>38</v>
      </c>
    </row>
    <row r="208" spans="1:16" x14ac:dyDescent="0.25">
      <c r="A208">
        <v>207</v>
      </c>
      <c r="B208" s="4">
        <v>40552</v>
      </c>
      <c r="C208">
        <v>1</v>
      </c>
      <c r="D208">
        <v>0</v>
      </c>
      <c r="E208">
        <v>1</v>
      </c>
      <c r="F208">
        <v>21</v>
      </c>
      <c r="G208" t="b">
        <v>0</v>
      </c>
      <c r="H208">
        <v>0</v>
      </c>
      <c r="I208">
        <v>1</v>
      </c>
      <c r="J208">
        <v>0.14000000000000001</v>
      </c>
      <c r="K208">
        <v>0.1061</v>
      </c>
      <c r="L208">
        <v>0.46</v>
      </c>
      <c r="M208">
        <v>0.41789999999999999</v>
      </c>
      <c r="N208">
        <v>1</v>
      </c>
      <c r="O208">
        <v>19</v>
      </c>
      <c r="P208">
        <v>20</v>
      </c>
    </row>
    <row r="209" spans="1:16" x14ac:dyDescent="0.25">
      <c r="A209">
        <v>208</v>
      </c>
      <c r="B209" s="4">
        <v>40552</v>
      </c>
      <c r="C209">
        <v>1</v>
      </c>
      <c r="D209">
        <v>0</v>
      </c>
      <c r="E209">
        <v>1</v>
      </c>
      <c r="F209">
        <v>22</v>
      </c>
      <c r="G209" t="b">
        <v>0</v>
      </c>
      <c r="H209">
        <v>0</v>
      </c>
      <c r="I209">
        <v>1</v>
      </c>
      <c r="J209">
        <v>0.14000000000000001</v>
      </c>
      <c r="K209">
        <v>0.1212</v>
      </c>
      <c r="L209">
        <v>0.46</v>
      </c>
      <c r="M209">
        <v>0.29849999999999999</v>
      </c>
      <c r="N209">
        <v>5</v>
      </c>
      <c r="O209">
        <v>10</v>
      </c>
      <c r="P209">
        <v>15</v>
      </c>
    </row>
    <row r="210" spans="1:16" x14ac:dyDescent="0.25">
      <c r="A210">
        <v>209</v>
      </c>
      <c r="B210" s="4">
        <v>40552</v>
      </c>
      <c r="C210">
        <v>1</v>
      </c>
      <c r="D210">
        <v>0</v>
      </c>
      <c r="E210">
        <v>1</v>
      </c>
      <c r="F210">
        <v>23</v>
      </c>
      <c r="G210" t="b">
        <v>0</v>
      </c>
      <c r="H210">
        <v>0</v>
      </c>
      <c r="I210">
        <v>1</v>
      </c>
      <c r="J210">
        <v>0.12</v>
      </c>
      <c r="K210">
        <v>0.13639999999999999</v>
      </c>
      <c r="L210">
        <v>0.5</v>
      </c>
      <c r="M210">
        <v>0.19400000000000001</v>
      </c>
      <c r="N210">
        <v>0</v>
      </c>
      <c r="O210">
        <v>6</v>
      </c>
      <c r="P210">
        <v>6</v>
      </c>
    </row>
    <row r="211" spans="1:16" x14ac:dyDescent="0.25">
      <c r="A211">
        <v>210</v>
      </c>
      <c r="B211" s="4">
        <v>40553</v>
      </c>
      <c r="C211">
        <v>1</v>
      </c>
      <c r="D211">
        <v>0</v>
      </c>
      <c r="E211">
        <v>1</v>
      </c>
      <c r="F211">
        <v>0</v>
      </c>
      <c r="G211" t="b">
        <v>0</v>
      </c>
      <c r="H211">
        <v>1</v>
      </c>
      <c r="I211">
        <v>1</v>
      </c>
      <c r="J211">
        <v>0.12</v>
      </c>
      <c r="K211">
        <v>0.1212</v>
      </c>
      <c r="L211">
        <v>0.5</v>
      </c>
      <c r="M211">
        <v>0.28360000000000002</v>
      </c>
      <c r="N211">
        <v>2</v>
      </c>
      <c r="O211">
        <v>3</v>
      </c>
      <c r="P211">
        <v>5</v>
      </c>
    </row>
    <row r="212" spans="1:16" x14ac:dyDescent="0.25">
      <c r="A212">
        <v>211</v>
      </c>
      <c r="B212" s="4">
        <v>40553</v>
      </c>
      <c r="C212">
        <v>1</v>
      </c>
      <c r="D212">
        <v>0</v>
      </c>
      <c r="E212">
        <v>1</v>
      </c>
      <c r="F212">
        <v>1</v>
      </c>
      <c r="G212" t="b">
        <v>0</v>
      </c>
      <c r="H212">
        <v>1</v>
      </c>
      <c r="I212">
        <v>1</v>
      </c>
      <c r="J212">
        <v>0.12</v>
      </c>
      <c r="K212">
        <v>0.1212</v>
      </c>
      <c r="L212">
        <v>0.5</v>
      </c>
      <c r="M212">
        <v>0.28360000000000002</v>
      </c>
      <c r="N212">
        <v>1</v>
      </c>
      <c r="O212">
        <v>0</v>
      </c>
      <c r="P212">
        <v>1</v>
      </c>
    </row>
    <row r="213" spans="1:16" x14ac:dyDescent="0.25">
      <c r="A213">
        <v>212</v>
      </c>
      <c r="B213" s="4">
        <v>40553</v>
      </c>
      <c r="C213">
        <v>1</v>
      </c>
      <c r="D213">
        <v>0</v>
      </c>
      <c r="E213">
        <v>1</v>
      </c>
      <c r="F213">
        <v>2</v>
      </c>
      <c r="G213" t="b">
        <v>0</v>
      </c>
      <c r="H213">
        <v>1</v>
      </c>
      <c r="I213">
        <v>1</v>
      </c>
      <c r="J213">
        <v>0.12</v>
      </c>
      <c r="K213">
        <v>0.1212</v>
      </c>
      <c r="L213">
        <v>0.5</v>
      </c>
      <c r="M213">
        <v>0.22389999999999999</v>
      </c>
      <c r="N213">
        <v>0</v>
      </c>
      <c r="O213">
        <v>3</v>
      </c>
      <c r="P213">
        <v>3</v>
      </c>
    </row>
    <row r="214" spans="1:16" x14ac:dyDescent="0.25">
      <c r="A214">
        <v>213</v>
      </c>
      <c r="B214" s="4">
        <v>40553</v>
      </c>
      <c r="C214">
        <v>1</v>
      </c>
      <c r="D214">
        <v>0</v>
      </c>
      <c r="E214">
        <v>1</v>
      </c>
      <c r="F214">
        <v>3</v>
      </c>
      <c r="G214" t="b">
        <v>0</v>
      </c>
      <c r="H214">
        <v>1</v>
      </c>
      <c r="I214">
        <v>1</v>
      </c>
      <c r="J214">
        <v>0.12</v>
      </c>
      <c r="K214">
        <v>0.1212</v>
      </c>
      <c r="L214">
        <v>0.5</v>
      </c>
      <c r="M214">
        <v>0.22389999999999999</v>
      </c>
      <c r="N214">
        <v>0</v>
      </c>
      <c r="O214">
        <v>1</v>
      </c>
      <c r="P214">
        <v>1</v>
      </c>
    </row>
    <row r="215" spans="1:16" x14ac:dyDescent="0.25">
      <c r="A215">
        <v>214</v>
      </c>
      <c r="B215" s="4">
        <v>40553</v>
      </c>
      <c r="C215">
        <v>1</v>
      </c>
      <c r="D215">
        <v>0</v>
      </c>
      <c r="E215">
        <v>1</v>
      </c>
      <c r="F215">
        <v>4</v>
      </c>
      <c r="G215" t="b">
        <v>0</v>
      </c>
      <c r="H215">
        <v>1</v>
      </c>
      <c r="I215">
        <v>1</v>
      </c>
      <c r="J215">
        <v>0.1</v>
      </c>
      <c r="K215">
        <v>0.1212</v>
      </c>
      <c r="L215">
        <v>0.54</v>
      </c>
      <c r="M215">
        <v>0.1343</v>
      </c>
      <c r="N215">
        <v>1</v>
      </c>
      <c r="O215">
        <v>2</v>
      </c>
      <c r="P215">
        <v>3</v>
      </c>
    </row>
    <row r="216" spans="1:16" x14ac:dyDescent="0.25">
      <c r="A216">
        <v>215</v>
      </c>
      <c r="B216" s="4">
        <v>40553</v>
      </c>
      <c r="C216">
        <v>1</v>
      </c>
      <c r="D216">
        <v>0</v>
      </c>
      <c r="E216">
        <v>1</v>
      </c>
      <c r="F216">
        <v>5</v>
      </c>
      <c r="G216" t="b">
        <v>0</v>
      </c>
      <c r="H216">
        <v>1</v>
      </c>
      <c r="I216">
        <v>1</v>
      </c>
      <c r="J216">
        <v>0.1</v>
      </c>
      <c r="K216">
        <v>0.1061</v>
      </c>
      <c r="L216">
        <v>0.54</v>
      </c>
      <c r="M216">
        <v>0.25369999999999998</v>
      </c>
      <c r="N216">
        <v>0</v>
      </c>
      <c r="O216">
        <v>3</v>
      </c>
      <c r="P216">
        <v>3</v>
      </c>
    </row>
    <row r="217" spans="1:16" x14ac:dyDescent="0.25">
      <c r="A217">
        <v>216</v>
      </c>
      <c r="B217" s="4">
        <v>40553</v>
      </c>
      <c r="C217">
        <v>1</v>
      </c>
      <c r="D217">
        <v>0</v>
      </c>
      <c r="E217">
        <v>1</v>
      </c>
      <c r="F217">
        <v>6</v>
      </c>
      <c r="G217" t="b">
        <v>0</v>
      </c>
      <c r="H217">
        <v>1</v>
      </c>
      <c r="I217">
        <v>1</v>
      </c>
      <c r="J217">
        <v>0.12</v>
      </c>
      <c r="K217">
        <v>0.1212</v>
      </c>
      <c r="L217">
        <v>0.5</v>
      </c>
      <c r="M217">
        <v>0.28360000000000002</v>
      </c>
      <c r="N217">
        <v>0</v>
      </c>
      <c r="O217">
        <v>31</v>
      </c>
      <c r="P217">
        <v>31</v>
      </c>
    </row>
    <row r="218" spans="1:16" x14ac:dyDescent="0.25">
      <c r="A218">
        <v>217</v>
      </c>
      <c r="B218" s="4">
        <v>40553</v>
      </c>
      <c r="C218">
        <v>1</v>
      </c>
      <c r="D218">
        <v>0</v>
      </c>
      <c r="E218">
        <v>1</v>
      </c>
      <c r="F218">
        <v>7</v>
      </c>
      <c r="G218" t="b">
        <v>0</v>
      </c>
      <c r="H218">
        <v>1</v>
      </c>
      <c r="I218">
        <v>1</v>
      </c>
      <c r="J218">
        <v>0.12</v>
      </c>
      <c r="K218">
        <v>0.1212</v>
      </c>
      <c r="L218">
        <v>0.5</v>
      </c>
      <c r="M218">
        <v>0.22389999999999999</v>
      </c>
      <c r="N218">
        <v>2</v>
      </c>
      <c r="O218">
        <v>75</v>
      </c>
      <c r="P218">
        <v>77</v>
      </c>
    </row>
    <row r="219" spans="1:16" x14ac:dyDescent="0.25">
      <c r="A219">
        <v>218</v>
      </c>
      <c r="B219" s="4">
        <v>40553</v>
      </c>
      <c r="C219">
        <v>1</v>
      </c>
      <c r="D219">
        <v>0</v>
      </c>
      <c r="E219">
        <v>1</v>
      </c>
      <c r="F219">
        <v>8</v>
      </c>
      <c r="G219" t="b">
        <v>0</v>
      </c>
      <c r="H219">
        <v>1</v>
      </c>
      <c r="I219">
        <v>2</v>
      </c>
      <c r="J219">
        <v>0.12</v>
      </c>
      <c r="K219">
        <v>0.1212</v>
      </c>
      <c r="L219">
        <v>0.5</v>
      </c>
      <c r="M219">
        <v>0.28360000000000002</v>
      </c>
      <c r="N219">
        <v>4</v>
      </c>
      <c r="O219">
        <v>184</v>
      </c>
      <c r="P219">
        <v>188</v>
      </c>
    </row>
    <row r="220" spans="1:16" x14ac:dyDescent="0.25">
      <c r="A220">
        <v>219</v>
      </c>
      <c r="B220" s="4">
        <v>40553</v>
      </c>
      <c r="C220">
        <v>1</v>
      </c>
      <c r="D220">
        <v>0</v>
      </c>
      <c r="E220">
        <v>1</v>
      </c>
      <c r="F220">
        <v>9</v>
      </c>
      <c r="G220" t="b">
        <v>0</v>
      </c>
      <c r="H220">
        <v>1</v>
      </c>
      <c r="I220">
        <v>2</v>
      </c>
      <c r="J220">
        <v>0.14000000000000001</v>
      </c>
      <c r="K220">
        <v>0.1212</v>
      </c>
      <c r="L220">
        <v>0.5</v>
      </c>
      <c r="M220">
        <v>0.25369999999999998</v>
      </c>
      <c r="N220">
        <v>2</v>
      </c>
      <c r="O220">
        <v>92</v>
      </c>
      <c r="P220">
        <v>94</v>
      </c>
    </row>
    <row r="221" spans="1:16" x14ac:dyDescent="0.25">
      <c r="A221">
        <v>220</v>
      </c>
      <c r="B221" s="4">
        <v>40553</v>
      </c>
      <c r="C221">
        <v>1</v>
      </c>
      <c r="D221">
        <v>0</v>
      </c>
      <c r="E221">
        <v>1</v>
      </c>
      <c r="F221">
        <v>10</v>
      </c>
      <c r="G221" t="b">
        <v>0</v>
      </c>
      <c r="H221">
        <v>1</v>
      </c>
      <c r="I221">
        <v>2</v>
      </c>
      <c r="J221">
        <v>0.14000000000000001</v>
      </c>
      <c r="K221">
        <v>0.1212</v>
      </c>
      <c r="L221">
        <v>0.5</v>
      </c>
      <c r="M221">
        <v>0.29849999999999999</v>
      </c>
      <c r="N221">
        <v>0</v>
      </c>
      <c r="O221">
        <v>31</v>
      </c>
      <c r="P221">
        <v>31</v>
      </c>
    </row>
    <row r="222" spans="1:16" x14ac:dyDescent="0.25">
      <c r="A222">
        <v>221</v>
      </c>
      <c r="B222" s="4">
        <v>40553</v>
      </c>
      <c r="C222">
        <v>1</v>
      </c>
      <c r="D222">
        <v>0</v>
      </c>
      <c r="E222">
        <v>1</v>
      </c>
      <c r="F222">
        <v>11</v>
      </c>
      <c r="G222" t="b">
        <v>0</v>
      </c>
      <c r="H222">
        <v>1</v>
      </c>
      <c r="I222">
        <v>2</v>
      </c>
      <c r="J222">
        <v>0.16</v>
      </c>
      <c r="K222">
        <v>0.13639999999999999</v>
      </c>
      <c r="L222">
        <v>0.47</v>
      </c>
      <c r="M222">
        <v>0.28360000000000002</v>
      </c>
      <c r="N222">
        <v>2</v>
      </c>
      <c r="O222">
        <v>28</v>
      </c>
      <c r="P222">
        <v>30</v>
      </c>
    </row>
    <row r="223" spans="1:16" x14ac:dyDescent="0.25">
      <c r="A223">
        <v>222</v>
      </c>
      <c r="B223" s="4">
        <v>40553</v>
      </c>
      <c r="C223">
        <v>1</v>
      </c>
      <c r="D223">
        <v>0</v>
      </c>
      <c r="E223">
        <v>1</v>
      </c>
      <c r="F223">
        <v>12</v>
      </c>
      <c r="G223" t="b">
        <v>0</v>
      </c>
      <c r="H223">
        <v>1</v>
      </c>
      <c r="I223">
        <v>2</v>
      </c>
      <c r="J223">
        <v>0.2</v>
      </c>
      <c r="K223">
        <v>0.18179999999999999</v>
      </c>
      <c r="L223">
        <v>0.4</v>
      </c>
      <c r="M223">
        <v>0.28360000000000002</v>
      </c>
      <c r="N223">
        <v>5</v>
      </c>
      <c r="O223">
        <v>47</v>
      </c>
      <c r="P223">
        <v>52</v>
      </c>
    </row>
    <row r="224" spans="1:16" x14ac:dyDescent="0.25">
      <c r="A224">
        <v>223</v>
      </c>
      <c r="B224" s="4">
        <v>40553</v>
      </c>
      <c r="C224">
        <v>1</v>
      </c>
      <c r="D224">
        <v>0</v>
      </c>
      <c r="E224">
        <v>1</v>
      </c>
      <c r="F224">
        <v>13</v>
      </c>
      <c r="G224" t="b">
        <v>0</v>
      </c>
      <c r="H224">
        <v>1</v>
      </c>
      <c r="I224">
        <v>2</v>
      </c>
      <c r="J224">
        <v>0.2</v>
      </c>
      <c r="K224">
        <v>0.18179999999999999</v>
      </c>
      <c r="L224">
        <v>0.4</v>
      </c>
      <c r="M224">
        <v>0.28360000000000002</v>
      </c>
      <c r="N224">
        <v>4</v>
      </c>
      <c r="O224">
        <v>50</v>
      </c>
      <c r="P224">
        <v>54</v>
      </c>
    </row>
    <row r="225" spans="1:16" x14ac:dyDescent="0.25">
      <c r="A225">
        <v>224</v>
      </c>
      <c r="B225" s="4">
        <v>40553</v>
      </c>
      <c r="C225">
        <v>1</v>
      </c>
      <c r="D225">
        <v>0</v>
      </c>
      <c r="E225">
        <v>1</v>
      </c>
      <c r="F225">
        <v>14</v>
      </c>
      <c r="G225" t="b">
        <v>0</v>
      </c>
      <c r="H225">
        <v>1</v>
      </c>
      <c r="I225">
        <v>2</v>
      </c>
      <c r="J225">
        <v>0.2</v>
      </c>
      <c r="K225">
        <v>0.19700000000000001</v>
      </c>
      <c r="L225">
        <v>0.4</v>
      </c>
      <c r="M225">
        <v>0.22389999999999999</v>
      </c>
      <c r="N225">
        <v>0</v>
      </c>
      <c r="O225">
        <v>47</v>
      </c>
      <c r="P225">
        <v>47</v>
      </c>
    </row>
    <row r="226" spans="1:16" x14ac:dyDescent="0.25">
      <c r="A226">
        <v>225</v>
      </c>
      <c r="B226" s="4">
        <v>40553</v>
      </c>
      <c r="C226">
        <v>1</v>
      </c>
      <c r="D226">
        <v>0</v>
      </c>
      <c r="E226">
        <v>1</v>
      </c>
      <c r="F226">
        <v>15</v>
      </c>
      <c r="G226" t="b">
        <v>0</v>
      </c>
      <c r="H226">
        <v>1</v>
      </c>
      <c r="I226">
        <v>2</v>
      </c>
      <c r="J226">
        <v>0.2</v>
      </c>
      <c r="K226">
        <v>0.19700000000000001</v>
      </c>
      <c r="L226">
        <v>0.4</v>
      </c>
      <c r="M226">
        <v>0.22389999999999999</v>
      </c>
      <c r="N226">
        <v>2</v>
      </c>
      <c r="O226">
        <v>43</v>
      </c>
      <c r="P226">
        <v>45</v>
      </c>
    </row>
    <row r="227" spans="1:16" x14ac:dyDescent="0.25">
      <c r="A227">
        <v>226</v>
      </c>
      <c r="B227" s="4">
        <v>40553</v>
      </c>
      <c r="C227">
        <v>1</v>
      </c>
      <c r="D227">
        <v>0</v>
      </c>
      <c r="E227">
        <v>1</v>
      </c>
      <c r="F227">
        <v>16</v>
      </c>
      <c r="G227" t="b">
        <v>0</v>
      </c>
      <c r="H227">
        <v>1</v>
      </c>
      <c r="I227">
        <v>1</v>
      </c>
      <c r="J227">
        <v>0.2</v>
      </c>
      <c r="K227">
        <v>0.21210000000000001</v>
      </c>
      <c r="L227">
        <v>0.4</v>
      </c>
      <c r="M227">
        <v>0.1343</v>
      </c>
      <c r="N227">
        <v>4</v>
      </c>
      <c r="O227">
        <v>70</v>
      </c>
      <c r="P227">
        <v>74</v>
      </c>
    </row>
    <row r="228" spans="1:16" x14ac:dyDescent="0.25">
      <c r="A228">
        <v>227</v>
      </c>
      <c r="B228" s="4">
        <v>40553</v>
      </c>
      <c r="C228">
        <v>1</v>
      </c>
      <c r="D228">
        <v>0</v>
      </c>
      <c r="E228">
        <v>1</v>
      </c>
      <c r="F228">
        <v>17</v>
      </c>
      <c r="G228" t="b">
        <v>0</v>
      </c>
      <c r="H228">
        <v>1</v>
      </c>
      <c r="I228">
        <v>1</v>
      </c>
      <c r="J228">
        <v>0.2</v>
      </c>
      <c r="K228">
        <v>0.2273</v>
      </c>
      <c r="L228">
        <v>0.4</v>
      </c>
      <c r="M228">
        <v>0.1045</v>
      </c>
      <c r="N228">
        <v>4</v>
      </c>
      <c r="O228">
        <v>174</v>
      </c>
      <c r="P228">
        <v>178</v>
      </c>
    </row>
    <row r="229" spans="1:16" x14ac:dyDescent="0.25">
      <c r="A229">
        <v>228</v>
      </c>
      <c r="B229" s="4">
        <v>40553</v>
      </c>
      <c r="C229">
        <v>1</v>
      </c>
      <c r="D229">
        <v>0</v>
      </c>
      <c r="E229">
        <v>1</v>
      </c>
      <c r="F229">
        <v>18</v>
      </c>
      <c r="G229" t="b">
        <v>0</v>
      </c>
      <c r="H229">
        <v>1</v>
      </c>
      <c r="I229">
        <v>1</v>
      </c>
      <c r="J229">
        <v>0.2</v>
      </c>
      <c r="K229">
        <v>0.19700000000000001</v>
      </c>
      <c r="L229">
        <v>0.4</v>
      </c>
      <c r="M229">
        <v>0.22389999999999999</v>
      </c>
      <c r="N229">
        <v>1</v>
      </c>
      <c r="O229">
        <v>154</v>
      </c>
      <c r="P229">
        <v>155</v>
      </c>
    </row>
    <row r="230" spans="1:16" x14ac:dyDescent="0.25">
      <c r="A230">
        <v>229</v>
      </c>
      <c r="B230" s="4">
        <v>40553</v>
      </c>
      <c r="C230">
        <v>1</v>
      </c>
      <c r="D230">
        <v>0</v>
      </c>
      <c r="E230">
        <v>1</v>
      </c>
      <c r="F230">
        <v>19</v>
      </c>
      <c r="G230" t="b">
        <v>0</v>
      </c>
      <c r="H230">
        <v>1</v>
      </c>
      <c r="I230">
        <v>1</v>
      </c>
      <c r="J230">
        <v>0.16</v>
      </c>
      <c r="K230">
        <v>0.16669999999999999</v>
      </c>
      <c r="L230">
        <v>0.47</v>
      </c>
      <c r="M230">
        <v>0.16420000000000001</v>
      </c>
      <c r="N230">
        <v>3</v>
      </c>
      <c r="O230">
        <v>92</v>
      </c>
      <c r="P230">
        <v>95</v>
      </c>
    </row>
    <row r="231" spans="1:16" x14ac:dyDescent="0.25">
      <c r="A231">
        <v>230</v>
      </c>
      <c r="B231" s="4">
        <v>40553</v>
      </c>
      <c r="C231">
        <v>1</v>
      </c>
      <c r="D231">
        <v>0</v>
      </c>
      <c r="E231">
        <v>1</v>
      </c>
      <c r="F231">
        <v>20</v>
      </c>
      <c r="G231" t="b">
        <v>0</v>
      </c>
      <c r="H231">
        <v>1</v>
      </c>
      <c r="I231">
        <v>1</v>
      </c>
      <c r="J231">
        <v>0.16</v>
      </c>
      <c r="K231">
        <v>0.16669999999999999</v>
      </c>
      <c r="L231">
        <v>0.5</v>
      </c>
      <c r="M231">
        <v>0.16420000000000001</v>
      </c>
      <c r="N231">
        <v>1</v>
      </c>
      <c r="O231">
        <v>73</v>
      </c>
      <c r="P231">
        <v>74</v>
      </c>
    </row>
    <row r="232" spans="1:16" x14ac:dyDescent="0.25">
      <c r="A232">
        <v>231</v>
      </c>
      <c r="B232" s="4">
        <v>40553</v>
      </c>
      <c r="C232">
        <v>1</v>
      </c>
      <c r="D232">
        <v>0</v>
      </c>
      <c r="E232">
        <v>1</v>
      </c>
      <c r="F232">
        <v>21</v>
      </c>
      <c r="G232" t="b">
        <v>0</v>
      </c>
      <c r="H232">
        <v>1</v>
      </c>
      <c r="I232">
        <v>1</v>
      </c>
      <c r="J232">
        <v>0.14000000000000001</v>
      </c>
      <c r="K232">
        <v>0.13639999999999999</v>
      </c>
      <c r="L232">
        <v>0.59</v>
      </c>
      <c r="M232">
        <v>0.19400000000000001</v>
      </c>
      <c r="N232">
        <v>1</v>
      </c>
      <c r="O232">
        <v>37</v>
      </c>
      <c r="P232">
        <v>38</v>
      </c>
    </row>
    <row r="233" spans="1:16" x14ac:dyDescent="0.25">
      <c r="A233">
        <v>232</v>
      </c>
      <c r="B233" s="4">
        <v>40553</v>
      </c>
      <c r="C233">
        <v>1</v>
      </c>
      <c r="D233">
        <v>0</v>
      </c>
      <c r="E233">
        <v>1</v>
      </c>
      <c r="F233">
        <v>22</v>
      </c>
      <c r="G233" t="b">
        <v>0</v>
      </c>
      <c r="H233">
        <v>1</v>
      </c>
      <c r="I233">
        <v>1</v>
      </c>
      <c r="J233">
        <v>0.14000000000000001</v>
      </c>
      <c r="K233">
        <v>0.1515</v>
      </c>
      <c r="L233">
        <v>0.59</v>
      </c>
      <c r="M233">
        <v>0.16420000000000001</v>
      </c>
      <c r="N233">
        <v>2</v>
      </c>
      <c r="O233">
        <v>22</v>
      </c>
      <c r="P233">
        <v>24</v>
      </c>
    </row>
    <row r="234" spans="1:16" x14ac:dyDescent="0.25">
      <c r="A234">
        <v>233</v>
      </c>
      <c r="B234" s="4">
        <v>40553</v>
      </c>
      <c r="C234">
        <v>1</v>
      </c>
      <c r="D234">
        <v>0</v>
      </c>
      <c r="E234">
        <v>1</v>
      </c>
      <c r="F234">
        <v>23</v>
      </c>
      <c r="G234" t="b">
        <v>0</v>
      </c>
      <c r="H234">
        <v>1</v>
      </c>
      <c r="I234">
        <v>1</v>
      </c>
      <c r="J234">
        <v>0.14000000000000001</v>
      </c>
      <c r="K234">
        <v>0.1515</v>
      </c>
      <c r="L234">
        <v>0.59</v>
      </c>
      <c r="M234">
        <v>0.16420000000000001</v>
      </c>
      <c r="N234">
        <v>0</v>
      </c>
      <c r="O234">
        <v>18</v>
      </c>
      <c r="P234">
        <v>18</v>
      </c>
    </row>
    <row r="235" spans="1:16" x14ac:dyDescent="0.25">
      <c r="A235">
        <v>234</v>
      </c>
      <c r="B235" s="4">
        <v>40554</v>
      </c>
      <c r="C235">
        <v>1</v>
      </c>
      <c r="D235">
        <v>0</v>
      </c>
      <c r="E235">
        <v>1</v>
      </c>
      <c r="F235">
        <v>0</v>
      </c>
      <c r="G235" t="b">
        <v>0</v>
      </c>
      <c r="H235">
        <v>2</v>
      </c>
      <c r="I235">
        <v>1</v>
      </c>
      <c r="J235">
        <v>0.14000000000000001</v>
      </c>
      <c r="K235">
        <v>0.16669999999999999</v>
      </c>
      <c r="L235">
        <v>0.59</v>
      </c>
      <c r="M235">
        <v>0.1045</v>
      </c>
      <c r="N235">
        <v>2</v>
      </c>
      <c r="O235">
        <v>10</v>
      </c>
      <c r="P235">
        <v>12</v>
      </c>
    </row>
    <row r="236" spans="1:16" x14ac:dyDescent="0.25">
      <c r="A236">
        <v>235</v>
      </c>
      <c r="B236" s="4">
        <v>40554</v>
      </c>
      <c r="C236">
        <v>1</v>
      </c>
      <c r="D236">
        <v>0</v>
      </c>
      <c r="E236">
        <v>1</v>
      </c>
      <c r="F236">
        <v>1</v>
      </c>
      <c r="G236" t="b">
        <v>0</v>
      </c>
      <c r="H236">
        <v>2</v>
      </c>
      <c r="I236">
        <v>1</v>
      </c>
      <c r="J236">
        <v>0.14000000000000001</v>
      </c>
      <c r="K236">
        <v>0.1515</v>
      </c>
      <c r="L236">
        <v>0.59</v>
      </c>
      <c r="M236">
        <v>0.16420000000000001</v>
      </c>
      <c r="N236">
        <v>0</v>
      </c>
      <c r="O236">
        <v>3</v>
      </c>
      <c r="P236">
        <v>3</v>
      </c>
    </row>
    <row r="237" spans="1:16" x14ac:dyDescent="0.25">
      <c r="A237">
        <v>236</v>
      </c>
      <c r="B237" s="4">
        <v>40554</v>
      </c>
      <c r="C237">
        <v>1</v>
      </c>
      <c r="D237">
        <v>0</v>
      </c>
      <c r="E237">
        <v>1</v>
      </c>
      <c r="F237">
        <v>2</v>
      </c>
      <c r="G237" t="b">
        <v>0</v>
      </c>
      <c r="H237">
        <v>2</v>
      </c>
      <c r="I237">
        <v>2</v>
      </c>
      <c r="J237">
        <v>0.16</v>
      </c>
      <c r="K237">
        <v>0.1515</v>
      </c>
      <c r="L237">
        <v>0.55000000000000004</v>
      </c>
      <c r="M237">
        <v>0.19400000000000001</v>
      </c>
      <c r="N237">
        <v>0</v>
      </c>
      <c r="O237">
        <v>3</v>
      </c>
      <c r="P237">
        <v>3</v>
      </c>
    </row>
    <row r="238" spans="1:16" x14ac:dyDescent="0.25">
      <c r="A238">
        <v>237</v>
      </c>
      <c r="B238" s="4">
        <v>40554</v>
      </c>
      <c r="C238">
        <v>1</v>
      </c>
      <c r="D238">
        <v>0</v>
      </c>
      <c r="E238">
        <v>1</v>
      </c>
      <c r="F238">
        <v>5</v>
      </c>
      <c r="G238" t="b">
        <v>0</v>
      </c>
      <c r="H238">
        <v>2</v>
      </c>
      <c r="I238">
        <v>2</v>
      </c>
      <c r="J238">
        <v>0.16</v>
      </c>
      <c r="K238">
        <v>0.18179999999999999</v>
      </c>
      <c r="L238">
        <v>0.55000000000000004</v>
      </c>
      <c r="M238">
        <v>0.1343</v>
      </c>
      <c r="N238">
        <v>0</v>
      </c>
      <c r="O238">
        <v>6</v>
      </c>
      <c r="P238">
        <v>6</v>
      </c>
    </row>
    <row r="239" spans="1:16" x14ac:dyDescent="0.25">
      <c r="A239">
        <v>238</v>
      </c>
      <c r="B239" s="4">
        <v>40554</v>
      </c>
      <c r="C239">
        <v>1</v>
      </c>
      <c r="D239">
        <v>0</v>
      </c>
      <c r="E239">
        <v>1</v>
      </c>
      <c r="F239">
        <v>6</v>
      </c>
      <c r="G239" t="b">
        <v>0</v>
      </c>
      <c r="H239">
        <v>2</v>
      </c>
      <c r="I239">
        <v>2</v>
      </c>
      <c r="J239">
        <v>0.16</v>
      </c>
      <c r="K239">
        <v>0.18179999999999999</v>
      </c>
      <c r="L239">
        <v>0.55000000000000004</v>
      </c>
      <c r="M239">
        <v>0.1343</v>
      </c>
      <c r="N239">
        <v>0</v>
      </c>
      <c r="O239">
        <v>27</v>
      </c>
      <c r="P239">
        <v>27</v>
      </c>
    </row>
    <row r="240" spans="1:16" x14ac:dyDescent="0.25">
      <c r="A240">
        <v>239</v>
      </c>
      <c r="B240" s="4">
        <v>40554</v>
      </c>
      <c r="C240">
        <v>1</v>
      </c>
      <c r="D240">
        <v>0</v>
      </c>
      <c r="E240">
        <v>1</v>
      </c>
      <c r="F240">
        <v>7</v>
      </c>
      <c r="G240" t="b">
        <v>0</v>
      </c>
      <c r="H240">
        <v>2</v>
      </c>
      <c r="I240">
        <v>2</v>
      </c>
      <c r="J240">
        <v>0.16</v>
      </c>
      <c r="K240">
        <v>0.2273</v>
      </c>
      <c r="L240">
        <v>0.55000000000000004</v>
      </c>
      <c r="M240">
        <v>0</v>
      </c>
      <c r="N240">
        <v>2</v>
      </c>
      <c r="O240">
        <v>97</v>
      </c>
      <c r="P240">
        <v>99</v>
      </c>
    </row>
    <row r="241" spans="1:16" x14ac:dyDescent="0.25">
      <c r="A241">
        <v>240</v>
      </c>
      <c r="B241" s="4">
        <v>40554</v>
      </c>
      <c r="C241">
        <v>1</v>
      </c>
      <c r="D241">
        <v>0</v>
      </c>
      <c r="E241">
        <v>1</v>
      </c>
      <c r="F241">
        <v>8</v>
      </c>
      <c r="G241" t="b">
        <v>0</v>
      </c>
      <c r="H241">
        <v>2</v>
      </c>
      <c r="I241">
        <v>2</v>
      </c>
      <c r="J241">
        <v>0.18</v>
      </c>
      <c r="K241">
        <v>0.21210000000000001</v>
      </c>
      <c r="L241">
        <v>0.51</v>
      </c>
      <c r="M241">
        <v>8.9599999999999999E-2</v>
      </c>
      <c r="N241">
        <v>3</v>
      </c>
      <c r="O241">
        <v>214</v>
      </c>
      <c r="P241">
        <v>217</v>
      </c>
    </row>
    <row r="242" spans="1:16" x14ac:dyDescent="0.25">
      <c r="A242">
        <v>241</v>
      </c>
      <c r="B242" s="4">
        <v>40554</v>
      </c>
      <c r="C242">
        <v>1</v>
      </c>
      <c r="D242">
        <v>0</v>
      </c>
      <c r="E242">
        <v>1</v>
      </c>
      <c r="F242">
        <v>9</v>
      </c>
      <c r="G242" t="b">
        <v>0</v>
      </c>
      <c r="H242">
        <v>2</v>
      </c>
      <c r="I242">
        <v>2</v>
      </c>
      <c r="J242">
        <v>0.18</v>
      </c>
      <c r="K242">
        <v>0.19700000000000001</v>
      </c>
      <c r="L242">
        <v>0.51</v>
      </c>
      <c r="M242">
        <v>0.16420000000000001</v>
      </c>
      <c r="N242">
        <v>3</v>
      </c>
      <c r="O242">
        <v>127</v>
      </c>
      <c r="P242">
        <v>130</v>
      </c>
    </row>
    <row r="243" spans="1:16" x14ac:dyDescent="0.25">
      <c r="A243">
        <v>242</v>
      </c>
      <c r="B243" s="4">
        <v>40554</v>
      </c>
      <c r="C243">
        <v>1</v>
      </c>
      <c r="D243">
        <v>0</v>
      </c>
      <c r="E243">
        <v>1</v>
      </c>
      <c r="F243">
        <v>10</v>
      </c>
      <c r="G243" t="b">
        <v>0</v>
      </c>
      <c r="H243">
        <v>2</v>
      </c>
      <c r="I243">
        <v>2</v>
      </c>
      <c r="J243">
        <v>0.2</v>
      </c>
      <c r="K243">
        <v>0.21210000000000001</v>
      </c>
      <c r="L243">
        <v>0.51</v>
      </c>
      <c r="M243">
        <v>0.16420000000000001</v>
      </c>
      <c r="N243">
        <v>3</v>
      </c>
      <c r="O243">
        <v>51</v>
      </c>
      <c r="P243">
        <v>54</v>
      </c>
    </row>
    <row r="244" spans="1:16" x14ac:dyDescent="0.25">
      <c r="A244">
        <v>243</v>
      </c>
      <c r="B244" s="4">
        <v>40554</v>
      </c>
      <c r="C244">
        <v>1</v>
      </c>
      <c r="D244">
        <v>0</v>
      </c>
      <c r="E244">
        <v>1</v>
      </c>
      <c r="F244">
        <v>11</v>
      </c>
      <c r="G244" t="b">
        <v>0</v>
      </c>
      <c r="H244">
        <v>2</v>
      </c>
      <c r="I244">
        <v>2</v>
      </c>
      <c r="J244">
        <v>0.2</v>
      </c>
      <c r="K244">
        <v>0.21210000000000001</v>
      </c>
      <c r="L244">
        <v>0.47</v>
      </c>
      <c r="M244">
        <v>0.1343</v>
      </c>
      <c r="N244">
        <v>4</v>
      </c>
      <c r="O244">
        <v>31</v>
      </c>
      <c r="P244">
        <v>35</v>
      </c>
    </row>
    <row r="245" spans="1:16" x14ac:dyDescent="0.25">
      <c r="A245">
        <v>244</v>
      </c>
      <c r="B245" s="4">
        <v>40554</v>
      </c>
      <c r="C245">
        <v>1</v>
      </c>
      <c r="D245">
        <v>0</v>
      </c>
      <c r="E245">
        <v>1</v>
      </c>
      <c r="F245">
        <v>12</v>
      </c>
      <c r="G245" t="b">
        <v>0</v>
      </c>
      <c r="H245">
        <v>2</v>
      </c>
      <c r="I245">
        <v>2</v>
      </c>
      <c r="J245">
        <v>0.2</v>
      </c>
      <c r="K245">
        <v>0.2273</v>
      </c>
      <c r="L245">
        <v>0.51</v>
      </c>
      <c r="M245">
        <v>0.1045</v>
      </c>
      <c r="N245">
        <v>2</v>
      </c>
      <c r="O245">
        <v>55</v>
      </c>
      <c r="P245">
        <v>57</v>
      </c>
    </row>
    <row r="246" spans="1:16" x14ac:dyDescent="0.25">
      <c r="A246">
        <v>245</v>
      </c>
      <c r="B246" s="4">
        <v>40554</v>
      </c>
      <c r="C246">
        <v>1</v>
      </c>
      <c r="D246">
        <v>0</v>
      </c>
      <c r="E246">
        <v>1</v>
      </c>
      <c r="F246">
        <v>13</v>
      </c>
      <c r="G246" t="b">
        <v>0</v>
      </c>
      <c r="H246">
        <v>2</v>
      </c>
      <c r="I246">
        <v>2</v>
      </c>
      <c r="J246">
        <v>0.2</v>
      </c>
      <c r="K246">
        <v>0.2273</v>
      </c>
      <c r="L246">
        <v>0.59</v>
      </c>
      <c r="M246">
        <v>8.9599999999999999E-2</v>
      </c>
      <c r="N246">
        <v>6</v>
      </c>
      <c r="O246">
        <v>46</v>
      </c>
      <c r="P246">
        <v>52</v>
      </c>
    </row>
    <row r="247" spans="1:16" x14ac:dyDescent="0.25">
      <c r="A247">
        <v>246</v>
      </c>
      <c r="B247" s="4">
        <v>40554</v>
      </c>
      <c r="C247">
        <v>1</v>
      </c>
      <c r="D247">
        <v>0</v>
      </c>
      <c r="E247">
        <v>1</v>
      </c>
      <c r="F247">
        <v>14</v>
      </c>
      <c r="G247" t="b">
        <v>0</v>
      </c>
      <c r="H247">
        <v>2</v>
      </c>
      <c r="I247">
        <v>2</v>
      </c>
      <c r="J247">
        <v>0.2</v>
      </c>
      <c r="K247">
        <v>0.2273</v>
      </c>
      <c r="L247">
        <v>0.59</v>
      </c>
      <c r="M247">
        <v>8.9599999999999999E-2</v>
      </c>
      <c r="N247">
        <v>3</v>
      </c>
      <c r="O247">
        <v>60</v>
      </c>
      <c r="P247">
        <v>63</v>
      </c>
    </row>
    <row r="248" spans="1:16" x14ac:dyDescent="0.25">
      <c r="A248">
        <v>247</v>
      </c>
      <c r="B248" s="4">
        <v>40554</v>
      </c>
      <c r="C248">
        <v>1</v>
      </c>
      <c r="D248">
        <v>0</v>
      </c>
      <c r="E248">
        <v>1</v>
      </c>
      <c r="F248">
        <v>15</v>
      </c>
      <c r="G248" t="b">
        <v>0</v>
      </c>
      <c r="H248">
        <v>2</v>
      </c>
      <c r="I248">
        <v>2</v>
      </c>
      <c r="J248">
        <v>0.16</v>
      </c>
      <c r="K248">
        <v>0.19700000000000001</v>
      </c>
      <c r="L248">
        <v>0.8</v>
      </c>
      <c r="M248">
        <v>8.9599999999999999E-2</v>
      </c>
      <c r="N248">
        <v>2</v>
      </c>
      <c r="O248">
        <v>45</v>
      </c>
      <c r="P248">
        <v>47</v>
      </c>
    </row>
    <row r="249" spans="1:16" x14ac:dyDescent="0.25">
      <c r="A249">
        <v>248</v>
      </c>
      <c r="B249" s="4">
        <v>40554</v>
      </c>
      <c r="C249">
        <v>1</v>
      </c>
      <c r="D249">
        <v>0</v>
      </c>
      <c r="E249">
        <v>1</v>
      </c>
      <c r="F249">
        <v>16</v>
      </c>
      <c r="G249" t="b">
        <v>0</v>
      </c>
      <c r="H249">
        <v>2</v>
      </c>
      <c r="I249">
        <v>2</v>
      </c>
      <c r="J249">
        <v>0.16</v>
      </c>
      <c r="K249">
        <v>0.1515</v>
      </c>
      <c r="L249">
        <v>0.86</v>
      </c>
      <c r="M249">
        <v>0.22389999999999999</v>
      </c>
      <c r="N249">
        <v>4</v>
      </c>
      <c r="O249">
        <v>72</v>
      </c>
      <c r="P249">
        <v>76</v>
      </c>
    </row>
    <row r="250" spans="1:16" x14ac:dyDescent="0.25">
      <c r="A250">
        <v>249</v>
      </c>
      <c r="B250" s="4">
        <v>40554</v>
      </c>
      <c r="C250">
        <v>1</v>
      </c>
      <c r="D250">
        <v>0</v>
      </c>
      <c r="E250">
        <v>1</v>
      </c>
      <c r="F250">
        <v>17</v>
      </c>
      <c r="G250" t="b">
        <v>0</v>
      </c>
      <c r="H250">
        <v>2</v>
      </c>
      <c r="I250">
        <v>2</v>
      </c>
      <c r="J250">
        <v>0.16</v>
      </c>
      <c r="K250">
        <v>0.1515</v>
      </c>
      <c r="L250">
        <v>0.86</v>
      </c>
      <c r="M250">
        <v>0.22389999999999999</v>
      </c>
      <c r="N250">
        <v>6</v>
      </c>
      <c r="O250">
        <v>130</v>
      </c>
      <c r="P250">
        <v>136</v>
      </c>
    </row>
    <row r="251" spans="1:16" x14ac:dyDescent="0.25">
      <c r="A251">
        <v>250</v>
      </c>
      <c r="B251" s="4">
        <v>40554</v>
      </c>
      <c r="C251">
        <v>1</v>
      </c>
      <c r="D251">
        <v>0</v>
      </c>
      <c r="E251">
        <v>1</v>
      </c>
      <c r="F251">
        <v>18</v>
      </c>
      <c r="G251" t="b">
        <v>0</v>
      </c>
      <c r="H251">
        <v>2</v>
      </c>
      <c r="I251">
        <v>3</v>
      </c>
      <c r="J251">
        <v>0.16</v>
      </c>
      <c r="K251">
        <v>0.18179999999999999</v>
      </c>
      <c r="L251">
        <v>0.93</v>
      </c>
      <c r="M251">
        <v>0.1045</v>
      </c>
      <c r="N251">
        <v>1</v>
      </c>
      <c r="O251">
        <v>94</v>
      </c>
      <c r="P251">
        <v>95</v>
      </c>
    </row>
    <row r="252" spans="1:16" x14ac:dyDescent="0.25">
      <c r="A252">
        <v>251</v>
      </c>
      <c r="B252" s="4">
        <v>40554</v>
      </c>
      <c r="C252">
        <v>1</v>
      </c>
      <c r="D252">
        <v>0</v>
      </c>
      <c r="E252">
        <v>1</v>
      </c>
      <c r="F252">
        <v>19</v>
      </c>
      <c r="G252" t="b">
        <v>0</v>
      </c>
      <c r="H252">
        <v>2</v>
      </c>
      <c r="I252">
        <v>3</v>
      </c>
      <c r="J252">
        <v>0.16</v>
      </c>
      <c r="K252">
        <v>0.2273</v>
      </c>
      <c r="L252">
        <v>0.93</v>
      </c>
      <c r="M252">
        <v>0</v>
      </c>
      <c r="N252">
        <v>0</v>
      </c>
      <c r="O252">
        <v>51</v>
      </c>
      <c r="P252">
        <v>51</v>
      </c>
    </row>
    <row r="253" spans="1:16" x14ac:dyDescent="0.25">
      <c r="A253">
        <v>252</v>
      </c>
      <c r="B253" s="4">
        <v>40554</v>
      </c>
      <c r="C253">
        <v>1</v>
      </c>
      <c r="D253">
        <v>0</v>
      </c>
      <c r="E253">
        <v>1</v>
      </c>
      <c r="F253">
        <v>20</v>
      </c>
      <c r="G253" t="b">
        <v>0</v>
      </c>
      <c r="H253">
        <v>2</v>
      </c>
      <c r="I253">
        <v>3</v>
      </c>
      <c r="J253">
        <v>0.16</v>
      </c>
      <c r="K253">
        <v>0.1515</v>
      </c>
      <c r="L253">
        <v>0.93</v>
      </c>
      <c r="M253">
        <v>0.19400000000000001</v>
      </c>
      <c r="N253">
        <v>0</v>
      </c>
      <c r="O253">
        <v>32</v>
      </c>
      <c r="P253">
        <v>32</v>
      </c>
    </row>
    <row r="254" spans="1:16" x14ac:dyDescent="0.25">
      <c r="A254">
        <v>253</v>
      </c>
      <c r="B254" s="4">
        <v>40554</v>
      </c>
      <c r="C254">
        <v>1</v>
      </c>
      <c r="D254">
        <v>0</v>
      </c>
      <c r="E254">
        <v>1</v>
      </c>
      <c r="F254">
        <v>21</v>
      </c>
      <c r="G254" t="b">
        <v>0</v>
      </c>
      <c r="H254">
        <v>2</v>
      </c>
      <c r="I254">
        <v>3</v>
      </c>
      <c r="J254">
        <v>0.16</v>
      </c>
      <c r="K254">
        <v>0.19700000000000001</v>
      </c>
      <c r="L254">
        <v>0.86</v>
      </c>
      <c r="M254">
        <v>8.9599999999999999E-2</v>
      </c>
      <c r="N254">
        <v>0</v>
      </c>
      <c r="O254">
        <v>20</v>
      </c>
      <c r="P254">
        <v>20</v>
      </c>
    </row>
    <row r="255" spans="1:16" x14ac:dyDescent="0.25">
      <c r="A255">
        <v>254</v>
      </c>
      <c r="B255" s="4">
        <v>40554</v>
      </c>
      <c r="C255">
        <v>1</v>
      </c>
      <c r="D255">
        <v>0</v>
      </c>
      <c r="E255">
        <v>1</v>
      </c>
      <c r="F255">
        <v>22</v>
      </c>
      <c r="G255" t="b">
        <v>0</v>
      </c>
      <c r="H255">
        <v>2</v>
      </c>
      <c r="I255">
        <v>3</v>
      </c>
      <c r="J255">
        <v>0.16</v>
      </c>
      <c r="K255">
        <v>0.18179999999999999</v>
      </c>
      <c r="L255">
        <v>0.93</v>
      </c>
      <c r="M255">
        <v>0.1045</v>
      </c>
      <c r="N255">
        <v>1</v>
      </c>
      <c r="O255">
        <v>28</v>
      </c>
      <c r="P255">
        <v>29</v>
      </c>
    </row>
    <row r="256" spans="1:16" x14ac:dyDescent="0.25">
      <c r="A256">
        <v>255</v>
      </c>
      <c r="B256" s="4">
        <v>40554</v>
      </c>
      <c r="C256">
        <v>1</v>
      </c>
      <c r="D256">
        <v>0</v>
      </c>
      <c r="E256">
        <v>1</v>
      </c>
      <c r="F256">
        <v>23</v>
      </c>
      <c r="G256" t="b">
        <v>0</v>
      </c>
      <c r="H256">
        <v>2</v>
      </c>
      <c r="I256">
        <v>3</v>
      </c>
      <c r="J256">
        <v>0.16</v>
      </c>
      <c r="K256">
        <v>0.19700000000000001</v>
      </c>
      <c r="L256">
        <v>0.93</v>
      </c>
      <c r="M256">
        <v>8.9599999999999999E-2</v>
      </c>
      <c r="N256">
        <v>1</v>
      </c>
      <c r="O256">
        <v>18</v>
      </c>
      <c r="P256">
        <v>19</v>
      </c>
    </row>
    <row r="257" spans="1:16" x14ac:dyDescent="0.25">
      <c r="A257">
        <v>256</v>
      </c>
      <c r="B257" s="4">
        <v>40555</v>
      </c>
      <c r="C257">
        <v>1</v>
      </c>
      <c r="D257">
        <v>0</v>
      </c>
      <c r="E257">
        <v>1</v>
      </c>
      <c r="F257">
        <v>0</v>
      </c>
      <c r="G257" t="b">
        <v>0</v>
      </c>
      <c r="H257">
        <v>3</v>
      </c>
      <c r="I257">
        <v>2</v>
      </c>
      <c r="J257">
        <v>0.16</v>
      </c>
      <c r="K257">
        <v>0.19700000000000001</v>
      </c>
      <c r="L257">
        <v>0.86</v>
      </c>
      <c r="M257">
        <v>8.9599999999999999E-2</v>
      </c>
      <c r="N257">
        <v>0</v>
      </c>
      <c r="O257">
        <v>7</v>
      </c>
      <c r="P257">
        <v>7</v>
      </c>
    </row>
    <row r="258" spans="1:16" x14ac:dyDescent="0.25">
      <c r="A258">
        <v>257</v>
      </c>
      <c r="B258" s="4">
        <v>40555</v>
      </c>
      <c r="C258">
        <v>1</v>
      </c>
      <c r="D258">
        <v>0</v>
      </c>
      <c r="E258">
        <v>1</v>
      </c>
      <c r="F258">
        <v>1</v>
      </c>
      <c r="G258" t="b">
        <v>0</v>
      </c>
      <c r="H258">
        <v>3</v>
      </c>
      <c r="I258">
        <v>2</v>
      </c>
      <c r="J258">
        <v>0.16</v>
      </c>
      <c r="K258">
        <v>0.18179999999999999</v>
      </c>
      <c r="L258">
        <v>0.86</v>
      </c>
      <c r="M258">
        <v>0.1045</v>
      </c>
      <c r="N258">
        <v>0</v>
      </c>
      <c r="O258">
        <v>6</v>
      </c>
      <c r="P258">
        <v>6</v>
      </c>
    </row>
    <row r="259" spans="1:16" x14ac:dyDescent="0.25">
      <c r="A259">
        <v>258</v>
      </c>
      <c r="B259" s="4">
        <v>40555</v>
      </c>
      <c r="C259">
        <v>1</v>
      </c>
      <c r="D259">
        <v>0</v>
      </c>
      <c r="E259">
        <v>1</v>
      </c>
      <c r="F259">
        <v>2</v>
      </c>
      <c r="G259" t="b">
        <v>0</v>
      </c>
      <c r="H259">
        <v>3</v>
      </c>
      <c r="I259">
        <v>1</v>
      </c>
      <c r="J259">
        <v>0.14000000000000001</v>
      </c>
      <c r="K259">
        <v>0.1515</v>
      </c>
      <c r="L259">
        <v>0.86</v>
      </c>
      <c r="M259">
        <v>0.1343</v>
      </c>
      <c r="N259">
        <v>0</v>
      </c>
      <c r="O259">
        <v>1</v>
      </c>
      <c r="P259">
        <v>1</v>
      </c>
    </row>
    <row r="260" spans="1:16" x14ac:dyDescent="0.25">
      <c r="A260">
        <v>259</v>
      </c>
      <c r="B260" s="4">
        <v>40555</v>
      </c>
      <c r="C260">
        <v>1</v>
      </c>
      <c r="D260">
        <v>0</v>
      </c>
      <c r="E260">
        <v>1</v>
      </c>
      <c r="F260">
        <v>5</v>
      </c>
      <c r="G260" t="b">
        <v>0</v>
      </c>
      <c r="H260">
        <v>3</v>
      </c>
      <c r="I260">
        <v>1</v>
      </c>
      <c r="J260">
        <v>0.14000000000000001</v>
      </c>
      <c r="K260">
        <v>0.1515</v>
      </c>
      <c r="L260">
        <v>0.86</v>
      </c>
      <c r="M260">
        <v>0.16420000000000001</v>
      </c>
      <c r="N260">
        <v>0</v>
      </c>
      <c r="O260">
        <v>5</v>
      </c>
      <c r="P260">
        <v>5</v>
      </c>
    </row>
    <row r="261" spans="1:16" x14ac:dyDescent="0.25">
      <c r="A261">
        <v>260</v>
      </c>
      <c r="B261" s="4">
        <v>40555</v>
      </c>
      <c r="C261">
        <v>1</v>
      </c>
      <c r="D261">
        <v>0</v>
      </c>
      <c r="E261">
        <v>1</v>
      </c>
      <c r="F261">
        <v>6</v>
      </c>
      <c r="G261" t="b">
        <v>0</v>
      </c>
      <c r="H261">
        <v>3</v>
      </c>
      <c r="I261">
        <v>1</v>
      </c>
      <c r="J261">
        <v>0.12</v>
      </c>
      <c r="K261">
        <v>0.1515</v>
      </c>
      <c r="L261">
        <v>0.93</v>
      </c>
      <c r="M261">
        <v>0.1343</v>
      </c>
      <c r="N261">
        <v>0</v>
      </c>
      <c r="O261">
        <v>16</v>
      </c>
      <c r="P261">
        <v>16</v>
      </c>
    </row>
    <row r="262" spans="1:16" x14ac:dyDescent="0.25">
      <c r="A262">
        <v>261</v>
      </c>
      <c r="B262" s="4">
        <v>40555</v>
      </c>
      <c r="C262">
        <v>1</v>
      </c>
      <c r="D262">
        <v>0</v>
      </c>
      <c r="E262">
        <v>1</v>
      </c>
      <c r="F262">
        <v>7</v>
      </c>
      <c r="G262" t="b">
        <v>0</v>
      </c>
      <c r="H262">
        <v>3</v>
      </c>
      <c r="I262">
        <v>1</v>
      </c>
      <c r="J262">
        <v>0.14000000000000001</v>
      </c>
      <c r="K262">
        <v>0.1515</v>
      </c>
      <c r="L262">
        <v>0.69</v>
      </c>
      <c r="M262">
        <v>0.1343</v>
      </c>
      <c r="N262">
        <v>0</v>
      </c>
      <c r="O262">
        <v>54</v>
      </c>
      <c r="P262">
        <v>54</v>
      </c>
    </row>
    <row r="263" spans="1:16" x14ac:dyDescent="0.25">
      <c r="A263">
        <v>262</v>
      </c>
      <c r="B263" s="4">
        <v>40555</v>
      </c>
      <c r="C263">
        <v>1</v>
      </c>
      <c r="D263">
        <v>0</v>
      </c>
      <c r="E263">
        <v>1</v>
      </c>
      <c r="F263">
        <v>8</v>
      </c>
      <c r="G263" t="b">
        <v>0</v>
      </c>
      <c r="H263">
        <v>3</v>
      </c>
      <c r="I263">
        <v>1</v>
      </c>
      <c r="J263">
        <v>0.16</v>
      </c>
      <c r="K263">
        <v>0.16669999999999999</v>
      </c>
      <c r="L263">
        <v>0.59</v>
      </c>
      <c r="M263">
        <v>0.16420000000000001</v>
      </c>
      <c r="N263">
        <v>3</v>
      </c>
      <c r="O263">
        <v>125</v>
      </c>
      <c r="P263">
        <v>128</v>
      </c>
    </row>
    <row r="264" spans="1:16" x14ac:dyDescent="0.25">
      <c r="A264">
        <v>263</v>
      </c>
      <c r="B264" s="4">
        <v>40555</v>
      </c>
      <c r="C264">
        <v>1</v>
      </c>
      <c r="D264">
        <v>0</v>
      </c>
      <c r="E264">
        <v>1</v>
      </c>
      <c r="F264">
        <v>9</v>
      </c>
      <c r="G264" t="b">
        <v>0</v>
      </c>
      <c r="H264">
        <v>3</v>
      </c>
      <c r="I264">
        <v>1</v>
      </c>
      <c r="J264">
        <v>0.16</v>
      </c>
      <c r="K264">
        <v>0.13639999999999999</v>
      </c>
      <c r="L264">
        <v>0.59</v>
      </c>
      <c r="M264">
        <v>0.32840000000000003</v>
      </c>
      <c r="N264">
        <v>3</v>
      </c>
      <c r="O264">
        <v>78</v>
      </c>
      <c r="P264">
        <v>81</v>
      </c>
    </row>
    <row r="265" spans="1:16" x14ac:dyDescent="0.25">
      <c r="A265">
        <v>264</v>
      </c>
      <c r="B265" s="4">
        <v>40555</v>
      </c>
      <c r="C265">
        <v>1</v>
      </c>
      <c r="D265">
        <v>0</v>
      </c>
      <c r="E265">
        <v>1</v>
      </c>
      <c r="F265">
        <v>10</v>
      </c>
      <c r="G265" t="b">
        <v>0</v>
      </c>
      <c r="H265">
        <v>3</v>
      </c>
      <c r="I265">
        <v>1</v>
      </c>
      <c r="J265">
        <v>0.18</v>
      </c>
      <c r="K265">
        <v>0.18179999999999999</v>
      </c>
      <c r="L265">
        <v>0.55000000000000004</v>
      </c>
      <c r="M265">
        <v>0.22389999999999999</v>
      </c>
      <c r="N265">
        <v>0</v>
      </c>
      <c r="O265">
        <v>39</v>
      </c>
      <c r="P265">
        <v>39</v>
      </c>
    </row>
    <row r="266" spans="1:16" x14ac:dyDescent="0.25">
      <c r="A266">
        <v>265</v>
      </c>
      <c r="B266" s="4">
        <v>40555</v>
      </c>
      <c r="C266">
        <v>1</v>
      </c>
      <c r="D266">
        <v>0</v>
      </c>
      <c r="E266">
        <v>1</v>
      </c>
      <c r="F266">
        <v>11</v>
      </c>
      <c r="G266" t="b">
        <v>0</v>
      </c>
      <c r="H266">
        <v>3</v>
      </c>
      <c r="I266">
        <v>1</v>
      </c>
      <c r="J266">
        <v>0.2</v>
      </c>
      <c r="K266">
        <v>0.18179999999999999</v>
      </c>
      <c r="L266">
        <v>0.51</v>
      </c>
      <c r="M266">
        <v>0.3881</v>
      </c>
      <c r="N266">
        <v>3</v>
      </c>
      <c r="O266">
        <v>32</v>
      </c>
      <c r="P266">
        <v>35</v>
      </c>
    </row>
    <row r="267" spans="1:16" x14ac:dyDescent="0.25">
      <c r="A267">
        <v>266</v>
      </c>
      <c r="B267" s="4">
        <v>40555</v>
      </c>
      <c r="C267">
        <v>1</v>
      </c>
      <c r="D267">
        <v>0</v>
      </c>
      <c r="E267">
        <v>1</v>
      </c>
      <c r="F267">
        <v>12</v>
      </c>
      <c r="G267" t="b">
        <v>0</v>
      </c>
      <c r="H267">
        <v>3</v>
      </c>
      <c r="I267">
        <v>1</v>
      </c>
      <c r="J267">
        <v>0.2</v>
      </c>
      <c r="K267">
        <v>0.1515</v>
      </c>
      <c r="L267">
        <v>0.47</v>
      </c>
      <c r="M267">
        <v>0.58209999999999995</v>
      </c>
      <c r="N267">
        <v>3</v>
      </c>
      <c r="O267">
        <v>52</v>
      </c>
      <c r="P267">
        <v>55</v>
      </c>
    </row>
    <row r="268" spans="1:16" x14ac:dyDescent="0.25">
      <c r="A268">
        <v>267</v>
      </c>
      <c r="B268" s="4">
        <v>40555</v>
      </c>
      <c r="C268">
        <v>1</v>
      </c>
      <c r="D268">
        <v>0</v>
      </c>
      <c r="E268">
        <v>1</v>
      </c>
      <c r="F268">
        <v>13</v>
      </c>
      <c r="G268" t="b">
        <v>0</v>
      </c>
      <c r="H268">
        <v>3</v>
      </c>
      <c r="I268">
        <v>1</v>
      </c>
      <c r="J268">
        <v>0.22</v>
      </c>
      <c r="K268">
        <v>0.19700000000000001</v>
      </c>
      <c r="L268">
        <v>0.44</v>
      </c>
      <c r="M268">
        <v>0.35820000000000002</v>
      </c>
      <c r="N268">
        <v>0</v>
      </c>
      <c r="O268">
        <v>49</v>
      </c>
      <c r="P268">
        <v>49</v>
      </c>
    </row>
    <row r="269" spans="1:16" x14ac:dyDescent="0.25">
      <c r="A269">
        <v>268</v>
      </c>
      <c r="B269" s="4">
        <v>40555</v>
      </c>
      <c r="C269">
        <v>1</v>
      </c>
      <c r="D269">
        <v>0</v>
      </c>
      <c r="E269">
        <v>1</v>
      </c>
      <c r="F269">
        <v>14</v>
      </c>
      <c r="G269" t="b">
        <v>0</v>
      </c>
      <c r="H269">
        <v>3</v>
      </c>
      <c r="I269">
        <v>1</v>
      </c>
      <c r="J269">
        <v>0.2</v>
      </c>
      <c r="K269">
        <v>0.18179999999999999</v>
      </c>
      <c r="L269">
        <v>0.47</v>
      </c>
      <c r="M269">
        <v>0.32840000000000003</v>
      </c>
      <c r="N269">
        <v>0</v>
      </c>
      <c r="O269">
        <v>44</v>
      </c>
      <c r="P269">
        <v>44</v>
      </c>
    </row>
    <row r="270" spans="1:16" x14ac:dyDescent="0.25">
      <c r="A270">
        <v>269</v>
      </c>
      <c r="B270" s="4">
        <v>40555</v>
      </c>
      <c r="C270">
        <v>1</v>
      </c>
      <c r="D270">
        <v>0</v>
      </c>
      <c r="E270">
        <v>1</v>
      </c>
      <c r="F270">
        <v>15</v>
      </c>
      <c r="G270" t="b">
        <v>0</v>
      </c>
      <c r="H270">
        <v>3</v>
      </c>
      <c r="I270">
        <v>1</v>
      </c>
      <c r="J270">
        <v>0.2</v>
      </c>
      <c r="K270">
        <v>0.16669999999999999</v>
      </c>
      <c r="L270">
        <v>0.47</v>
      </c>
      <c r="M270">
        <v>0.41789999999999999</v>
      </c>
      <c r="N270">
        <v>1</v>
      </c>
      <c r="O270">
        <v>48</v>
      </c>
      <c r="P270">
        <v>49</v>
      </c>
    </row>
    <row r="271" spans="1:16" x14ac:dyDescent="0.25">
      <c r="A271">
        <v>270</v>
      </c>
      <c r="B271" s="4">
        <v>40555</v>
      </c>
      <c r="C271">
        <v>1</v>
      </c>
      <c r="D271">
        <v>0</v>
      </c>
      <c r="E271">
        <v>1</v>
      </c>
      <c r="F271">
        <v>16</v>
      </c>
      <c r="G271" t="b">
        <v>0</v>
      </c>
      <c r="H271">
        <v>3</v>
      </c>
      <c r="I271">
        <v>1</v>
      </c>
      <c r="J271">
        <v>0.22</v>
      </c>
      <c r="K271">
        <v>0.19700000000000001</v>
      </c>
      <c r="L271">
        <v>0.44</v>
      </c>
      <c r="M271">
        <v>0.32840000000000003</v>
      </c>
      <c r="N271">
        <v>5</v>
      </c>
      <c r="O271">
        <v>63</v>
      </c>
      <c r="P271">
        <v>68</v>
      </c>
    </row>
    <row r="272" spans="1:16" x14ac:dyDescent="0.25">
      <c r="A272">
        <v>271</v>
      </c>
      <c r="B272" s="4">
        <v>40555</v>
      </c>
      <c r="C272">
        <v>1</v>
      </c>
      <c r="D272">
        <v>0</v>
      </c>
      <c r="E272">
        <v>1</v>
      </c>
      <c r="F272">
        <v>17</v>
      </c>
      <c r="G272" t="b">
        <v>0</v>
      </c>
      <c r="H272">
        <v>3</v>
      </c>
      <c r="I272">
        <v>1</v>
      </c>
      <c r="J272">
        <v>0.2</v>
      </c>
      <c r="K272">
        <v>0.18179999999999999</v>
      </c>
      <c r="L272">
        <v>0.47</v>
      </c>
      <c r="M272">
        <v>0.35820000000000002</v>
      </c>
      <c r="N272">
        <v>0</v>
      </c>
      <c r="O272">
        <v>139</v>
      </c>
      <c r="P272">
        <v>139</v>
      </c>
    </row>
    <row r="273" spans="1:16" x14ac:dyDescent="0.25">
      <c r="A273">
        <v>272</v>
      </c>
      <c r="B273" s="4">
        <v>40555</v>
      </c>
      <c r="C273">
        <v>1</v>
      </c>
      <c r="D273">
        <v>0</v>
      </c>
      <c r="E273">
        <v>1</v>
      </c>
      <c r="F273">
        <v>18</v>
      </c>
      <c r="G273" t="b">
        <v>0</v>
      </c>
      <c r="H273">
        <v>3</v>
      </c>
      <c r="I273">
        <v>1</v>
      </c>
      <c r="J273">
        <v>0.2</v>
      </c>
      <c r="K273">
        <v>0.1515</v>
      </c>
      <c r="L273">
        <v>0.47</v>
      </c>
      <c r="M273">
        <v>0.52239999999999998</v>
      </c>
      <c r="N273">
        <v>2</v>
      </c>
      <c r="O273">
        <v>135</v>
      </c>
      <c r="P273">
        <v>137</v>
      </c>
    </row>
    <row r="274" spans="1:16" x14ac:dyDescent="0.25">
      <c r="A274">
        <v>273</v>
      </c>
      <c r="B274" s="4">
        <v>40555</v>
      </c>
      <c r="C274">
        <v>1</v>
      </c>
      <c r="D274">
        <v>0</v>
      </c>
      <c r="E274">
        <v>1</v>
      </c>
      <c r="F274">
        <v>19</v>
      </c>
      <c r="G274" t="b">
        <v>0</v>
      </c>
      <c r="H274">
        <v>3</v>
      </c>
      <c r="I274">
        <v>1</v>
      </c>
      <c r="J274">
        <v>0.18</v>
      </c>
      <c r="K274">
        <v>0.1515</v>
      </c>
      <c r="L274">
        <v>0.47</v>
      </c>
      <c r="M274">
        <v>0.41789999999999999</v>
      </c>
      <c r="N274">
        <v>1</v>
      </c>
      <c r="O274">
        <v>82</v>
      </c>
      <c r="P274">
        <v>83</v>
      </c>
    </row>
    <row r="275" spans="1:16" x14ac:dyDescent="0.25">
      <c r="A275">
        <v>274</v>
      </c>
      <c r="B275" s="4">
        <v>40555</v>
      </c>
      <c r="C275">
        <v>1</v>
      </c>
      <c r="D275">
        <v>0</v>
      </c>
      <c r="E275">
        <v>1</v>
      </c>
      <c r="F275">
        <v>20</v>
      </c>
      <c r="G275" t="b">
        <v>0</v>
      </c>
      <c r="H275">
        <v>3</v>
      </c>
      <c r="I275">
        <v>1</v>
      </c>
      <c r="J275">
        <v>0.16</v>
      </c>
      <c r="K275">
        <v>0.13639999999999999</v>
      </c>
      <c r="L275">
        <v>0.5</v>
      </c>
      <c r="M275">
        <v>0.32840000000000003</v>
      </c>
      <c r="N275">
        <v>2</v>
      </c>
      <c r="O275">
        <v>54</v>
      </c>
      <c r="P275">
        <v>56</v>
      </c>
    </row>
    <row r="276" spans="1:16" x14ac:dyDescent="0.25">
      <c r="A276">
        <v>275</v>
      </c>
      <c r="B276" s="4">
        <v>40555</v>
      </c>
      <c r="C276">
        <v>1</v>
      </c>
      <c r="D276">
        <v>0</v>
      </c>
      <c r="E276">
        <v>1</v>
      </c>
      <c r="F276">
        <v>21</v>
      </c>
      <c r="G276" t="b">
        <v>0</v>
      </c>
      <c r="H276">
        <v>3</v>
      </c>
      <c r="I276">
        <v>1</v>
      </c>
      <c r="J276">
        <v>0.16</v>
      </c>
      <c r="K276">
        <v>0.13639999999999999</v>
      </c>
      <c r="L276">
        <v>0.55000000000000004</v>
      </c>
      <c r="M276">
        <v>0.32840000000000003</v>
      </c>
      <c r="N276">
        <v>0</v>
      </c>
      <c r="O276">
        <v>57</v>
      </c>
      <c r="P276">
        <v>57</v>
      </c>
    </row>
    <row r="277" spans="1:16" x14ac:dyDescent="0.25">
      <c r="A277">
        <v>276</v>
      </c>
      <c r="B277" s="4">
        <v>40555</v>
      </c>
      <c r="C277">
        <v>1</v>
      </c>
      <c r="D277">
        <v>0</v>
      </c>
      <c r="E277">
        <v>1</v>
      </c>
      <c r="F277">
        <v>22</v>
      </c>
      <c r="G277" t="b">
        <v>0</v>
      </c>
      <c r="H277">
        <v>3</v>
      </c>
      <c r="I277">
        <v>1</v>
      </c>
      <c r="J277">
        <v>0.16</v>
      </c>
      <c r="K277">
        <v>0.1212</v>
      </c>
      <c r="L277">
        <v>0.55000000000000004</v>
      </c>
      <c r="M277">
        <v>0.44779999999999998</v>
      </c>
      <c r="N277">
        <v>1</v>
      </c>
      <c r="O277">
        <v>32</v>
      </c>
      <c r="P277">
        <v>33</v>
      </c>
    </row>
    <row r="278" spans="1:16" x14ac:dyDescent="0.25">
      <c r="A278">
        <v>277</v>
      </c>
      <c r="B278" s="4">
        <v>40555</v>
      </c>
      <c r="C278">
        <v>1</v>
      </c>
      <c r="D278">
        <v>0</v>
      </c>
      <c r="E278">
        <v>1</v>
      </c>
      <c r="F278">
        <v>23</v>
      </c>
      <c r="G278" t="b">
        <v>0</v>
      </c>
      <c r="H278">
        <v>3</v>
      </c>
      <c r="I278">
        <v>1</v>
      </c>
      <c r="J278">
        <v>0.14000000000000001</v>
      </c>
      <c r="K278">
        <v>0.1061</v>
      </c>
      <c r="L278">
        <v>0.59</v>
      </c>
      <c r="M278">
        <v>0.41789999999999999</v>
      </c>
      <c r="N278">
        <v>1</v>
      </c>
      <c r="O278">
        <v>19</v>
      </c>
      <c r="P278">
        <v>20</v>
      </c>
    </row>
    <row r="279" spans="1:16" x14ac:dyDescent="0.25">
      <c r="A279">
        <v>278</v>
      </c>
      <c r="B279" s="4">
        <v>40556</v>
      </c>
      <c r="C279">
        <v>1</v>
      </c>
      <c r="D279">
        <v>0</v>
      </c>
      <c r="E279">
        <v>1</v>
      </c>
      <c r="F279">
        <v>0</v>
      </c>
      <c r="G279" t="b">
        <v>0</v>
      </c>
      <c r="H279">
        <v>4</v>
      </c>
      <c r="I279">
        <v>1</v>
      </c>
      <c r="J279">
        <v>0.14000000000000001</v>
      </c>
      <c r="K279">
        <v>0.1212</v>
      </c>
      <c r="L279">
        <v>0.59</v>
      </c>
      <c r="M279">
        <v>0.28360000000000002</v>
      </c>
      <c r="N279">
        <v>1</v>
      </c>
      <c r="O279">
        <v>6</v>
      </c>
      <c r="P279">
        <v>7</v>
      </c>
    </row>
    <row r="280" spans="1:16" x14ac:dyDescent="0.25">
      <c r="A280">
        <v>279</v>
      </c>
      <c r="B280" s="4">
        <v>40556</v>
      </c>
      <c r="C280">
        <v>1</v>
      </c>
      <c r="D280">
        <v>0</v>
      </c>
      <c r="E280">
        <v>1</v>
      </c>
      <c r="F280">
        <v>1</v>
      </c>
      <c r="G280" t="b">
        <v>0</v>
      </c>
      <c r="H280">
        <v>4</v>
      </c>
      <c r="I280">
        <v>1</v>
      </c>
      <c r="J280">
        <v>0.14000000000000001</v>
      </c>
      <c r="K280">
        <v>0.1212</v>
      </c>
      <c r="L280">
        <v>0.5</v>
      </c>
      <c r="M280">
        <v>0.28360000000000002</v>
      </c>
      <c r="N280">
        <v>0</v>
      </c>
      <c r="O280">
        <v>2</v>
      </c>
      <c r="P280">
        <v>2</v>
      </c>
    </row>
    <row r="281" spans="1:16" x14ac:dyDescent="0.25">
      <c r="A281">
        <v>280</v>
      </c>
      <c r="B281" s="4">
        <v>40556</v>
      </c>
      <c r="C281">
        <v>1</v>
      </c>
      <c r="D281">
        <v>0</v>
      </c>
      <c r="E281">
        <v>1</v>
      </c>
      <c r="F281">
        <v>2</v>
      </c>
      <c r="G281" t="b">
        <v>0</v>
      </c>
      <c r="H281">
        <v>4</v>
      </c>
      <c r="I281">
        <v>1</v>
      </c>
      <c r="J281">
        <v>0.14000000000000001</v>
      </c>
      <c r="K281">
        <v>0.1212</v>
      </c>
      <c r="L281">
        <v>0.5</v>
      </c>
      <c r="M281">
        <v>0.35820000000000002</v>
      </c>
      <c r="N281">
        <v>0</v>
      </c>
      <c r="O281">
        <v>2</v>
      </c>
      <c r="P281">
        <v>2</v>
      </c>
    </row>
    <row r="282" spans="1:16" x14ac:dyDescent="0.25">
      <c r="A282">
        <v>281</v>
      </c>
      <c r="B282" s="4">
        <v>40556</v>
      </c>
      <c r="C282">
        <v>1</v>
      </c>
      <c r="D282">
        <v>0</v>
      </c>
      <c r="E282">
        <v>1</v>
      </c>
      <c r="F282">
        <v>3</v>
      </c>
      <c r="G282" t="b">
        <v>0</v>
      </c>
      <c r="H282">
        <v>4</v>
      </c>
      <c r="I282">
        <v>1</v>
      </c>
      <c r="J282">
        <v>0.14000000000000001</v>
      </c>
      <c r="K282">
        <v>0.1212</v>
      </c>
      <c r="L282">
        <v>0.5</v>
      </c>
      <c r="M282">
        <v>0.32840000000000003</v>
      </c>
      <c r="N282">
        <v>0</v>
      </c>
      <c r="O282">
        <v>3</v>
      </c>
      <c r="P282">
        <v>3</v>
      </c>
    </row>
    <row r="283" spans="1:16" x14ac:dyDescent="0.25">
      <c r="A283">
        <v>282</v>
      </c>
      <c r="B283" s="4">
        <v>40556</v>
      </c>
      <c r="C283">
        <v>1</v>
      </c>
      <c r="D283">
        <v>0</v>
      </c>
      <c r="E283">
        <v>1</v>
      </c>
      <c r="F283">
        <v>4</v>
      </c>
      <c r="G283" t="b">
        <v>0</v>
      </c>
      <c r="H283">
        <v>4</v>
      </c>
      <c r="I283">
        <v>1</v>
      </c>
      <c r="J283">
        <v>0.14000000000000001</v>
      </c>
      <c r="K283">
        <v>0.1212</v>
      </c>
      <c r="L283">
        <v>0.5</v>
      </c>
      <c r="M283">
        <v>0.25369999999999998</v>
      </c>
      <c r="N283">
        <v>0</v>
      </c>
      <c r="O283">
        <v>4</v>
      </c>
      <c r="P283">
        <v>4</v>
      </c>
    </row>
    <row r="284" spans="1:16" x14ac:dyDescent="0.25">
      <c r="A284">
        <v>283</v>
      </c>
      <c r="B284" s="4">
        <v>40556</v>
      </c>
      <c r="C284">
        <v>1</v>
      </c>
      <c r="D284">
        <v>0</v>
      </c>
      <c r="E284">
        <v>1</v>
      </c>
      <c r="F284">
        <v>5</v>
      </c>
      <c r="G284" t="b">
        <v>0</v>
      </c>
      <c r="H284">
        <v>4</v>
      </c>
      <c r="I284">
        <v>1</v>
      </c>
      <c r="J284">
        <v>0.14000000000000001</v>
      </c>
      <c r="K284">
        <v>0.1212</v>
      </c>
      <c r="L284">
        <v>0.5</v>
      </c>
      <c r="M284">
        <v>0.29849999999999999</v>
      </c>
      <c r="N284">
        <v>0</v>
      </c>
      <c r="O284">
        <v>3</v>
      </c>
      <c r="P284">
        <v>3</v>
      </c>
    </row>
    <row r="285" spans="1:16" x14ac:dyDescent="0.25">
      <c r="A285">
        <v>284</v>
      </c>
      <c r="B285" s="4">
        <v>40556</v>
      </c>
      <c r="C285">
        <v>1</v>
      </c>
      <c r="D285">
        <v>0</v>
      </c>
      <c r="E285">
        <v>1</v>
      </c>
      <c r="F285">
        <v>6</v>
      </c>
      <c r="G285" t="b">
        <v>0</v>
      </c>
      <c r="H285">
        <v>4</v>
      </c>
      <c r="I285">
        <v>1</v>
      </c>
      <c r="J285">
        <v>0.12</v>
      </c>
      <c r="K285">
        <v>0.1515</v>
      </c>
      <c r="L285">
        <v>0.54</v>
      </c>
      <c r="M285">
        <v>0.1343</v>
      </c>
      <c r="N285">
        <v>0</v>
      </c>
      <c r="O285">
        <v>28</v>
      </c>
      <c r="P285">
        <v>28</v>
      </c>
    </row>
    <row r="286" spans="1:16" x14ac:dyDescent="0.25">
      <c r="A286">
        <v>285</v>
      </c>
      <c r="B286" s="4">
        <v>40556</v>
      </c>
      <c r="C286">
        <v>1</v>
      </c>
      <c r="D286">
        <v>0</v>
      </c>
      <c r="E286">
        <v>1</v>
      </c>
      <c r="F286">
        <v>7</v>
      </c>
      <c r="G286" t="b">
        <v>0</v>
      </c>
      <c r="H286">
        <v>4</v>
      </c>
      <c r="I286">
        <v>1</v>
      </c>
      <c r="J286">
        <v>0.12</v>
      </c>
      <c r="K286">
        <v>0.1515</v>
      </c>
      <c r="L286">
        <v>0.54</v>
      </c>
      <c r="M286">
        <v>0.1343</v>
      </c>
      <c r="N286">
        <v>0</v>
      </c>
      <c r="O286">
        <v>72</v>
      </c>
      <c r="P286">
        <v>72</v>
      </c>
    </row>
    <row r="287" spans="1:16" x14ac:dyDescent="0.25">
      <c r="A287">
        <v>286</v>
      </c>
      <c r="B287" s="4">
        <v>40556</v>
      </c>
      <c r="C287">
        <v>1</v>
      </c>
      <c r="D287">
        <v>0</v>
      </c>
      <c r="E287">
        <v>1</v>
      </c>
      <c r="F287">
        <v>8</v>
      </c>
      <c r="G287" t="b">
        <v>0</v>
      </c>
      <c r="H287">
        <v>4</v>
      </c>
      <c r="I287">
        <v>1</v>
      </c>
      <c r="J287">
        <v>0.14000000000000001</v>
      </c>
      <c r="K287">
        <v>0.13639999999999999</v>
      </c>
      <c r="L287">
        <v>0.5</v>
      </c>
      <c r="M287">
        <v>0.19400000000000001</v>
      </c>
      <c r="N287">
        <v>5</v>
      </c>
      <c r="O287">
        <v>197</v>
      </c>
      <c r="P287">
        <v>202</v>
      </c>
    </row>
    <row r="288" spans="1:16" x14ac:dyDescent="0.25">
      <c r="A288">
        <v>287</v>
      </c>
      <c r="B288" s="4">
        <v>40556</v>
      </c>
      <c r="C288">
        <v>1</v>
      </c>
      <c r="D288">
        <v>0</v>
      </c>
      <c r="E288">
        <v>1</v>
      </c>
      <c r="F288">
        <v>9</v>
      </c>
      <c r="G288" t="b">
        <v>0</v>
      </c>
      <c r="H288">
        <v>4</v>
      </c>
      <c r="I288">
        <v>1</v>
      </c>
      <c r="J288">
        <v>0.14000000000000001</v>
      </c>
      <c r="K288">
        <v>0.1212</v>
      </c>
      <c r="L288">
        <v>0.5</v>
      </c>
      <c r="M288">
        <v>0.32840000000000003</v>
      </c>
      <c r="N288">
        <v>2</v>
      </c>
      <c r="O288">
        <v>137</v>
      </c>
      <c r="P288">
        <v>139</v>
      </c>
    </row>
    <row r="289" spans="1:16" x14ac:dyDescent="0.25">
      <c r="A289">
        <v>288</v>
      </c>
      <c r="B289" s="4">
        <v>40556</v>
      </c>
      <c r="C289">
        <v>1</v>
      </c>
      <c r="D289">
        <v>0</v>
      </c>
      <c r="E289">
        <v>1</v>
      </c>
      <c r="F289">
        <v>10</v>
      </c>
      <c r="G289" t="b">
        <v>0</v>
      </c>
      <c r="H289">
        <v>4</v>
      </c>
      <c r="I289">
        <v>2</v>
      </c>
      <c r="J289">
        <v>0.16</v>
      </c>
      <c r="K289">
        <v>0.13639999999999999</v>
      </c>
      <c r="L289">
        <v>0.5</v>
      </c>
      <c r="M289">
        <v>0.35820000000000002</v>
      </c>
      <c r="N289">
        <v>2</v>
      </c>
      <c r="O289">
        <v>36</v>
      </c>
      <c r="P289">
        <v>38</v>
      </c>
    </row>
    <row r="290" spans="1:16" x14ac:dyDescent="0.25">
      <c r="A290">
        <v>289</v>
      </c>
      <c r="B290" s="4">
        <v>40556</v>
      </c>
      <c r="C290">
        <v>1</v>
      </c>
      <c r="D290">
        <v>0</v>
      </c>
      <c r="E290">
        <v>1</v>
      </c>
      <c r="F290">
        <v>11</v>
      </c>
      <c r="G290" t="b">
        <v>0</v>
      </c>
      <c r="H290">
        <v>4</v>
      </c>
      <c r="I290">
        <v>2</v>
      </c>
      <c r="J290">
        <v>0.2</v>
      </c>
      <c r="K290">
        <v>0.16669999999999999</v>
      </c>
      <c r="L290">
        <v>0.44</v>
      </c>
      <c r="M290">
        <v>0.44779999999999998</v>
      </c>
      <c r="N290">
        <v>4</v>
      </c>
      <c r="O290">
        <v>33</v>
      </c>
      <c r="P290">
        <v>37</v>
      </c>
    </row>
    <row r="291" spans="1:16" x14ac:dyDescent="0.25">
      <c r="A291">
        <v>290</v>
      </c>
      <c r="B291" s="4">
        <v>40556</v>
      </c>
      <c r="C291">
        <v>1</v>
      </c>
      <c r="D291">
        <v>0</v>
      </c>
      <c r="E291">
        <v>1</v>
      </c>
      <c r="F291">
        <v>12</v>
      </c>
      <c r="G291" t="b">
        <v>0</v>
      </c>
      <c r="H291">
        <v>4</v>
      </c>
      <c r="I291">
        <v>1</v>
      </c>
      <c r="J291">
        <v>0.2</v>
      </c>
      <c r="K291">
        <v>0.16669999999999999</v>
      </c>
      <c r="L291">
        <v>0.44</v>
      </c>
      <c r="M291">
        <v>0.41789999999999999</v>
      </c>
      <c r="N291">
        <v>3</v>
      </c>
      <c r="O291">
        <v>49</v>
      </c>
      <c r="P291">
        <v>52</v>
      </c>
    </row>
    <row r="292" spans="1:16" x14ac:dyDescent="0.25">
      <c r="A292">
        <v>291</v>
      </c>
      <c r="B292" s="4">
        <v>40556</v>
      </c>
      <c r="C292">
        <v>1</v>
      </c>
      <c r="D292">
        <v>0</v>
      </c>
      <c r="E292">
        <v>1</v>
      </c>
      <c r="F292">
        <v>13</v>
      </c>
      <c r="G292" t="b">
        <v>0</v>
      </c>
      <c r="H292">
        <v>4</v>
      </c>
      <c r="I292">
        <v>1</v>
      </c>
      <c r="J292">
        <v>0.22</v>
      </c>
      <c r="K292">
        <v>0.19700000000000001</v>
      </c>
      <c r="L292">
        <v>0.41</v>
      </c>
      <c r="M292">
        <v>0.44779999999999998</v>
      </c>
      <c r="N292">
        <v>2</v>
      </c>
      <c r="O292">
        <v>81</v>
      </c>
      <c r="P292">
        <v>83</v>
      </c>
    </row>
    <row r="293" spans="1:16" x14ac:dyDescent="0.25">
      <c r="A293">
        <v>292</v>
      </c>
      <c r="B293" s="4">
        <v>40556</v>
      </c>
      <c r="C293">
        <v>1</v>
      </c>
      <c r="D293">
        <v>0</v>
      </c>
      <c r="E293">
        <v>1</v>
      </c>
      <c r="F293">
        <v>14</v>
      </c>
      <c r="G293" t="b">
        <v>0</v>
      </c>
      <c r="H293">
        <v>4</v>
      </c>
      <c r="I293">
        <v>1</v>
      </c>
      <c r="J293">
        <v>0.22</v>
      </c>
      <c r="K293">
        <v>0.19700000000000001</v>
      </c>
      <c r="L293">
        <v>0.41</v>
      </c>
      <c r="M293">
        <v>0.3881</v>
      </c>
      <c r="N293">
        <v>3</v>
      </c>
      <c r="O293">
        <v>39</v>
      </c>
      <c r="P293">
        <v>42</v>
      </c>
    </row>
    <row r="294" spans="1:16" x14ac:dyDescent="0.25">
      <c r="A294">
        <v>293</v>
      </c>
      <c r="B294" s="4">
        <v>40556</v>
      </c>
      <c r="C294">
        <v>1</v>
      </c>
      <c r="D294">
        <v>0</v>
      </c>
      <c r="E294">
        <v>1</v>
      </c>
      <c r="F294">
        <v>15</v>
      </c>
      <c r="G294" t="b">
        <v>0</v>
      </c>
      <c r="H294">
        <v>4</v>
      </c>
      <c r="I294">
        <v>1</v>
      </c>
      <c r="J294">
        <v>0.24</v>
      </c>
      <c r="K294">
        <v>0.21210000000000001</v>
      </c>
      <c r="L294">
        <v>0.38</v>
      </c>
      <c r="M294">
        <v>0.29849999999999999</v>
      </c>
      <c r="N294">
        <v>5</v>
      </c>
      <c r="O294">
        <v>55</v>
      </c>
      <c r="P294">
        <v>60</v>
      </c>
    </row>
    <row r="295" spans="1:16" x14ac:dyDescent="0.25">
      <c r="A295">
        <v>294</v>
      </c>
      <c r="B295" s="4">
        <v>40556</v>
      </c>
      <c r="C295">
        <v>1</v>
      </c>
      <c r="D295">
        <v>0</v>
      </c>
      <c r="E295">
        <v>1</v>
      </c>
      <c r="F295">
        <v>16</v>
      </c>
      <c r="G295" t="b">
        <v>0</v>
      </c>
      <c r="H295">
        <v>4</v>
      </c>
      <c r="I295">
        <v>1</v>
      </c>
      <c r="J295">
        <v>0.24</v>
      </c>
      <c r="K295">
        <v>0.21210000000000001</v>
      </c>
      <c r="L295">
        <v>0.38</v>
      </c>
      <c r="M295">
        <v>0.35820000000000002</v>
      </c>
      <c r="N295">
        <v>2</v>
      </c>
      <c r="O295">
        <v>76</v>
      </c>
      <c r="P295">
        <v>78</v>
      </c>
    </row>
    <row r="296" spans="1:16" x14ac:dyDescent="0.25">
      <c r="A296">
        <v>295</v>
      </c>
      <c r="B296" s="4">
        <v>40556</v>
      </c>
      <c r="C296">
        <v>1</v>
      </c>
      <c r="D296">
        <v>0</v>
      </c>
      <c r="E296">
        <v>1</v>
      </c>
      <c r="F296">
        <v>17</v>
      </c>
      <c r="G296" t="b">
        <v>0</v>
      </c>
      <c r="H296">
        <v>4</v>
      </c>
      <c r="I296">
        <v>1</v>
      </c>
      <c r="J296">
        <v>0.2</v>
      </c>
      <c r="K296">
        <v>0.18179999999999999</v>
      </c>
      <c r="L296">
        <v>0.4</v>
      </c>
      <c r="M296">
        <v>0.28360000000000002</v>
      </c>
      <c r="N296">
        <v>4</v>
      </c>
      <c r="O296">
        <v>158</v>
      </c>
      <c r="P296">
        <v>162</v>
      </c>
    </row>
    <row r="297" spans="1:16" x14ac:dyDescent="0.25">
      <c r="A297">
        <v>296</v>
      </c>
      <c r="B297" s="4">
        <v>40556</v>
      </c>
      <c r="C297">
        <v>1</v>
      </c>
      <c r="D297">
        <v>0</v>
      </c>
      <c r="E297">
        <v>1</v>
      </c>
      <c r="F297">
        <v>18</v>
      </c>
      <c r="G297" t="b">
        <v>0</v>
      </c>
      <c r="H297">
        <v>4</v>
      </c>
      <c r="I297">
        <v>1</v>
      </c>
      <c r="J297">
        <v>0.2</v>
      </c>
      <c r="K297">
        <v>0.18179999999999999</v>
      </c>
      <c r="L297">
        <v>0.4</v>
      </c>
      <c r="M297">
        <v>0.32840000000000003</v>
      </c>
      <c r="N297">
        <v>3</v>
      </c>
      <c r="O297">
        <v>141</v>
      </c>
      <c r="P297">
        <v>144</v>
      </c>
    </row>
    <row r="298" spans="1:16" x14ac:dyDescent="0.25">
      <c r="A298">
        <v>297</v>
      </c>
      <c r="B298" s="4">
        <v>40556</v>
      </c>
      <c r="C298">
        <v>1</v>
      </c>
      <c r="D298">
        <v>0</v>
      </c>
      <c r="E298">
        <v>1</v>
      </c>
      <c r="F298">
        <v>19</v>
      </c>
      <c r="G298" t="b">
        <v>0</v>
      </c>
      <c r="H298">
        <v>4</v>
      </c>
      <c r="I298">
        <v>1</v>
      </c>
      <c r="J298">
        <v>0.16</v>
      </c>
      <c r="K298">
        <v>0.1515</v>
      </c>
      <c r="L298">
        <v>0.47</v>
      </c>
      <c r="M298">
        <v>0.25369999999999998</v>
      </c>
      <c r="N298">
        <v>1</v>
      </c>
      <c r="O298">
        <v>98</v>
      </c>
      <c r="P298">
        <v>99</v>
      </c>
    </row>
    <row r="299" spans="1:16" x14ac:dyDescent="0.25">
      <c r="A299">
        <v>298</v>
      </c>
      <c r="B299" s="4">
        <v>40556</v>
      </c>
      <c r="C299">
        <v>1</v>
      </c>
      <c r="D299">
        <v>0</v>
      </c>
      <c r="E299">
        <v>1</v>
      </c>
      <c r="F299">
        <v>20</v>
      </c>
      <c r="G299" t="b">
        <v>0</v>
      </c>
      <c r="H299">
        <v>4</v>
      </c>
      <c r="I299">
        <v>1</v>
      </c>
      <c r="J299">
        <v>0.16</v>
      </c>
      <c r="K299">
        <v>0.1515</v>
      </c>
      <c r="L299">
        <v>0.47</v>
      </c>
      <c r="M299">
        <v>0.22389999999999999</v>
      </c>
      <c r="N299">
        <v>0</v>
      </c>
      <c r="O299">
        <v>64</v>
      </c>
      <c r="P299">
        <v>64</v>
      </c>
    </row>
    <row r="300" spans="1:16" x14ac:dyDescent="0.25">
      <c r="A300">
        <v>299</v>
      </c>
      <c r="B300" s="4">
        <v>40556</v>
      </c>
      <c r="C300">
        <v>1</v>
      </c>
      <c r="D300">
        <v>0</v>
      </c>
      <c r="E300">
        <v>1</v>
      </c>
      <c r="F300">
        <v>21</v>
      </c>
      <c r="G300" t="b">
        <v>0</v>
      </c>
      <c r="H300">
        <v>4</v>
      </c>
      <c r="I300">
        <v>1</v>
      </c>
      <c r="J300">
        <v>0.14000000000000001</v>
      </c>
      <c r="K300">
        <v>0.1212</v>
      </c>
      <c r="L300">
        <v>0.46</v>
      </c>
      <c r="M300">
        <v>0.29849999999999999</v>
      </c>
      <c r="N300">
        <v>0</v>
      </c>
      <c r="O300">
        <v>40</v>
      </c>
      <c r="P300">
        <v>40</v>
      </c>
    </row>
    <row r="301" spans="1:16" x14ac:dyDescent="0.25">
      <c r="A301">
        <v>300</v>
      </c>
      <c r="B301" s="4">
        <v>40556</v>
      </c>
      <c r="C301">
        <v>1</v>
      </c>
      <c r="D301">
        <v>0</v>
      </c>
      <c r="E301">
        <v>1</v>
      </c>
      <c r="F301">
        <v>22</v>
      </c>
      <c r="G301" t="b">
        <v>0</v>
      </c>
      <c r="H301">
        <v>4</v>
      </c>
      <c r="I301">
        <v>1</v>
      </c>
      <c r="J301">
        <v>0.14000000000000001</v>
      </c>
      <c r="K301">
        <v>0.1212</v>
      </c>
      <c r="L301">
        <v>0.46</v>
      </c>
      <c r="M301">
        <v>0.32840000000000003</v>
      </c>
      <c r="N301">
        <v>0</v>
      </c>
      <c r="O301">
        <v>30</v>
      </c>
      <c r="P301">
        <v>30</v>
      </c>
    </row>
    <row r="302" spans="1:16" x14ac:dyDescent="0.25">
      <c r="A302">
        <v>301</v>
      </c>
      <c r="B302" s="4">
        <v>40556</v>
      </c>
      <c r="C302">
        <v>1</v>
      </c>
      <c r="D302">
        <v>0</v>
      </c>
      <c r="E302">
        <v>1</v>
      </c>
      <c r="F302">
        <v>23</v>
      </c>
      <c r="G302" t="b">
        <v>0</v>
      </c>
      <c r="H302">
        <v>4</v>
      </c>
      <c r="I302">
        <v>1</v>
      </c>
      <c r="J302">
        <v>0.12</v>
      </c>
      <c r="K302">
        <v>0.13639999999999999</v>
      </c>
      <c r="L302">
        <v>0.5</v>
      </c>
      <c r="M302">
        <v>0.19400000000000001</v>
      </c>
      <c r="N302">
        <v>1</v>
      </c>
      <c r="O302">
        <v>14</v>
      </c>
      <c r="P302">
        <v>15</v>
      </c>
    </row>
    <row r="303" spans="1:16" x14ac:dyDescent="0.25">
      <c r="A303">
        <v>302</v>
      </c>
      <c r="B303" s="4">
        <v>40557</v>
      </c>
      <c r="C303">
        <v>1</v>
      </c>
      <c r="D303">
        <v>0</v>
      </c>
      <c r="E303">
        <v>1</v>
      </c>
      <c r="F303">
        <v>0</v>
      </c>
      <c r="G303" t="b">
        <v>0</v>
      </c>
      <c r="H303">
        <v>5</v>
      </c>
      <c r="I303">
        <v>1</v>
      </c>
      <c r="J303">
        <v>0.12</v>
      </c>
      <c r="K303">
        <v>0.13639999999999999</v>
      </c>
      <c r="L303">
        <v>0.5</v>
      </c>
      <c r="M303">
        <v>0.19400000000000001</v>
      </c>
      <c r="N303">
        <v>0</v>
      </c>
      <c r="O303">
        <v>14</v>
      </c>
      <c r="P303">
        <v>14</v>
      </c>
    </row>
    <row r="304" spans="1:16" x14ac:dyDescent="0.25">
      <c r="A304">
        <v>303</v>
      </c>
      <c r="B304" s="4">
        <v>40557</v>
      </c>
      <c r="C304">
        <v>1</v>
      </c>
      <c r="D304">
        <v>0</v>
      </c>
      <c r="E304">
        <v>1</v>
      </c>
      <c r="F304">
        <v>1</v>
      </c>
      <c r="G304" t="b">
        <v>0</v>
      </c>
      <c r="H304">
        <v>5</v>
      </c>
      <c r="I304">
        <v>1</v>
      </c>
      <c r="J304">
        <v>0.1</v>
      </c>
      <c r="K304">
        <v>0.1212</v>
      </c>
      <c r="L304">
        <v>0.54</v>
      </c>
      <c r="M304">
        <v>0.16420000000000001</v>
      </c>
      <c r="N304">
        <v>0</v>
      </c>
      <c r="O304">
        <v>5</v>
      </c>
      <c r="P304">
        <v>5</v>
      </c>
    </row>
    <row r="305" spans="1:16" x14ac:dyDescent="0.25">
      <c r="A305">
        <v>304</v>
      </c>
      <c r="B305" s="4">
        <v>40557</v>
      </c>
      <c r="C305">
        <v>1</v>
      </c>
      <c r="D305">
        <v>0</v>
      </c>
      <c r="E305">
        <v>1</v>
      </c>
      <c r="F305">
        <v>2</v>
      </c>
      <c r="G305" t="b">
        <v>0</v>
      </c>
      <c r="H305">
        <v>5</v>
      </c>
      <c r="I305">
        <v>1</v>
      </c>
      <c r="J305">
        <v>0.1</v>
      </c>
      <c r="K305">
        <v>0.1212</v>
      </c>
      <c r="L305">
        <v>0.54</v>
      </c>
      <c r="M305">
        <v>0.1343</v>
      </c>
      <c r="N305">
        <v>0</v>
      </c>
      <c r="O305">
        <v>1</v>
      </c>
      <c r="P305">
        <v>1</v>
      </c>
    </row>
    <row r="306" spans="1:16" x14ac:dyDescent="0.25">
      <c r="A306">
        <v>305</v>
      </c>
      <c r="B306" s="4">
        <v>40557</v>
      </c>
      <c r="C306">
        <v>1</v>
      </c>
      <c r="D306">
        <v>0</v>
      </c>
      <c r="E306">
        <v>1</v>
      </c>
      <c r="F306">
        <v>3</v>
      </c>
      <c r="G306" t="b">
        <v>0</v>
      </c>
      <c r="H306">
        <v>5</v>
      </c>
      <c r="I306">
        <v>1</v>
      </c>
      <c r="J306">
        <v>0.1</v>
      </c>
      <c r="K306">
        <v>0.13639999999999999</v>
      </c>
      <c r="L306">
        <v>0.54</v>
      </c>
      <c r="M306">
        <v>0.1045</v>
      </c>
      <c r="N306">
        <v>0</v>
      </c>
      <c r="O306">
        <v>1</v>
      </c>
      <c r="P306">
        <v>1</v>
      </c>
    </row>
    <row r="307" spans="1:16" x14ac:dyDescent="0.25">
      <c r="A307">
        <v>306</v>
      </c>
      <c r="B307" s="4">
        <v>40557</v>
      </c>
      <c r="C307">
        <v>1</v>
      </c>
      <c r="D307">
        <v>0</v>
      </c>
      <c r="E307">
        <v>1</v>
      </c>
      <c r="F307">
        <v>5</v>
      </c>
      <c r="G307" t="b">
        <v>0</v>
      </c>
      <c r="H307">
        <v>5</v>
      </c>
      <c r="I307">
        <v>1</v>
      </c>
      <c r="J307">
        <v>0.1</v>
      </c>
      <c r="K307">
        <v>0.13639999999999999</v>
      </c>
      <c r="L307">
        <v>0.54</v>
      </c>
      <c r="M307">
        <v>8.9599999999999999E-2</v>
      </c>
      <c r="N307">
        <v>0</v>
      </c>
      <c r="O307">
        <v>8</v>
      </c>
      <c r="P307">
        <v>8</v>
      </c>
    </row>
    <row r="308" spans="1:16" x14ac:dyDescent="0.25">
      <c r="A308">
        <v>307</v>
      </c>
      <c r="B308" s="4">
        <v>40557</v>
      </c>
      <c r="C308">
        <v>1</v>
      </c>
      <c r="D308">
        <v>0</v>
      </c>
      <c r="E308">
        <v>1</v>
      </c>
      <c r="F308">
        <v>6</v>
      </c>
      <c r="G308" t="b">
        <v>0</v>
      </c>
      <c r="H308">
        <v>5</v>
      </c>
      <c r="I308">
        <v>1</v>
      </c>
      <c r="J308">
        <v>0.1</v>
      </c>
      <c r="K308">
        <v>0.18179999999999999</v>
      </c>
      <c r="L308">
        <v>0.54</v>
      </c>
      <c r="M308">
        <v>0</v>
      </c>
      <c r="N308">
        <v>0</v>
      </c>
      <c r="O308">
        <v>17</v>
      </c>
      <c r="P308">
        <v>17</v>
      </c>
    </row>
    <row r="309" spans="1:16" x14ac:dyDescent="0.25">
      <c r="A309">
        <v>308</v>
      </c>
      <c r="B309" s="4">
        <v>40557</v>
      </c>
      <c r="C309">
        <v>1</v>
      </c>
      <c r="D309">
        <v>0</v>
      </c>
      <c r="E309">
        <v>1</v>
      </c>
      <c r="F309">
        <v>7</v>
      </c>
      <c r="G309" t="b">
        <v>0</v>
      </c>
      <c r="H309">
        <v>5</v>
      </c>
      <c r="I309">
        <v>1</v>
      </c>
      <c r="J309">
        <v>0.1</v>
      </c>
      <c r="K309">
        <v>0.1212</v>
      </c>
      <c r="L309">
        <v>0.74</v>
      </c>
      <c r="M309">
        <v>0.16420000000000001</v>
      </c>
      <c r="N309">
        <v>0</v>
      </c>
      <c r="O309">
        <v>70</v>
      </c>
      <c r="P309">
        <v>70</v>
      </c>
    </row>
    <row r="310" spans="1:16" x14ac:dyDescent="0.25">
      <c r="A310">
        <v>309</v>
      </c>
      <c r="B310" s="4">
        <v>40557</v>
      </c>
      <c r="C310">
        <v>1</v>
      </c>
      <c r="D310">
        <v>0</v>
      </c>
      <c r="E310">
        <v>1</v>
      </c>
      <c r="F310">
        <v>8</v>
      </c>
      <c r="G310" t="b">
        <v>0</v>
      </c>
      <c r="H310">
        <v>5</v>
      </c>
      <c r="I310">
        <v>1</v>
      </c>
      <c r="J310">
        <v>0.12</v>
      </c>
      <c r="K310">
        <v>0.16669999999999999</v>
      </c>
      <c r="L310">
        <v>0.68</v>
      </c>
      <c r="M310">
        <v>0</v>
      </c>
      <c r="N310">
        <v>2</v>
      </c>
      <c r="O310">
        <v>156</v>
      </c>
      <c r="P310">
        <v>158</v>
      </c>
    </row>
    <row r="311" spans="1:16" x14ac:dyDescent="0.25">
      <c r="A311">
        <v>310</v>
      </c>
      <c r="B311" s="4">
        <v>40557</v>
      </c>
      <c r="C311">
        <v>1</v>
      </c>
      <c r="D311">
        <v>0</v>
      </c>
      <c r="E311">
        <v>1</v>
      </c>
      <c r="F311">
        <v>9</v>
      </c>
      <c r="G311" t="b">
        <v>0</v>
      </c>
      <c r="H311">
        <v>5</v>
      </c>
      <c r="I311">
        <v>1</v>
      </c>
      <c r="J311">
        <v>0.14000000000000001</v>
      </c>
      <c r="K311">
        <v>0.1515</v>
      </c>
      <c r="L311">
        <v>0.69</v>
      </c>
      <c r="M311">
        <v>0.1343</v>
      </c>
      <c r="N311">
        <v>0</v>
      </c>
      <c r="O311">
        <v>117</v>
      </c>
      <c r="P311">
        <v>117</v>
      </c>
    </row>
    <row r="312" spans="1:16" x14ac:dyDescent="0.25">
      <c r="A312">
        <v>311</v>
      </c>
      <c r="B312" s="4">
        <v>40557</v>
      </c>
      <c r="C312">
        <v>1</v>
      </c>
      <c r="D312">
        <v>0</v>
      </c>
      <c r="E312">
        <v>1</v>
      </c>
      <c r="F312">
        <v>10</v>
      </c>
      <c r="G312" t="b">
        <v>0</v>
      </c>
      <c r="H312">
        <v>5</v>
      </c>
      <c r="I312">
        <v>1</v>
      </c>
      <c r="J312">
        <v>0.18</v>
      </c>
      <c r="K312">
        <v>0.18179999999999999</v>
      </c>
      <c r="L312">
        <v>0.55000000000000004</v>
      </c>
      <c r="M312">
        <v>0.19400000000000001</v>
      </c>
      <c r="N312">
        <v>4</v>
      </c>
      <c r="O312">
        <v>40</v>
      </c>
      <c r="P312">
        <v>44</v>
      </c>
    </row>
    <row r="313" spans="1:16" x14ac:dyDescent="0.25">
      <c r="A313">
        <v>312</v>
      </c>
      <c r="B313" s="4">
        <v>40557</v>
      </c>
      <c r="C313">
        <v>1</v>
      </c>
      <c r="D313">
        <v>0</v>
      </c>
      <c r="E313">
        <v>1</v>
      </c>
      <c r="F313">
        <v>11</v>
      </c>
      <c r="G313" t="b">
        <v>0</v>
      </c>
      <c r="H313">
        <v>5</v>
      </c>
      <c r="I313">
        <v>1</v>
      </c>
      <c r="J313">
        <v>0.18</v>
      </c>
      <c r="K313">
        <v>0.16669999999999999</v>
      </c>
      <c r="L313">
        <v>0.51</v>
      </c>
      <c r="M313">
        <v>0.28360000000000002</v>
      </c>
      <c r="N313">
        <v>6</v>
      </c>
      <c r="O313">
        <v>47</v>
      </c>
      <c r="P313">
        <v>53</v>
      </c>
    </row>
    <row r="314" spans="1:16" x14ac:dyDescent="0.25">
      <c r="A314">
        <v>313</v>
      </c>
      <c r="B314" s="4">
        <v>40557</v>
      </c>
      <c r="C314">
        <v>1</v>
      </c>
      <c r="D314">
        <v>0</v>
      </c>
      <c r="E314">
        <v>1</v>
      </c>
      <c r="F314">
        <v>12</v>
      </c>
      <c r="G314" t="b">
        <v>0</v>
      </c>
      <c r="H314">
        <v>5</v>
      </c>
      <c r="I314">
        <v>1</v>
      </c>
      <c r="J314">
        <v>0.2</v>
      </c>
      <c r="K314">
        <v>0.19700000000000001</v>
      </c>
      <c r="L314">
        <v>0.44</v>
      </c>
      <c r="M314">
        <v>0.25369999999999998</v>
      </c>
      <c r="N314">
        <v>2</v>
      </c>
      <c r="O314">
        <v>59</v>
      </c>
      <c r="P314">
        <v>61</v>
      </c>
    </row>
    <row r="315" spans="1:16" x14ac:dyDescent="0.25">
      <c r="A315">
        <v>314</v>
      </c>
      <c r="B315" s="4">
        <v>40557</v>
      </c>
      <c r="C315">
        <v>1</v>
      </c>
      <c r="D315">
        <v>0</v>
      </c>
      <c r="E315">
        <v>1</v>
      </c>
      <c r="F315">
        <v>13</v>
      </c>
      <c r="G315" t="b">
        <v>0</v>
      </c>
      <c r="H315">
        <v>5</v>
      </c>
      <c r="I315">
        <v>1</v>
      </c>
      <c r="J315">
        <v>0.22</v>
      </c>
      <c r="K315">
        <v>0.19700000000000001</v>
      </c>
      <c r="L315">
        <v>0.37</v>
      </c>
      <c r="M315">
        <v>0.3881</v>
      </c>
      <c r="N315">
        <v>4</v>
      </c>
      <c r="O315">
        <v>73</v>
      </c>
      <c r="P315">
        <v>77</v>
      </c>
    </row>
    <row r="316" spans="1:16" x14ac:dyDescent="0.25">
      <c r="A316">
        <v>315</v>
      </c>
      <c r="B316" s="4">
        <v>40557</v>
      </c>
      <c r="C316">
        <v>1</v>
      </c>
      <c r="D316">
        <v>0</v>
      </c>
      <c r="E316">
        <v>1</v>
      </c>
      <c r="F316">
        <v>14</v>
      </c>
      <c r="G316" t="b">
        <v>0</v>
      </c>
      <c r="H316">
        <v>5</v>
      </c>
      <c r="I316">
        <v>1</v>
      </c>
      <c r="J316">
        <v>0.22</v>
      </c>
      <c r="K316">
        <v>0.21210000000000001</v>
      </c>
      <c r="L316">
        <v>0.41</v>
      </c>
      <c r="M316">
        <v>0.28360000000000002</v>
      </c>
      <c r="N316">
        <v>5</v>
      </c>
      <c r="O316">
        <v>59</v>
      </c>
      <c r="P316">
        <v>64</v>
      </c>
    </row>
    <row r="317" spans="1:16" x14ac:dyDescent="0.25">
      <c r="A317">
        <v>316</v>
      </c>
      <c r="B317" s="4">
        <v>40557</v>
      </c>
      <c r="C317">
        <v>1</v>
      </c>
      <c r="D317">
        <v>0</v>
      </c>
      <c r="E317">
        <v>1</v>
      </c>
      <c r="F317">
        <v>15</v>
      </c>
      <c r="G317" t="b">
        <v>0</v>
      </c>
      <c r="H317">
        <v>5</v>
      </c>
      <c r="I317">
        <v>1</v>
      </c>
      <c r="J317">
        <v>0.24</v>
      </c>
      <c r="K317">
        <v>0.2424</v>
      </c>
      <c r="L317">
        <v>0.38</v>
      </c>
      <c r="M317">
        <v>0.16420000000000001</v>
      </c>
      <c r="N317">
        <v>9</v>
      </c>
      <c r="O317">
        <v>59</v>
      </c>
      <c r="P317">
        <v>68</v>
      </c>
    </row>
    <row r="318" spans="1:16" x14ac:dyDescent="0.25">
      <c r="A318">
        <v>317</v>
      </c>
      <c r="B318" s="4">
        <v>40557</v>
      </c>
      <c r="C318">
        <v>1</v>
      </c>
      <c r="D318">
        <v>0</v>
      </c>
      <c r="E318">
        <v>1</v>
      </c>
      <c r="F318">
        <v>16</v>
      </c>
      <c r="G318" t="b">
        <v>0</v>
      </c>
      <c r="H318">
        <v>5</v>
      </c>
      <c r="I318">
        <v>1</v>
      </c>
      <c r="J318">
        <v>0.22</v>
      </c>
      <c r="K318">
        <v>0.2424</v>
      </c>
      <c r="L318">
        <v>0.41</v>
      </c>
      <c r="M318">
        <v>0.1045</v>
      </c>
      <c r="N318">
        <v>3</v>
      </c>
      <c r="O318">
        <v>87</v>
      </c>
      <c r="P318">
        <v>90</v>
      </c>
    </row>
    <row r="319" spans="1:16" x14ac:dyDescent="0.25">
      <c r="A319">
        <v>318</v>
      </c>
      <c r="B319" s="4">
        <v>40557</v>
      </c>
      <c r="C319">
        <v>1</v>
      </c>
      <c r="D319">
        <v>0</v>
      </c>
      <c r="E319">
        <v>1</v>
      </c>
      <c r="F319">
        <v>17</v>
      </c>
      <c r="G319" t="b">
        <v>0</v>
      </c>
      <c r="H319">
        <v>5</v>
      </c>
      <c r="I319">
        <v>1</v>
      </c>
      <c r="J319">
        <v>0.22</v>
      </c>
      <c r="K319">
        <v>0.2273</v>
      </c>
      <c r="L319">
        <v>0.41</v>
      </c>
      <c r="M319">
        <v>0.16420000000000001</v>
      </c>
      <c r="N319">
        <v>4</v>
      </c>
      <c r="O319">
        <v>155</v>
      </c>
      <c r="P319">
        <v>159</v>
      </c>
    </row>
    <row r="320" spans="1:16" x14ac:dyDescent="0.25">
      <c r="A320">
        <v>319</v>
      </c>
      <c r="B320" s="4">
        <v>40557</v>
      </c>
      <c r="C320">
        <v>1</v>
      </c>
      <c r="D320">
        <v>0</v>
      </c>
      <c r="E320">
        <v>1</v>
      </c>
      <c r="F320">
        <v>18</v>
      </c>
      <c r="G320" t="b">
        <v>0</v>
      </c>
      <c r="H320">
        <v>5</v>
      </c>
      <c r="I320">
        <v>1</v>
      </c>
      <c r="J320">
        <v>0.2</v>
      </c>
      <c r="K320">
        <v>0.2576</v>
      </c>
      <c r="L320">
        <v>0.47</v>
      </c>
      <c r="M320">
        <v>0</v>
      </c>
      <c r="N320">
        <v>5</v>
      </c>
      <c r="O320">
        <v>134</v>
      </c>
      <c r="P320">
        <v>139</v>
      </c>
    </row>
    <row r="321" spans="1:16" x14ac:dyDescent="0.25">
      <c r="A321">
        <v>320</v>
      </c>
      <c r="B321" s="4">
        <v>40557</v>
      </c>
      <c r="C321">
        <v>1</v>
      </c>
      <c r="D321">
        <v>0</v>
      </c>
      <c r="E321">
        <v>1</v>
      </c>
      <c r="F321">
        <v>19</v>
      </c>
      <c r="G321" t="b">
        <v>0</v>
      </c>
      <c r="H321">
        <v>5</v>
      </c>
      <c r="I321">
        <v>1</v>
      </c>
      <c r="J321">
        <v>0.16</v>
      </c>
      <c r="K321">
        <v>0.19700000000000001</v>
      </c>
      <c r="L321">
        <v>0.59</v>
      </c>
      <c r="M321">
        <v>8.9599999999999999E-2</v>
      </c>
      <c r="N321">
        <v>3</v>
      </c>
      <c r="O321">
        <v>89</v>
      </c>
      <c r="P321">
        <v>92</v>
      </c>
    </row>
    <row r="322" spans="1:16" x14ac:dyDescent="0.25">
      <c r="A322">
        <v>321</v>
      </c>
      <c r="B322" s="4">
        <v>40557</v>
      </c>
      <c r="C322">
        <v>1</v>
      </c>
      <c r="D322">
        <v>0</v>
      </c>
      <c r="E322">
        <v>1</v>
      </c>
      <c r="F322">
        <v>20</v>
      </c>
      <c r="G322" t="b">
        <v>0</v>
      </c>
      <c r="H322">
        <v>5</v>
      </c>
      <c r="I322">
        <v>1</v>
      </c>
      <c r="J322">
        <v>0.18</v>
      </c>
      <c r="K322">
        <v>0.2424</v>
      </c>
      <c r="L322">
        <v>0.59</v>
      </c>
      <c r="M322">
        <v>0</v>
      </c>
      <c r="N322">
        <v>0</v>
      </c>
      <c r="O322">
        <v>68</v>
      </c>
      <c r="P322">
        <v>68</v>
      </c>
    </row>
    <row r="323" spans="1:16" x14ac:dyDescent="0.25">
      <c r="A323">
        <v>322</v>
      </c>
      <c r="B323" s="4">
        <v>40557</v>
      </c>
      <c r="C323">
        <v>1</v>
      </c>
      <c r="D323">
        <v>0</v>
      </c>
      <c r="E323">
        <v>1</v>
      </c>
      <c r="F323">
        <v>21</v>
      </c>
      <c r="G323" t="b">
        <v>0</v>
      </c>
      <c r="H323">
        <v>5</v>
      </c>
      <c r="I323">
        <v>1</v>
      </c>
      <c r="J323">
        <v>0.16</v>
      </c>
      <c r="K323">
        <v>0.2273</v>
      </c>
      <c r="L323">
        <v>0.69</v>
      </c>
      <c r="M323">
        <v>0</v>
      </c>
      <c r="N323">
        <v>4</v>
      </c>
      <c r="O323">
        <v>48</v>
      </c>
      <c r="P323">
        <v>52</v>
      </c>
    </row>
    <row r="324" spans="1:16" x14ac:dyDescent="0.25">
      <c r="A324">
        <v>323</v>
      </c>
      <c r="B324" s="4">
        <v>40557</v>
      </c>
      <c r="C324">
        <v>1</v>
      </c>
      <c r="D324">
        <v>0</v>
      </c>
      <c r="E324">
        <v>1</v>
      </c>
      <c r="F324">
        <v>22</v>
      </c>
      <c r="G324" t="b">
        <v>0</v>
      </c>
      <c r="H324">
        <v>5</v>
      </c>
      <c r="I324">
        <v>2</v>
      </c>
      <c r="J324">
        <v>0.16</v>
      </c>
      <c r="K324">
        <v>0.2273</v>
      </c>
      <c r="L324">
        <v>0.69</v>
      </c>
      <c r="M324">
        <v>0</v>
      </c>
      <c r="N324">
        <v>2</v>
      </c>
      <c r="O324">
        <v>34</v>
      </c>
      <c r="P324">
        <v>36</v>
      </c>
    </row>
    <row r="325" spans="1:16" x14ac:dyDescent="0.25">
      <c r="A325">
        <v>324</v>
      </c>
      <c r="B325" s="4">
        <v>40557</v>
      </c>
      <c r="C325">
        <v>1</v>
      </c>
      <c r="D325">
        <v>0</v>
      </c>
      <c r="E325">
        <v>1</v>
      </c>
      <c r="F325">
        <v>23</v>
      </c>
      <c r="G325" t="b">
        <v>0</v>
      </c>
      <c r="H325">
        <v>5</v>
      </c>
      <c r="I325">
        <v>2</v>
      </c>
      <c r="J325">
        <v>0.18</v>
      </c>
      <c r="K325">
        <v>0.2424</v>
      </c>
      <c r="L325">
        <v>0.55000000000000004</v>
      </c>
      <c r="M325">
        <v>0</v>
      </c>
      <c r="N325">
        <v>1</v>
      </c>
      <c r="O325">
        <v>26</v>
      </c>
      <c r="P325">
        <v>27</v>
      </c>
    </row>
    <row r="326" spans="1:16" x14ac:dyDescent="0.25">
      <c r="A326">
        <v>325</v>
      </c>
      <c r="B326" s="4">
        <v>40558</v>
      </c>
      <c r="C326">
        <v>1</v>
      </c>
      <c r="D326">
        <v>0</v>
      </c>
      <c r="E326">
        <v>1</v>
      </c>
      <c r="F326">
        <v>0</v>
      </c>
      <c r="G326" t="b">
        <v>0</v>
      </c>
      <c r="H326">
        <v>6</v>
      </c>
      <c r="I326">
        <v>1</v>
      </c>
      <c r="J326">
        <v>0.18</v>
      </c>
      <c r="K326">
        <v>0.2424</v>
      </c>
      <c r="L326">
        <v>0.55000000000000004</v>
      </c>
      <c r="M326">
        <v>0</v>
      </c>
      <c r="N326">
        <v>3</v>
      </c>
      <c r="O326">
        <v>25</v>
      </c>
      <c r="P326">
        <v>28</v>
      </c>
    </row>
    <row r="327" spans="1:16" x14ac:dyDescent="0.25">
      <c r="A327">
        <v>326</v>
      </c>
      <c r="B327" s="4">
        <v>40558</v>
      </c>
      <c r="C327">
        <v>1</v>
      </c>
      <c r="D327">
        <v>0</v>
      </c>
      <c r="E327">
        <v>1</v>
      </c>
      <c r="F327">
        <v>1</v>
      </c>
      <c r="G327" t="b">
        <v>0</v>
      </c>
      <c r="H327">
        <v>6</v>
      </c>
      <c r="I327">
        <v>2</v>
      </c>
      <c r="J327">
        <v>0.16</v>
      </c>
      <c r="K327">
        <v>0.19700000000000001</v>
      </c>
      <c r="L327">
        <v>0.59</v>
      </c>
      <c r="M327">
        <v>8.9599999999999999E-2</v>
      </c>
      <c r="N327">
        <v>2</v>
      </c>
      <c r="O327">
        <v>18</v>
      </c>
      <c r="P327">
        <v>20</v>
      </c>
    </row>
    <row r="328" spans="1:16" x14ac:dyDescent="0.25">
      <c r="A328">
        <v>327</v>
      </c>
      <c r="B328" s="4">
        <v>40558</v>
      </c>
      <c r="C328">
        <v>1</v>
      </c>
      <c r="D328">
        <v>0</v>
      </c>
      <c r="E328">
        <v>1</v>
      </c>
      <c r="F328">
        <v>2</v>
      </c>
      <c r="G328" t="b">
        <v>0</v>
      </c>
      <c r="H328">
        <v>6</v>
      </c>
      <c r="I328">
        <v>2</v>
      </c>
      <c r="J328">
        <v>0.16</v>
      </c>
      <c r="K328">
        <v>0.19700000000000001</v>
      </c>
      <c r="L328">
        <v>0.59</v>
      </c>
      <c r="M328">
        <v>8.9599999999999999E-2</v>
      </c>
      <c r="N328">
        <v>0</v>
      </c>
      <c r="O328">
        <v>12</v>
      </c>
      <c r="P328">
        <v>12</v>
      </c>
    </row>
    <row r="329" spans="1:16" x14ac:dyDescent="0.25">
      <c r="A329">
        <v>328</v>
      </c>
      <c r="B329" s="4">
        <v>40558</v>
      </c>
      <c r="C329">
        <v>1</v>
      </c>
      <c r="D329">
        <v>0</v>
      </c>
      <c r="E329">
        <v>1</v>
      </c>
      <c r="F329">
        <v>3</v>
      </c>
      <c r="G329" t="b">
        <v>0</v>
      </c>
      <c r="H329">
        <v>6</v>
      </c>
      <c r="I329">
        <v>2</v>
      </c>
      <c r="J329">
        <v>0.16</v>
      </c>
      <c r="K329">
        <v>0.2273</v>
      </c>
      <c r="L329">
        <v>0.59</v>
      </c>
      <c r="M329">
        <v>0</v>
      </c>
      <c r="N329">
        <v>1</v>
      </c>
      <c r="O329">
        <v>7</v>
      </c>
      <c r="P329">
        <v>8</v>
      </c>
    </row>
    <row r="330" spans="1:16" x14ac:dyDescent="0.25">
      <c r="A330">
        <v>329</v>
      </c>
      <c r="B330" s="4">
        <v>40558</v>
      </c>
      <c r="C330">
        <v>1</v>
      </c>
      <c r="D330">
        <v>0</v>
      </c>
      <c r="E330">
        <v>1</v>
      </c>
      <c r="F330">
        <v>4</v>
      </c>
      <c r="G330" t="b">
        <v>0</v>
      </c>
      <c r="H330">
        <v>6</v>
      </c>
      <c r="I330">
        <v>2</v>
      </c>
      <c r="J330">
        <v>0.16</v>
      </c>
      <c r="K330">
        <v>0.2273</v>
      </c>
      <c r="L330">
        <v>0.59</v>
      </c>
      <c r="M330">
        <v>0</v>
      </c>
      <c r="N330">
        <v>0</v>
      </c>
      <c r="O330">
        <v>5</v>
      </c>
      <c r="P330">
        <v>5</v>
      </c>
    </row>
    <row r="331" spans="1:16" x14ac:dyDescent="0.25">
      <c r="A331">
        <v>330</v>
      </c>
      <c r="B331" s="4">
        <v>40558</v>
      </c>
      <c r="C331">
        <v>1</v>
      </c>
      <c r="D331">
        <v>0</v>
      </c>
      <c r="E331">
        <v>1</v>
      </c>
      <c r="F331">
        <v>5</v>
      </c>
      <c r="G331" t="b">
        <v>0</v>
      </c>
      <c r="H331">
        <v>6</v>
      </c>
      <c r="I331">
        <v>1</v>
      </c>
      <c r="J331">
        <v>0.16</v>
      </c>
      <c r="K331">
        <v>0.2273</v>
      </c>
      <c r="L331">
        <v>0.59</v>
      </c>
      <c r="M331">
        <v>0</v>
      </c>
      <c r="N331">
        <v>0</v>
      </c>
      <c r="O331">
        <v>1</v>
      </c>
      <c r="P331">
        <v>1</v>
      </c>
    </row>
    <row r="332" spans="1:16" x14ac:dyDescent="0.25">
      <c r="A332">
        <v>331</v>
      </c>
      <c r="B332" s="4">
        <v>40558</v>
      </c>
      <c r="C332">
        <v>1</v>
      </c>
      <c r="D332">
        <v>0</v>
      </c>
      <c r="E332">
        <v>1</v>
      </c>
      <c r="F332">
        <v>6</v>
      </c>
      <c r="G332" t="b">
        <v>0</v>
      </c>
      <c r="H332">
        <v>6</v>
      </c>
      <c r="I332">
        <v>1</v>
      </c>
      <c r="J332">
        <v>0.14000000000000001</v>
      </c>
      <c r="K332">
        <v>0.16669999999999999</v>
      </c>
      <c r="L332">
        <v>0.63</v>
      </c>
      <c r="M332">
        <v>0.1045</v>
      </c>
      <c r="N332">
        <v>1</v>
      </c>
      <c r="O332">
        <v>2</v>
      </c>
      <c r="P332">
        <v>3</v>
      </c>
    </row>
    <row r="333" spans="1:16" x14ac:dyDescent="0.25">
      <c r="A333">
        <v>332</v>
      </c>
      <c r="B333" s="4">
        <v>40558</v>
      </c>
      <c r="C333">
        <v>1</v>
      </c>
      <c r="D333">
        <v>0</v>
      </c>
      <c r="E333">
        <v>1</v>
      </c>
      <c r="F333">
        <v>7</v>
      </c>
      <c r="G333" t="b">
        <v>0</v>
      </c>
      <c r="H333">
        <v>6</v>
      </c>
      <c r="I333">
        <v>1</v>
      </c>
      <c r="J333">
        <v>0.14000000000000001</v>
      </c>
      <c r="K333">
        <v>0.21210000000000001</v>
      </c>
      <c r="L333">
        <v>0.63</v>
      </c>
      <c r="M333">
        <v>0</v>
      </c>
      <c r="N333">
        <v>1</v>
      </c>
      <c r="O333">
        <v>9</v>
      </c>
      <c r="P333">
        <v>10</v>
      </c>
    </row>
    <row r="334" spans="1:16" x14ac:dyDescent="0.25">
      <c r="A334">
        <v>333</v>
      </c>
      <c r="B334" s="4">
        <v>40558</v>
      </c>
      <c r="C334">
        <v>1</v>
      </c>
      <c r="D334">
        <v>0</v>
      </c>
      <c r="E334">
        <v>1</v>
      </c>
      <c r="F334">
        <v>8</v>
      </c>
      <c r="G334" t="b">
        <v>0</v>
      </c>
      <c r="H334">
        <v>6</v>
      </c>
      <c r="I334">
        <v>1</v>
      </c>
      <c r="J334">
        <v>0.14000000000000001</v>
      </c>
      <c r="K334">
        <v>0.1515</v>
      </c>
      <c r="L334">
        <v>0.63</v>
      </c>
      <c r="M334">
        <v>0.1343</v>
      </c>
      <c r="N334">
        <v>1</v>
      </c>
      <c r="O334">
        <v>22</v>
      </c>
      <c r="P334">
        <v>23</v>
      </c>
    </row>
    <row r="335" spans="1:16" x14ac:dyDescent="0.25">
      <c r="A335">
        <v>334</v>
      </c>
      <c r="B335" s="4">
        <v>40558</v>
      </c>
      <c r="C335">
        <v>1</v>
      </c>
      <c r="D335">
        <v>0</v>
      </c>
      <c r="E335">
        <v>1</v>
      </c>
      <c r="F335">
        <v>9</v>
      </c>
      <c r="G335" t="b">
        <v>0</v>
      </c>
      <c r="H335">
        <v>6</v>
      </c>
      <c r="I335">
        <v>1</v>
      </c>
      <c r="J335">
        <v>0.16</v>
      </c>
      <c r="K335">
        <v>0.18179999999999999</v>
      </c>
      <c r="L335">
        <v>0.64</v>
      </c>
      <c r="M335">
        <v>0.1343</v>
      </c>
      <c r="N335">
        <v>2</v>
      </c>
      <c r="O335">
        <v>31</v>
      </c>
      <c r="P335">
        <v>33</v>
      </c>
    </row>
    <row r="336" spans="1:16" x14ac:dyDescent="0.25">
      <c r="A336">
        <v>335</v>
      </c>
      <c r="B336" s="4">
        <v>40558</v>
      </c>
      <c r="C336">
        <v>1</v>
      </c>
      <c r="D336">
        <v>0</v>
      </c>
      <c r="E336">
        <v>1</v>
      </c>
      <c r="F336">
        <v>10</v>
      </c>
      <c r="G336" t="b">
        <v>0</v>
      </c>
      <c r="H336">
        <v>6</v>
      </c>
      <c r="I336">
        <v>1</v>
      </c>
      <c r="J336">
        <v>0.18</v>
      </c>
      <c r="K336">
        <v>0.19700000000000001</v>
      </c>
      <c r="L336">
        <v>0.59</v>
      </c>
      <c r="M336">
        <v>0.16420000000000001</v>
      </c>
      <c r="N336">
        <v>2</v>
      </c>
      <c r="O336">
        <v>57</v>
      </c>
      <c r="P336">
        <v>59</v>
      </c>
    </row>
    <row r="337" spans="1:16" x14ac:dyDescent="0.25">
      <c r="A337">
        <v>336</v>
      </c>
      <c r="B337" s="4">
        <v>40558</v>
      </c>
      <c r="C337">
        <v>1</v>
      </c>
      <c r="D337">
        <v>0</v>
      </c>
      <c r="E337">
        <v>1</v>
      </c>
      <c r="F337">
        <v>11</v>
      </c>
      <c r="G337" t="b">
        <v>0</v>
      </c>
      <c r="H337">
        <v>6</v>
      </c>
      <c r="I337">
        <v>1</v>
      </c>
      <c r="J337">
        <v>0.2</v>
      </c>
      <c r="K337">
        <v>0.19700000000000001</v>
      </c>
      <c r="L337">
        <v>0.55000000000000004</v>
      </c>
      <c r="M337">
        <v>0.22389999999999999</v>
      </c>
      <c r="N337">
        <v>18</v>
      </c>
      <c r="O337">
        <v>54</v>
      </c>
      <c r="P337">
        <v>72</v>
      </c>
    </row>
    <row r="338" spans="1:16" x14ac:dyDescent="0.25">
      <c r="A338">
        <v>337</v>
      </c>
      <c r="B338" s="4">
        <v>40558</v>
      </c>
      <c r="C338">
        <v>1</v>
      </c>
      <c r="D338">
        <v>0</v>
      </c>
      <c r="E338">
        <v>1</v>
      </c>
      <c r="F338">
        <v>12</v>
      </c>
      <c r="G338" t="b">
        <v>0</v>
      </c>
      <c r="H338">
        <v>6</v>
      </c>
      <c r="I338">
        <v>1</v>
      </c>
      <c r="J338">
        <v>0.24</v>
      </c>
      <c r="K338">
        <v>0.2273</v>
      </c>
      <c r="L338">
        <v>0.48</v>
      </c>
      <c r="M338">
        <v>0.22389999999999999</v>
      </c>
      <c r="N338">
        <v>15</v>
      </c>
      <c r="O338">
        <v>74</v>
      </c>
      <c r="P338">
        <v>89</v>
      </c>
    </row>
    <row r="339" spans="1:16" x14ac:dyDescent="0.25">
      <c r="A339">
        <v>338</v>
      </c>
      <c r="B339" s="4">
        <v>40558</v>
      </c>
      <c r="C339">
        <v>1</v>
      </c>
      <c r="D339">
        <v>0</v>
      </c>
      <c r="E339">
        <v>1</v>
      </c>
      <c r="F339">
        <v>13</v>
      </c>
      <c r="G339" t="b">
        <v>0</v>
      </c>
      <c r="H339">
        <v>6</v>
      </c>
      <c r="I339">
        <v>1</v>
      </c>
      <c r="J339">
        <v>0.28000000000000003</v>
      </c>
      <c r="K339">
        <v>0.2576</v>
      </c>
      <c r="L339">
        <v>0.38</v>
      </c>
      <c r="M339">
        <v>0.29849999999999999</v>
      </c>
      <c r="N339">
        <v>21</v>
      </c>
      <c r="O339">
        <v>80</v>
      </c>
      <c r="P339">
        <v>101</v>
      </c>
    </row>
    <row r="340" spans="1:16" x14ac:dyDescent="0.25">
      <c r="A340">
        <v>339</v>
      </c>
      <c r="B340" s="4">
        <v>40558</v>
      </c>
      <c r="C340">
        <v>1</v>
      </c>
      <c r="D340">
        <v>0</v>
      </c>
      <c r="E340">
        <v>1</v>
      </c>
      <c r="F340">
        <v>14</v>
      </c>
      <c r="G340" t="b">
        <v>0</v>
      </c>
      <c r="H340">
        <v>6</v>
      </c>
      <c r="I340">
        <v>1</v>
      </c>
      <c r="J340">
        <v>0.3</v>
      </c>
      <c r="K340">
        <v>0.28789999999999999</v>
      </c>
      <c r="L340">
        <v>0.39</v>
      </c>
      <c r="M340">
        <v>0.28360000000000002</v>
      </c>
      <c r="N340">
        <v>26</v>
      </c>
      <c r="O340">
        <v>92</v>
      </c>
      <c r="P340">
        <v>118</v>
      </c>
    </row>
    <row r="341" spans="1:16" x14ac:dyDescent="0.25">
      <c r="A341">
        <v>340</v>
      </c>
      <c r="B341" s="4">
        <v>40558</v>
      </c>
      <c r="C341">
        <v>1</v>
      </c>
      <c r="D341">
        <v>0</v>
      </c>
      <c r="E341">
        <v>1</v>
      </c>
      <c r="F341">
        <v>15</v>
      </c>
      <c r="G341" t="b">
        <v>0</v>
      </c>
      <c r="H341">
        <v>6</v>
      </c>
      <c r="I341">
        <v>2</v>
      </c>
      <c r="J341">
        <v>0.32</v>
      </c>
      <c r="K341">
        <v>0.31819999999999998</v>
      </c>
      <c r="L341">
        <v>0.36</v>
      </c>
      <c r="M341">
        <v>0.19400000000000001</v>
      </c>
      <c r="N341">
        <v>21</v>
      </c>
      <c r="O341">
        <v>108</v>
      </c>
      <c r="P341">
        <v>129</v>
      </c>
    </row>
    <row r="342" spans="1:16" x14ac:dyDescent="0.25">
      <c r="A342">
        <v>341</v>
      </c>
      <c r="B342" s="4">
        <v>40558</v>
      </c>
      <c r="C342">
        <v>1</v>
      </c>
      <c r="D342">
        <v>0</v>
      </c>
      <c r="E342">
        <v>1</v>
      </c>
      <c r="F342">
        <v>16</v>
      </c>
      <c r="G342" t="b">
        <v>0</v>
      </c>
      <c r="H342">
        <v>6</v>
      </c>
      <c r="I342">
        <v>2</v>
      </c>
      <c r="J342">
        <v>0.34</v>
      </c>
      <c r="K342">
        <v>0.33329999999999999</v>
      </c>
      <c r="L342">
        <v>0.34</v>
      </c>
      <c r="M342">
        <v>0.19400000000000001</v>
      </c>
      <c r="N342">
        <v>33</v>
      </c>
      <c r="O342">
        <v>95</v>
      </c>
      <c r="P342">
        <v>128</v>
      </c>
    </row>
    <row r="343" spans="1:16" x14ac:dyDescent="0.25">
      <c r="A343">
        <v>342</v>
      </c>
      <c r="B343" s="4">
        <v>40558</v>
      </c>
      <c r="C343">
        <v>1</v>
      </c>
      <c r="D343">
        <v>0</v>
      </c>
      <c r="E343">
        <v>1</v>
      </c>
      <c r="F343">
        <v>17</v>
      </c>
      <c r="G343" t="b">
        <v>0</v>
      </c>
      <c r="H343">
        <v>6</v>
      </c>
      <c r="I343">
        <v>2</v>
      </c>
      <c r="J343">
        <v>0.32</v>
      </c>
      <c r="K343">
        <v>0.30299999999999999</v>
      </c>
      <c r="L343">
        <v>0.36</v>
      </c>
      <c r="M343">
        <v>0.28360000000000002</v>
      </c>
      <c r="N343">
        <v>29</v>
      </c>
      <c r="O343">
        <v>54</v>
      </c>
      <c r="P343">
        <v>83</v>
      </c>
    </row>
    <row r="344" spans="1:16" x14ac:dyDescent="0.25">
      <c r="A344">
        <v>343</v>
      </c>
      <c r="B344" s="4">
        <v>40558</v>
      </c>
      <c r="C344">
        <v>1</v>
      </c>
      <c r="D344">
        <v>0</v>
      </c>
      <c r="E344">
        <v>1</v>
      </c>
      <c r="F344">
        <v>18</v>
      </c>
      <c r="G344" t="b">
        <v>0</v>
      </c>
      <c r="H344">
        <v>6</v>
      </c>
      <c r="I344">
        <v>2</v>
      </c>
      <c r="J344">
        <v>0.3</v>
      </c>
      <c r="K344">
        <v>0.28789999999999999</v>
      </c>
      <c r="L344">
        <v>0.45</v>
      </c>
      <c r="M344">
        <v>0.25369999999999998</v>
      </c>
      <c r="N344">
        <v>15</v>
      </c>
      <c r="O344">
        <v>69</v>
      </c>
      <c r="P344">
        <v>84</v>
      </c>
    </row>
    <row r="345" spans="1:16" x14ac:dyDescent="0.25">
      <c r="A345">
        <v>344</v>
      </c>
      <c r="B345" s="4">
        <v>40558</v>
      </c>
      <c r="C345">
        <v>1</v>
      </c>
      <c r="D345">
        <v>0</v>
      </c>
      <c r="E345">
        <v>1</v>
      </c>
      <c r="F345">
        <v>19</v>
      </c>
      <c r="G345" t="b">
        <v>0</v>
      </c>
      <c r="H345">
        <v>6</v>
      </c>
      <c r="I345">
        <v>2</v>
      </c>
      <c r="J345">
        <v>0.32</v>
      </c>
      <c r="K345">
        <v>0.30299999999999999</v>
      </c>
      <c r="L345">
        <v>0.39</v>
      </c>
      <c r="M345">
        <v>0.25369999999999998</v>
      </c>
      <c r="N345">
        <v>14</v>
      </c>
      <c r="O345">
        <v>60</v>
      </c>
      <c r="P345">
        <v>74</v>
      </c>
    </row>
    <row r="346" spans="1:16" x14ac:dyDescent="0.25">
      <c r="A346">
        <v>345</v>
      </c>
      <c r="B346" s="4">
        <v>40558</v>
      </c>
      <c r="C346">
        <v>1</v>
      </c>
      <c r="D346">
        <v>0</v>
      </c>
      <c r="E346">
        <v>1</v>
      </c>
      <c r="F346">
        <v>20</v>
      </c>
      <c r="G346" t="b">
        <v>0</v>
      </c>
      <c r="H346">
        <v>6</v>
      </c>
      <c r="I346">
        <v>2</v>
      </c>
      <c r="J346">
        <v>0.32</v>
      </c>
      <c r="K346">
        <v>0.30299999999999999</v>
      </c>
      <c r="L346">
        <v>0.39</v>
      </c>
      <c r="M346">
        <v>0.25369999999999998</v>
      </c>
      <c r="N346">
        <v>6</v>
      </c>
      <c r="O346">
        <v>35</v>
      </c>
      <c r="P346">
        <v>41</v>
      </c>
    </row>
    <row r="347" spans="1:16" x14ac:dyDescent="0.25">
      <c r="A347">
        <v>346</v>
      </c>
      <c r="B347" s="4">
        <v>40558</v>
      </c>
      <c r="C347">
        <v>1</v>
      </c>
      <c r="D347">
        <v>0</v>
      </c>
      <c r="E347">
        <v>1</v>
      </c>
      <c r="F347">
        <v>21</v>
      </c>
      <c r="G347" t="b">
        <v>0</v>
      </c>
      <c r="H347">
        <v>6</v>
      </c>
      <c r="I347">
        <v>2</v>
      </c>
      <c r="J347">
        <v>0.32</v>
      </c>
      <c r="K347">
        <v>0.30299999999999999</v>
      </c>
      <c r="L347">
        <v>0.39</v>
      </c>
      <c r="M347">
        <v>0.22389999999999999</v>
      </c>
      <c r="N347">
        <v>6</v>
      </c>
      <c r="O347">
        <v>51</v>
      </c>
      <c r="P347">
        <v>57</v>
      </c>
    </row>
    <row r="348" spans="1:16" x14ac:dyDescent="0.25">
      <c r="A348">
        <v>347</v>
      </c>
      <c r="B348" s="4">
        <v>40558</v>
      </c>
      <c r="C348">
        <v>1</v>
      </c>
      <c r="D348">
        <v>0</v>
      </c>
      <c r="E348">
        <v>1</v>
      </c>
      <c r="F348">
        <v>22</v>
      </c>
      <c r="G348" t="b">
        <v>0</v>
      </c>
      <c r="H348">
        <v>6</v>
      </c>
      <c r="I348">
        <v>2</v>
      </c>
      <c r="J348">
        <v>0.3</v>
      </c>
      <c r="K348">
        <v>0.31819999999999998</v>
      </c>
      <c r="L348">
        <v>0.42</v>
      </c>
      <c r="M348">
        <v>0.1045</v>
      </c>
      <c r="N348">
        <v>0</v>
      </c>
      <c r="O348">
        <v>26</v>
      </c>
      <c r="P348">
        <v>26</v>
      </c>
    </row>
    <row r="349" spans="1:16" x14ac:dyDescent="0.25">
      <c r="A349">
        <v>348</v>
      </c>
      <c r="B349" s="4">
        <v>40558</v>
      </c>
      <c r="C349">
        <v>1</v>
      </c>
      <c r="D349">
        <v>0</v>
      </c>
      <c r="E349">
        <v>1</v>
      </c>
      <c r="F349">
        <v>23</v>
      </c>
      <c r="G349" t="b">
        <v>0</v>
      </c>
      <c r="H349">
        <v>6</v>
      </c>
      <c r="I349">
        <v>1</v>
      </c>
      <c r="J349">
        <v>0.3</v>
      </c>
      <c r="K349">
        <v>0.28789999999999999</v>
      </c>
      <c r="L349">
        <v>0.45</v>
      </c>
      <c r="M349">
        <v>0.28360000000000002</v>
      </c>
      <c r="N349">
        <v>5</v>
      </c>
      <c r="O349">
        <v>39</v>
      </c>
      <c r="P349">
        <v>44</v>
      </c>
    </row>
    <row r="350" spans="1:16" x14ac:dyDescent="0.25">
      <c r="A350">
        <v>349</v>
      </c>
      <c r="B350" s="4">
        <v>40559</v>
      </c>
      <c r="C350">
        <v>1</v>
      </c>
      <c r="D350">
        <v>0</v>
      </c>
      <c r="E350">
        <v>1</v>
      </c>
      <c r="F350">
        <v>0</v>
      </c>
      <c r="G350" t="b">
        <v>0</v>
      </c>
      <c r="H350">
        <v>0</v>
      </c>
      <c r="I350">
        <v>1</v>
      </c>
      <c r="J350">
        <v>0.26</v>
      </c>
      <c r="K350">
        <v>0.30299999999999999</v>
      </c>
      <c r="L350">
        <v>0.56000000000000005</v>
      </c>
      <c r="M350">
        <v>0</v>
      </c>
      <c r="N350">
        <v>6</v>
      </c>
      <c r="O350">
        <v>33</v>
      </c>
      <c r="P350">
        <v>39</v>
      </c>
    </row>
    <row r="351" spans="1:16" x14ac:dyDescent="0.25">
      <c r="A351">
        <v>350</v>
      </c>
      <c r="B351" s="4">
        <v>40559</v>
      </c>
      <c r="C351">
        <v>1</v>
      </c>
      <c r="D351">
        <v>0</v>
      </c>
      <c r="E351">
        <v>1</v>
      </c>
      <c r="F351">
        <v>1</v>
      </c>
      <c r="G351" t="b">
        <v>0</v>
      </c>
      <c r="H351">
        <v>0</v>
      </c>
      <c r="I351">
        <v>1</v>
      </c>
      <c r="J351">
        <v>0.26</v>
      </c>
      <c r="K351">
        <v>0.2727</v>
      </c>
      <c r="L351">
        <v>0.56000000000000005</v>
      </c>
      <c r="M351">
        <v>0.1343</v>
      </c>
      <c r="N351">
        <v>4</v>
      </c>
      <c r="O351">
        <v>19</v>
      </c>
      <c r="P351">
        <v>23</v>
      </c>
    </row>
    <row r="352" spans="1:16" x14ac:dyDescent="0.25">
      <c r="A352">
        <v>351</v>
      </c>
      <c r="B352" s="4">
        <v>40559</v>
      </c>
      <c r="C352">
        <v>1</v>
      </c>
      <c r="D352">
        <v>0</v>
      </c>
      <c r="E352">
        <v>1</v>
      </c>
      <c r="F352">
        <v>2</v>
      </c>
      <c r="G352" t="b">
        <v>0</v>
      </c>
      <c r="H352">
        <v>0</v>
      </c>
      <c r="I352">
        <v>1</v>
      </c>
      <c r="J352">
        <v>0.26</v>
      </c>
      <c r="K352">
        <v>0.28789999999999999</v>
      </c>
      <c r="L352">
        <v>0.56000000000000005</v>
      </c>
      <c r="M352">
        <v>8.9599999999999999E-2</v>
      </c>
      <c r="N352">
        <v>3</v>
      </c>
      <c r="O352">
        <v>13</v>
      </c>
      <c r="P352">
        <v>16</v>
      </c>
    </row>
    <row r="353" spans="1:16" x14ac:dyDescent="0.25">
      <c r="A353">
        <v>352</v>
      </c>
      <c r="B353" s="4">
        <v>40559</v>
      </c>
      <c r="C353">
        <v>1</v>
      </c>
      <c r="D353">
        <v>0</v>
      </c>
      <c r="E353">
        <v>1</v>
      </c>
      <c r="F353">
        <v>3</v>
      </c>
      <c r="G353" t="b">
        <v>0</v>
      </c>
      <c r="H353">
        <v>0</v>
      </c>
      <c r="I353">
        <v>1</v>
      </c>
      <c r="J353">
        <v>0.22</v>
      </c>
      <c r="K353">
        <v>0.2727</v>
      </c>
      <c r="L353">
        <v>0.69</v>
      </c>
      <c r="M353">
        <v>0</v>
      </c>
      <c r="N353">
        <v>9</v>
      </c>
      <c r="O353">
        <v>6</v>
      </c>
      <c r="P353">
        <v>15</v>
      </c>
    </row>
    <row r="354" spans="1:16" x14ac:dyDescent="0.25">
      <c r="A354">
        <v>353</v>
      </c>
      <c r="B354" s="4">
        <v>40559</v>
      </c>
      <c r="C354">
        <v>1</v>
      </c>
      <c r="D354">
        <v>0</v>
      </c>
      <c r="E354">
        <v>1</v>
      </c>
      <c r="F354">
        <v>4</v>
      </c>
      <c r="G354" t="b">
        <v>0</v>
      </c>
      <c r="H354">
        <v>0</v>
      </c>
      <c r="I354">
        <v>1</v>
      </c>
      <c r="J354">
        <v>0.26</v>
      </c>
      <c r="K354">
        <v>0.2576</v>
      </c>
      <c r="L354">
        <v>0.56000000000000005</v>
      </c>
      <c r="M354">
        <v>0.16420000000000001</v>
      </c>
      <c r="N354">
        <v>0</v>
      </c>
      <c r="O354">
        <v>1</v>
      </c>
      <c r="P354">
        <v>1</v>
      </c>
    </row>
    <row r="355" spans="1:16" x14ac:dyDescent="0.25">
      <c r="A355">
        <v>354</v>
      </c>
      <c r="B355" s="4">
        <v>40559</v>
      </c>
      <c r="C355">
        <v>1</v>
      </c>
      <c r="D355">
        <v>0</v>
      </c>
      <c r="E355">
        <v>1</v>
      </c>
      <c r="F355">
        <v>5</v>
      </c>
      <c r="G355" t="b">
        <v>0</v>
      </c>
      <c r="H355">
        <v>0</v>
      </c>
      <c r="I355">
        <v>2</v>
      </c>
      <c r="J355">
        <v>0.26</v>
      </c>
      <c r="K355">
        <v>0.2576</v>
      </c>
      <c r="L355">
        <v>0.56000000000000005</v>
      </c>
      <c r="M355">
        <v>0.16420000000000001</v>
      </c>
      <c r="N355">
        <v>1</v>
      </c>
      <c r="O355">
        <v>1</v>
      </c>
      <c r="P355">
        <v>2</v>
      </c>
    </row>
    <row r="356" spans="1:16" x14ac:dyDescent="0.25">
      <c r="A356">
        <v>355</v>
      </c>
      <c r="B356" s="4">
        <v>40559</v>
      </c>
      <c r="C356">
        <v>1</v>
      </c>
      <c r="D356">
        <v>0</v>
      </c>
      <c r="E356">
        <v>1</v>
      </c>
      <c r="F356">
        <v>6</v>
      </c>
      <c r="G356" t="b">
        <v>0</v>
      </c>
      <c r="H356">
        <v>0</v>
      </c>
      <c r="I356">
        <v>2</v>
      </c>
      <c r="J356">
        <v>0.26</v>
      </c>
      <c r="K356">
        <v>0.2576</v>
      </c>
      <c r="L356">
        <v>0.56000000000000005</v>
      </c>
      <c r="M356">
        <v>0.16420000000000001</v>
      </c>
      <c r="N356">
        <v>0</v>
      </c>
      <c r="O356">
        <v>1</v>
      </c>
      <c r="P356">
        <v>1</v>
      </c>
    </row>
    <row r="357" spans="1:16" x14ac:dyDescent="0.25">
      <c r="A357">
        <v>356</v>
      </c>
      <c r="B357" s="4">
        <v>40559</v>
      </c>
      <c r="C357">
        <v>1</v>
      </c>
      <c r="D357">
        <v>0</v>
      </c>
      <c r="E357">
        <v>1</v>
      </c>
      <c r="F357">
        <v>7</v>
      </c>
      <c r="G357" t="b">
        <v>0</v>
      </c>
      <c r="H357">
        <v>0</v>
      </c>
      <c r="I357">
        <v>2</v>
      </c>
      <c r="J357">
        <v>0.24</v>
      </c>
      <c r="K357">
        <v>0.21210000000000001</v>
      </c>
      <c r="L357">
        <v>0.56000000000000005</v>
      </c>
      <c r="M357">
        <v>0.29849999999999999</v>
      </c>
      <c r="N357">
        <v>0</v>
      </c>
      <c r="O357">
        <v>3</v>
      </c>
      <c r="P357">
        <v>3</v>
      </c>
    </row>
    <row r="358" spans="1:16" x14ac:dyDescent="0.25">
      <c r="A358">
        <v>357</v>
      </c>
      <c r="B358" s="4">
        <v>40559</v>
      </c>
      <c r="C358">
        <v>1</v>
      </c>
      <c r="D358">
        <v>0</v>
      </c>
      <c r="E358">
        <v>1</v>
      </c>
      <c r="F358">
        <v>8</v>
      </c>
      <c r="G358" t="b">
        <v>0</v>
      </c>
      <c r="H358">
        <v>0</v>
      </c>
      <c r="I358">
        <v>1</v>
      </c>
      <c r="J358">
        <v>0.22</v>
      </c>
      <c r="K358">
        <v>0.21210000000000001</v>
      </c>
      <c r="L358">
        <v>0.55000000000000004</v>
      </c>
      <c r="M358">
        <v>0.28360000000000002</v>
      </c>
      <c r="N358">
        <v>0</v>
      </c>
      <c r="O358">
        <v>18</v>
      </c>
      <c r="P358">
        <v>18</v>
      </c>
    </row>
    <row r="359" spans="1:16" x14ac:dyDescent="0.25">
      <c r="A359">
        <v>358</v>
      </c>
      <c r="B359" s="4">
        <v>40559</v>
      </c>
      <c r="C359">
        <v>1</v>
      </c>
      <c r="D359">
        <v>0</v>
      </c>
      <c r="E359">
        <v>1</v>
      </c>
      <c r="F359">
        <v>9</v>
      </c>
      <c r="G359" t="b">
        <v>0</v>
      </c>
      <c r="H359">
        <v>0</v>
      </c>
      <c r="I359">
        <v>1</v>
      </c>
      <c r="J359">
        <v>0.22</v>
      </c>
      <c r="K359">
        <v>0.21210000000000001</v>
      </c>
      <c r="L359">
        <v>0.51</v>
      </c>
      <c r="M359">
        <v>0.25369999999999998</v>
      </c>
      <c r="N359">
        <v>3</v>
      </c>
      <c r="O359">
        <v>29</v>
      </c>
      <c r="P359">
        <v>32</v>
      </c>
    </row>
    <row r="360" spans="1:16" x14ac:dyDescent="0.25">
      <c r="A360">
        <v>359</v>
      </c>
      <c r="B360" s="4">
        <v>40559</v>
      </c>
      <c r="C360">
        <v>1</v>
      </c>
      <c r="D360">
        <v>0</v>
      </c>
      <c r="E360">
        <v>1</v>
      </c>
      <c r="F360">
        <v>10</v>
      </c>
      <c r="G360" t="b">
        <v>0</v>
      </c>
      <c r="H360">
        <v>0</v>
      </c>
      <c r="I360">
        <v>1</v>
      </c>
      <c r="J360">
        <v>0.22</v>
      </c>
      <c r="K360">
        <v>0.21210000000000001</v>
      </c>
      <c r="L360">
        <v>0.51</v>
      </c>
      <c r="M360">
        <v>0.28360000000000002</v>
      </c>
      <c r="N360">
        <v>8</v>
      </c>
      <c r="O360">
        <v>71</v>
      </c>
      <c r="P360">
        <v>79</v>
      </c>
    </row>
    <row r="361" spans="1:16" x14ac:dyDescent="0.25">
      <c r="A361">
        <v>360</v>
      </c>
      <c r="B361" s="4">
        <v>40559</v>
      </c>
      <c r="C361">
        <v>1</v>
      </c>
      <c r="D361">
        <v>0</v>
      </c>
      <c r="E361">
        <v>1</v>
      </c>
      <c r="F361">
        <v>11</v>
      </c>
      <c r="G361" t="b">
        <v>0</v>
      </c>
      <c r="H361">
        <v>0</v>
      </c>
      <c r="I361">
        <v>1</v>
      </c>
      <c r="J361">
        <v>0.24</v>
      </c>
      <c r="K361">
        <v>0.2273</v>
      </c>
      <c r="L361">
        <v>0.44</v>
      </c>
      <c r="M361">
        <v>0.25369999999999998</v>
      </c>
      <c r="N361">
        <v>23</v>
      </c>
      <c r="O361">
        <v>70</v>
      </c>
      <c r="P361">
        <v>93</v>
      </c>
    </row>
    <row r="362" spans="1:16" x14ac:dyDescent="0.25">
      <c r="A362">
        <v>361</v>
      </c>
      <c r="B362" s="4">
        <v>40559</v>
      </c>
      <c r="C362">
        <v>1</v>
      </c>
      <c r="D362">
        <v>0</v>
      </c>
      <c r="E362">
        <v>1</v>
      </c>
      <c r="F362">
        <v>12</v>
      </c>
      <c r="G362" t="b">
        <v>0</v>
      </c>
      <c r="H362">
        <v>0</v>
      </c>
      <c r="I362">
        <v>1</v>
      </c>
      <c r="J362">
        <v>0.24</v>
      </c>
      <c r="K362">
        <v>0.21210000000000001</v>
      </c>
      <c r="L362">
        <v>0.41</v>
      </c>
      <c r="M362">
        <v>0.28360000000000002</v>
      </c>
      <c r="N362">
        <v>29</v>
      </c>
      <c r="O362">
        <v>75</v>
      </c>
      <c r="P362">
        <v>104</v>
      </c>
    </row>
    <row r="363" spans="1:16" x14ac:dyDescent="0.25">
      <c r="A363">
        <v>362</v>
      </c>
      <c r="B363" s="4">
        <v>40559</v>
      </c>
      <c r="C363">
        <v>1</v>
      </c>
      <c r="D363">
        <v>0</v>
      </c>
      <c r="E363">
        <v>1</v>
      </c>
      <c r="F363">
        <v>13</v>
      </c>
      <c r="G363" t="b">
        <v>0</v>
      </c>
      <c r="H363">
        <v>0</v>
      </c>
      <c r="I363">
        <v>1</v>
      </c>
      <c r="J363">
        <v>0.26</v>
      </c>
      <c r="K363">
        <v>0.2273</v>
      </c>
      <c r="L363">
        <v>0.35</v>
      </c>
      <c r="M363">
        <v>0.29849999999999999</v>
      </c>
      <c r="N363">
        <v>23</v>
      </c>
      <c r="O363">
        <v>95</v>
      </c>
      <c r="P363">
        <v>118</v>
      </c>
    </row>
    <row r="364" spans="1:16" x14ac:dyDescent="0.25">
      <c r="A364">
        <v>363</v>
      </c>
      <c r="B364" s="4">
        <v>40559</v>
      </c>
      <c r="C364">
        <v>1</v>
      </c>
      <c r="D364">
        <v>0</v>
      </c>
      <c r="E364">
        <v>1</v>
      </c>
      <c r="F364">
        <v>14</v>
      </c>
      <c r="G364" t="b">
        <v>0</v>
      </c>
      <c r="H364">
        <v>0</v>
      </c>
      <c r="I364">
        <v>1</v>
      </c>
      <c r="J364">
        <v>0.28000000000000003</v>
      </c>
      <c r="K364">
        <v>0.2727</v>
      </c>
      <c r="L364">
        <v>0.36</v>
      </c>
      <c r="M364">
        <v>0.25369999999999998</v>
      </c>
      <c r="N364">
        <v>22</v>
      </c>
      <c r="O364">
        <v>69</v>
      </c>
      <c r="P364">
        <v>91</v>
      </c>
    </row>
    <row r="365" spans="1:16" x14ac:dyDescent="0.25">
      <c r="A365">
        <v>364</v>
      </c>
      <c r="B365" s="4">
        <v>40559</v>
      </c>
      <c r="C365">
        <v>1</v>
      </c>
      <c r="D365">
        <v>0</v>
      </c>
      <c r="E365">
        <v>1</v>
      </c>
      <c r="F365">
        <v>15</v>
      </c>
      <c r="G365" t="b">
        <v>0</v>
      </c>
      <c r="H365">
        <v>0</v>
      </c>
      <c r="I365">
        <v>1</v>
      </c>
      <c r="J365">
        <v>0.26</v>
      </c>
      <c r="K365">
        <v>0.2424</v>
      </c>
      <c r="L365">
        <v>0.38</v>
      </c>
      <c r="M365">
        <v>0.25369999999999998</v>
      </c>
      <c r="N365">
        <v>35</v>
      </c>
      <c r="O365">
        <v>78</v>
      </c>
      <c r="P365">
        <v>113</v>
      </c>
    </row>
    <row r="366" spans="1:16" x14ac:dyDescent="0.25">
      <c r="A366">
        <v>365</v>
      </c>
      <c r="B366" s="4">
        <v>40559</v>
      </c>
      <c r="C366">
        <v>1</v>
      </c>
      <c r="D366">
        <v>0</v>
      </c>
      <c r="E366">
        <v>1</v>
      </c>
      <c r="F366">
        <v>16</v>
      </c>
      <c r="G366" t="b">
        <v>0</v>
      </c>
      <c r="H366">
        <v>0</v>
      </c>
      <c r="I366">
        <v>1</v>
      </c>
      <c r="J366">
        <v>0.24</v>
      </c>
      <c r="K366">
        <v>0.2273</v>
      </c>
      <c r="L366">
        <v>0.38</v>
      </c>
      <c r="M366">
        <v>0.22389999999999999</v>
      </c>
      <c r="N366">
        <v>22</v>
      </c>
      <c r="O366">
        <v>77</v>
      </c>
      <c r="P366">
        <v>99</v>
      </c>
    </row>
    <row r="367" spans="1:16" x14ac:dyDescent="0.25">
      <c r="A367">
        <v>366</v>
      </c>
      <c r="B367" s="4">
        <v>40559</v>
      </c>
      <c r="C367">
        <v>1</v>
      </c>
      <c r="D367">
        <v>0</v>
      </c>
      <c r="E367">
        <v>1</v>
      </c>
      <c r="F367">
        <v>17</v>
      </c>
      <c r="G367" t="b">
        <v>0</v>
      </c>
      <c r="H367">
        <v>0</v>
      </c>
      <c r="I367">
        <v>1</v>
      </c>
      <c r="J367">
        <v>0.22</v>
      </c>
      <c r="K367">
        <v>0.21210000000000001</v>
      </c>
      <c r="L367">
        <v>0.37</v>
      </c>
      <c r="M367">
        <v>0.25369999999999998</v>
      </c>
      <c r="N367">
        <v>23</v>
      </c>
      <c r="O367">
        <v>82</v>
      </c>
      <c r="P367">
        <v>105</v>
      </c>
    </row>
    <row r="368" spans="1:16" x14ac:dyDescent="0.25">
      <c r="A368">
        <v>367</v>
      </c>
      <c r="B368" s="4">
        <v>40559</v>
      </c>
      <c r="C368">
        <v>1</v>
      </c>
      <c r="D368">
        <v>0</v>
      </c>
      <c r="E368">
        <v>1</v>
      </c>
      <c r="F368">
        <v>18</v>
      </c>
      <c r="G368" t="b">
        <v>0</v>
      </c>
      <c r="H368">
        <v>0</v>
      </c>
      <c r="I368">
        <v>1</v>
      </c>
      <c r="J368">
        <v>0.2</v>
      </c>
      <c r="K368">
        <v>0.21210000000000001</v>
      </c>
      <c r="L368">
        <v>0.4</v>
      </c>
      <c r="M368">
        <v>0.16420000000000001</v>
      </c>
      <c r="N368">
        <v>11</v>
      </c>
      <c r="O368">
        <v>56</v>
      </c>
      <c r="P368">
        <v>67</v>
      </c>
    </row>
    <row r="369" spans="1:16" x14ac:dyDescent="0.25">
      <c r="A369">
        <v>368</v>
      </c>
      <c r="B369" s="4">
        <v>40559</v>
      </c>
      <c r="C369">
        <v>1</v>
      </c>
      <c r="D369">
        <v>0</v>
      </c>
      <c r="E369">
        <v>1</v>
      </c>
      <c r="F369">
        <v>19</v>
      </c>
      <c r="G369" t="b">
        <v>0</v>
      </c>
      <c r="H369">
        <v>0</v>
      </c>
      <c r="I369">
        <v>1</v>
      </c>
      <c r="J369">
        <v>0.18</v>
      </c>
      <c r="K369">
        <v>0.19700000000000001</v>
      </c>
      <c r="L369">
        <v>0.47</v>
      </c>
      <c r="M369">
        <v>0.1343</v>
      </c>
      <c r="N369">
        <v>14</v>
      </c>
      <c r="O369">
        <v>47</v>
      </c>
      <c r="P369">
        <v>61</v>
      </c>
    </row>
    <row r="370" spans="1:16" x14ac:dyDescent="0.25">
      <c r="A370">
        <v>369</v>
      </c>
      <c r="B370" s="4">
        <v>40559</v>
      </c>
      <c r="C370">
        <v>1</v>
      </c>
      <c r="D370">
        <v>0</v>
      </c>
      <c r="E370">
        <v>1</v>
      </c>
      <c r="F370">
        <v>20</v>
      </c>
      <c r="G370" t="b">
        <v>0</v>
      </c>
      <c r="H370">
        <v>0</v>
      </c>
      <c r="I370">
        <v>1</v>
      </c>
      <c r="J370">
        <v>0.18</v>
      </c>
      <c r="K370">
        <v>0.19700000000000001</v>
      </c>
      <c r="L370">
        <v>0.47</v>
      </c>
      <c r="M370">
        <v>0.16420000000000001</v>
      </c>
      <c r="N370">
        <v>7</v>
      </c>
      <c r="O370">
        <v>50</v>
      </c>
      <c r="P370">
        <v>57</v>
      </c>
    </row>
    <row r="371" spans="1:16" x14ac:dyDescent="0.25">
      <c r="A371">
        <v>370</v>
      </c>
      <c r="B371" s="4">
        <v>40559</v>
      </c>
      <c r="C371">
        <v>1</v>
      </c>
      <c r="D371">
        <v>0</v>
      </c>
      <c r="E371">
        <v>1</v>
      </c>
      <c r="F371">
        <v>21</v>
      </c>
      <c r="G371" t="b">
        <v>0</v>
      </c>
      <c r="H371">
        <v>0</v>
      </c>
      <c r="I371">
        <v>1</v>
      </c>
      <c r="J371">
        <v>0.18</v>
      </c>
      <c r="K371">
        <v>0.19700000000000001</v>
      </c>
      <c r="L371">
        <v>0.51</v>
      </c>
      <c r="M371">
        <v>0.16420000000000001</v>
      </c>
      <c r="N371">
        <v>6</v>
      </c>
      <c r="O371">
        <v>22</v>
      </c>
      <c r="P371">
        <v>28</v>
      </c>
    </row>
    <row r="372" spans="1:16" x14ac:dyDescent="0.25">
      <c r="A372">
        <v>371</v>
      </c>
      <c r="B372" s="4">
        <v>40559</v>
      </c>
      <c r="C372">
        <v>1</v>
      </c>
      <c r="D372">
        <v>0</v>
      </c>
      <c r="E372">
        <v>1</v>
      </c>
      <c r="F372">
        <v>22</v>
      </c>
      <c r="G372" t="b">
        <v>0</v>
      </c>
      <c r="H372">
        <v>0</v>
      </c>
      <c r="I372">
        <v>2</v>
      </c>
      <c r="J372">
        <v>0.2</v>
      </c>
      <c r="K372">
        <v>0.21210000000000001</v>
      </c>
      <c r="L372">
        <v>0.49</v>
      </c>
      <c r="M372">
        <v>0.1343</v>
      </c>
      <c r="N372">
        <v>2</v>
      </c>
      <c r="O372">
        <v>19</v>
      </c>
      <c r="P372">
        <v>21</v>
      </c>
    </row>
    <row r="373" spans="1:16" x14ac:dyDescent="0.25">
      <c r="A373">
        <v>372</v>
      </c>
      <c r="B373" s="4">
        <v>40559</v>
      </c>
      <c r="C373">
        <v>1</v>
      </c>
      <c r="D373">
        <v>0</v>
      </c>
      <c r="E373">
        <v>1</v>
      </c>
      <c r="F373">
        <v>23</v>
      </c>
      <c r="G373" t="b">
        <v>0</v>
      </c>
      <c r="H373">
        <v>0</v>
      </c>
      <c r="I373">
        <v>2</v>
      </c>
      <c r="J373">
        <v>0.2</v>
      </c>
      <c r="K373">
        <v>0.2273</v>
      </c>
      <c r="L373">
        <v>0.4</v>
      </c>
      <c r="M373">
        <v>0.1045</v>
      </c>
      <c r="N373">
        <v>0</v>
      </c>
      <c r="O373">
        <v>18</v>
      </c>
      <c r="P373">
        <v>18</v>
      </c>
    </row>
    <row r="374" spans="1:16" x14ac:dyDescent="0.25">
      <c r="A374">
        <v>373</v>
      </c>
      <c r="B374" s="4">
        <v>40560</v>
      </c>
      <c r="C374">
        <v>1</v>
      </c>
      <c r="D374">
        <v>0</v>
      </c>
      <c r="E374">
        <v>1</v>
      </c>
      <c r="F374">
        <v>0</v>
      </c>
      <c r="G374" t="b">
        <v>1</v>
      </c>
      <c r="H374">
        <v>1</v>
      </c>
      <c r="I374">
        <v>2</v>
      </c>
      <c r="J374">
        <v>0.2</v>
      </c>
      <c r="K374">
        <v>0.19700000000000001</v>
      </c>
      <c r="L374">
        <v>0.47</v>
      </c>
      <c r="M374">
        <v>0.22389999999999999</v>
      </c>
      <c r="N374">
        <v>1</v>
      </c>
      <c r="O374">
        <v>16</v>
      </c>
      <c r="P374">
        <v>17</v>
      </c>
    </row>
    <row r="375" spans="1:16" x14ac:dyDescent="0.25">
      <c r="A375">
        <v>374</v>
      </c>
      <c r="B375" s="4">
        <v>40560</v>
      </c>
      <c r="C375">
        <v>1</v>
      </c>
      <c r="D375">
        <v>0</v>
      </c>
      <c r="E375">
        <v>1</v>
      </c>
      <c r="F375">
        <v>1</v>
      </c>
      <c r="G375" t="b">
        <v>1</v>
      </c>
      <c r="H375">
        <v>1</v>
      </c>
      <c r="I375">
        <v>2</v>
      </c>
      <c r="J375">
        <v>0.2</v>
      </c>
      <c r="K375">
        <v>0.19700000000000001</v>
      </c>
      <c r="L375">
        <v>0.44</v>
      </c>
      <c r="M375">
        <v>0.19400000000000001</v>
      </c>
      <c r="N375">
        <v>1</v>
      </c>
      <c r="O375">
        <v>15</v>
      </c>
      <c r="P375">
        <v>16</v>
      </c>
    </row>
    <row r="376" spans="1:16" x14ac:dyDescent="0.25">
      <c r="A376">
        <v>375</v>
      </c>
      <c r="B376" s="4">
        <v>40560</v>
      </c>
      <c r="C376">
        <v>1</v>
      </c>
      <c r="D376">
        <v>0</v>
      </c>
      <c r="E376">
        <v>1</v>
      </c>
      <c r="F376">
        <v>2</v>
      </c>
      <c r="G376" t="b">
        <v>1</v>
      </c>
      <c r="H376">
        <v>1</v>
      </c>
      <c r="I376">
        <v>2</v>
      </c>
      <c r="J376">
        <v>0.18</v>
      </c>
      <c r="K376">
        <v>0.16669999999999999</v>
      </c>
      <c r="L376">
        <v>0.43</v>
      </c>
      <c r="M376">
        <v>0.25369999999999998</v>
      </c>
      <c r="N376">
        <v>0</v>
      </c>
      <c r="O376">
        <v>8</v>
      </c>
      <c r="P376">
        <v>8</v>
      </c>
    </row>
    <row r="377" spans="1:16" x14ac:dyDescent="0.25">
      <c r="A377">
        <v>376</v>
      </c>
      <c r="B377" s="4">
        <v>40560</v>
      </c>
      <c r="C377">
        <v>1</v>
      </c>
      <c r="D377">
        <v>0</v>
      </c>
      <c r="E377">
        <v>1</v>
      </c>
      <c r="F377">
        <v>3</v>
      </c>
      <c r="G377" t="b">
        <v>1</v>
      </c>
      <c r="H377">
        <v>1</v>
      </c>
      <c r="I377">
        <v>2</v>
      </c>
      <c r="J377">
        <v>0.18</v>
      </c>
      <c r="K377">
        <v>0.18179999999999999</v>
      </c>
      <c r="L377">
        <v>0.43</v>
      </c>
      <c r="M377">
        <v>0.19400000000000001</v>
      </c>
      <c r="N377">
        <v>0</v>
      </c>
      <c r="O377">
        <v>2</v>
      </c>
      <c r="P377">
        <v>2</v>
      </c>
    </row>
    <row r="378" spans="1:16" x14ac:dyDescent="0.25">
      <c r="A378">
        <v>377</v>
      </c>
      <c r="B378" s="4">
        <v>40560</v>
      </c>
      <c r="C378">
        <v>1</v>
      </c>
      <c r="D378">
        <v>0</v>
      </c>
      <c r="E378">
        <v>1</v>
      </c>
      <c r="F378">
        <v>4</v>
      </c>
      <c r="G378" t="b">
        <v>1</v>
      </c>
      <c r="H378">
        <v>1</v>
      </c>
      <c r="I378">
        <v>2</v>
      </c>
      <c r="J378">
        <v>0.18</v>
      </c>
      <c r="K378">
        <v>0.19700000000000001</v>
      </c>
      <c r="L378">
        <v>0.43</v>
      </c>
      <c r="M378">
        <v>0.1343</v>
      </c>
      <c r="N378">
        <v>1</v>
      </c>
      <c r="O378">
        <v>2</v>
      </c>
      <c r="P378">
        <v>3</v>
      </c>
    </row>
    <row r="379" spans="1:16" x14ac:dyDescent="0.25">
      <c r="A379">
        <v>378</v>
      </c>
      <c r="B379" s="4">
        <v>40560</v>
      </c>
      <c r="C379">
        <v>1</v>
      </c>
      <c r="D379">
        <v>0</v>
      </c>
      <c r="E379">
        <v>1</v>
      </c>
      <c r="F379">
        <v>5</v>
      </c>
      <c r="G379" t="b">
        <v>1</v>
      </c>
      <c r="H379">
        <v>1</v>
      </c>
      <c r="I379">
        <v>2</v>
      </c>
      <c r="J379">
        <v>0.18</v>
      </c>
      <c r="K379">
        <v>0.19700000000000001</v>
      </c>
      <c r="L379">
        <v>0.43</v>
      </c>
      <c r="M379">
        <v>0.16420000000000001</v>
      </c>
      <c r="N379">
        <v>0</v>
      </c>
      <c r="O379">
        <v>1</v>
      </c>
      <c r="P379">
        <v>1</v>
      </c>
    </row>
    <row r="380" spans="1:16" x14ac:dyDescent="0.25">
      <c r="A380">
        <v>379</v>
      </c>
      <c r="B380" s="4">
        <v>40560</v>
      </c>
      <c r="C380">
        <v>1</v>
      </c>
      <c r="D380">
        <v>0</v>
      </c>
      <c r="E380">
        <v>1</v>
      </c>
      <c r="F380">
        <v>6</v>
      </c>
      <c r="G380" t="b">
        <v>1</v>
      </c>
      <c r="H380">
        <v>1</v>
      </c>
      <c r="I380">
        <v>2</v>
      </c>
      <c r="J380">
        <v>0.18</v>
      </c>
      <c r="K380">
        <v>0.18179999999999999</v>
      </c>
      <c r="L380">
        <v>0.43</v>
      </c>
      <c r="M380">
        <v>0.19400000000000001</v>
      </c>
      <c r="N380">
        <v>0</v>
      </c>
      <c r="O380">
        <v>5</v>
      </c>
      <c r="P380">
        <v>5</v>
      </c>
    </row>
    <row r="381" spans="1:16" x14ac:dyDescent="0.25">
      <c r="A381">
        <v>380</v>
      </c>
      <c r="B381" s="4">
        <v>40560</v>
      </c>
      <c r="C381">
        <v>1</v>
      </c>
      <c r="D381">
        <v>0</v>
      </c>
      <c r="E381">
        <v>1</v>
      </c>
      <c r="F381">
        <v>7</v>
      </c>
      <c r="G381" t="b">
        <v>1</v>
      </c>
      <c r="H381">
        <v>1</v>
      </c>
      <c r="I381">
        <v>2</v>
      </c>
      <c r="J381">
        <v>0.16</v>
      </c>
      <c r="K381">
        <v>0.18179999999999999</v>
      </c>
      <c r="L381">
        <v>0.5</v>
      </c>
      <c r="M381">
        <v>0.1343</v>
      </c>
      <c r="N381">
        <v>4</v>
      </c>
      <c r="O381">
        <v>9</v>
      </c>
      <c r="P381">
        <v>13</v>
      </c>
    </row>
    <row r="382" spans="1:16" x14ac:dyDescent="0.25">
      <c r="A382">
        <v>381</v>
      </c>
      <c r="B382" s="4">
        <v>40560</v>
      </c>
      <c r="C382">
        <v>1</v>
      </c>
      <c r="D382">
        <v>0</v>
      </c>
      <c r="E382">
        <v>1</v>
      </c>
      <c r="F382">
        <v>8</v>
      </c>
      <c r="G382" t="b">
        <v>1</v>
      </c>
      <c r="H382">
        <v>1</v>
      </c>
      <c r="I382">
        <v>2</v>
      </c>
      <c r="J382">
        <v>0.16</v>
      </c>
      <c r="K382">
        <v>0.1515</v>
      </c>
      <c r="L382">
        <v>0.47</v>
      </c>
      <c r="M382">
        <v>0.22389999999999999</v>
      </c>
      <c r="N382">
        <v>3</v>
      </c>
      <c r="O382">
        <v>30</v>
      </c>
      <c r="P382">
        <v>33</v>
      </c>
    </row>
    <row r="383" spans="1:16" x14ac:dyDescent="0.25">
      <c r="A383">
        <v>382</v>
      </c>
      <c r="B383" s="4">
        <v>40560</v>
      </c>
      <c r="C383">
        <v>1</v>
      </c>
      <c r="D383">
        <v>0</v>
      </c>
      <c r="E383">
        <v>1</v>
      </c>
      <c r="F383">
        <v>9</v>
      </c>
      <c r="G383" t="b">
        <v>1</v>
      </c>
      <c r="H383">
        <v>1</v>
      </c>
      <c r="I383">
        <v>2</v>
      </c>
      <c r="J383">
        <v>0.16</v>
      </c>
      <c r="K383">
        <v>0.1515</v>
      </c>
      <c r="L383">
        <v>0.47</v>
      </c>
      <c r="M383">
        <v>0.22389999999999999</v>
      </c>
      <c r="N383">
        <v>8</v>
      </c>
      <c r="O383">
        <v>39</v>
      </c>
      <c r="P383">
        <v>47</v>
      </c>
    </row>
    <row r="384" spans="1:16" x14ac:dyDescent="0.25">
      <c r="A384">
        <v>383</v>
      </c>
      <c r="B384" s="4">
        <v>40560</v>
      </c>
      <c r="C384">
        <v>1</v>
      </c>
      <c r="D384">
        <v>0</v>
      </c>
      <c r="E384">
        <v>1</v>
      </c>
      <c r="F384">
        <v>10</v>
      </c>
      <c r="G384" t="b">
        <v>1</v>
      </c>
      <c r="H384">
        <v>1</v>
      </c>
      <c r="I384">
        <v>2</v>
      </c>
      <c r="J384">
        <v>0.16</v>
      </c>
      <c r="K384">
        <v>0.1515</v>
      </c>
      <c r="L384">
        <v>0.5</v>
      </c>
      <c r="M384">
        <v>0.25369999999999998</v>
      </c>
      <c r="N384">
        <v>7</v>
      </c>
      <c r="O384">
        <v>50</v>
      </c>
      <c r="P384">
        <v>57</v>
      </c>
    </row>
    <row r="385" spans="1:16" x14ac:dyDescent="0.25">
      <c r="A385">
        <v>384</v>
      </c>
      <c r="B385" s="4">
        <v>40560</v>
      </c>
      <c r="C385">
        <v>1</v>
      </c>
      <c r="D385">
        <v>0</v>
      </c>
      <c r="E385">
        <v>1</v>
      </c>
      <c r="F385">
        <v>11</v>
      </c>
      <c r="G385" t="b">
        <v>1</v>
      </c>
      <c r="H385">
        <v>1</v>
      </c>
      <c r="I385">
        <v>2</v>
      </c>
      <c r="J385">
        <v>0.16</v>
      </c>
      <c r="K385">
        <v>0.1515</v>
      </c>
      <c r="L385">
        <v>0.55000000000000004</v>
      </c>
      <c r="M385">
        <v>0.19400000000000001</v>
      </c>
      <c r="N385">
        <v>9</v>
      </c>
      <c r="O385">
        <v>55</v>
      </c>
      <c r="P385">
        <v>64</v>
      </c>
    </row>
    <row r="386" spans="1:16" x14ac:dyDescent="0.25">
      <c r="A386">
        <v>385</v>
      </c>
      <c r="B386" s="4">
        <v>40560</v>
      </c>
      <c r="C386">
        <v>1</v>
      </c>
      <c r="D386">
        <v>0</v>
      </c>
      <c r="E386">
        <v>1</v>
      </c>
      <c r="F386">
        <v>12</v>
      </c>
      <c r="G386" t="b">
        <v>1</v>
      </c>
      <c r="H386">
        <v>1</v>
      </c>
      <c r="I386">
        <v>2</v>
      </c>
      <c r="J386">
        <v>0.18</v>
      </c>
      <c r="K386">
        <v>0.19700000000000001</v>
      </c>
      <c r="L386">
        <v>0.47</v>
      </c>
      <c r="M386">
        <v>0.1343</v>
      </c>
      <c r="N386">
        <v>10</v>
      </c>
      <c r="O386">
        <v>70</v>
      </c>
      <c r="P386">
        <v>80</v>
      </c>
    </row>
    <row r="387" spans="1:16" x14ac:dyDescent="0.25">
      <c r="A387">
        <v>386</v>
      </c>
      <c r="B387" s="4">
        <v>40560</v>
      </c>
      <c r="C387">
        <v>1</v>
      </c>
      <c r="D387">
        <v>0</v>
      </c>
      <c r="E387">
        <v>1</v>
      </c>
      <c r="F387">
        <v>13</v>
      </c>
      <c r="G387" t="b">
        <v>1</v>
      </c>
      <c r="H387">
        <v>1</v>
      </c>
      <c r="I387">
        <v>2</v>
      </c>
      <c r="J387">
        <v>0.18</v>
      </c>
      <c r="K387">
        <v>0.19700000000000001</v>
      </c>
      <c r="L387">
        <v>0.47</v>
      </c>
      <c r="M387">
        <v>0.1343</v>
      </c>
      <c r="N387">
        <v>13</v>
      </c>
      <c r="O387">
        <v>80</v>
      </c>
      <c r="P387">
        <v>93</v>
      </c>
    </row>
    <row r="388" spans="1:16" x14ac:dyDescent="0.25">
      <c r="A388">
        <v>387</v>
      </c>
      <c r="B388" s="4">
        <v>40560</v>
      </c>
      <c r="C388">
        <v>1</v>
      </c>
      <c r="D388">
        <v>0</v>
      </c>
      <c r="E388">
        <v>1</v>
      </c>
      <c r="F388">
        <v>14</v>
      </c>
      <c r="G388" t="b">
        <v>1</v>
      </c>
      <c r="H388">
        <v>1</v>
      </c>
      <c r="I388">
        <v>2</v>
      </c>
      <c r="J388">
        <v>0.18</v>
      </c>
      <c r="K388">
        <v>0.21210000000000001</v>
      </c>
      <c r="L388">
        <v>0.43</v>
      </c>
      <c r="M388">
        <v>0.1045</v>
      </c>
      <c r="N388">
        <v>12</v>
      </c>
      <c r="O388">
        <v>74</v>
      </c>
      <c r="P388">
        <v>86</v>
      </c>
    </row>
    <row r="389" spans="1:16" x14ac:dyDescent="0.25">
      <c r="A389">
        <v>388</v>
      </c>
      <c r="B389" s="4">
        <v>40560</v>
      </c>
      <c r="C389">
        <v>1</v>
      </c>
      <c r="D389">
        <v>0</v>
      </c>
      <c r="E389">
        <v>1</v>
      </c>
      <c r="F389">
        <v>15</v>
      </c>
      <c r="G389" t="b">
        <v>1</v>
      </c>
      <c r="H389">
        <v>1</v>
      </c>
      <c r="I389">
        <v>2</v>
      </c>
      <c r="J389">
        <v>0.2</v>
      </c>
      <c r="K389">
        <v>0.21210000000000001</v>
      </c>
      <c r="L389">
        <v>0.47</v>
      </c>
      <c r="M389">
        <v>0.16420000000000001</v>
      </c>
      <c r="N389">
        <v>21</v>
      </c>
      <c r="O389">
        <v>72</v>
      </c>
      <c r="P389">
        <v>93</v>
      </c>
    </row>
    <row r="390" spans="1:16" x14ac:dyDescent="0.25">
      <c r="A390">
        <v>389</v>
      </c>
      <c r="B390" s="4">
        <v>40560</v>
      </c>
      <c r="C390">
        <v>1</v>
      </c>
      <c r="D390">
        <v>0</v>
      </c>
      <c r="E390">
        <v>1</v>
      </c>
      <c r="F390">
        <v>16</v>
      </c>
      <c r="G390" t="b">
        <v>1</v>
      </c>
      <c r="H390">
        <v>1</v>
      </c>
      <c r="I390">
        <v>2</v>
      </c>
      <c r="J390">
        <v>0.2</v>
      </c>
      <c r="K390">
        <v>0.21210000000000001</v>
      </c>
      <c r="L390">
        <v>0.47</v>
      </c>
      <c r="M390">
        <v>0.16420000000000001</v>
      </c>
      <c r="N390">
        <v>6</v>
      </c>
      <c r="O390">
        <v>76</v>
      </c>
      <c r="P390">
        <v>82</v>
      </c>
    </row>
    <row r="391" spans="1:16" x14ac:dyDescent="0.25">
      <c r="A391">
        <v>390</v>
      </c>
      <c r="B391" s="4">
        <v>40560</v>
      </c>
      <c r="C391">
        <v>1</v>
      </c>
      <c r="D391">
        <v>0</v>
      </c>
      <c r="E391">
        <v>1</v>
      </c>
      <c r="F391">
        <v>17</v>
      </c>
      <c r="G391" t="b">
        <v>1</v>
      </c>
      <c r="H391">
        <v>1</v>
      </c>
      <c r="I391">
        <v>1</v>
      </c>
      <c r="J391">
        <v>0.2</v>
      </c>
      <c r="K391">
        <v>0.19700000000000001</v>
      </c>
      <c r="L391">
        <v>0.51</v>
      </c>
      <c r="M391">
        <v>0.19400000000000001</v>
      </c>
      <c r="N391">
        <v>4</v>
      </c>
      <c r="O391">
        <v>67</v>
      </c>
      <c r="P391">
        <v>71</v>
      </c>
    </row>
    <row r="392" spans="1:16" x14ac:dyDescent="0.25">
      <c r="A392">
        <v>391</v>
      </c>
      <c r="B392" s="4">
        <v>40560</v>
      </c>
      <c r="C392">
        <v>1</v>
      </c>
      <c r="D392">
        <v>0</v>
      </c>
      <c r="E392">
        <v>1</v>
      </c>
      <c r="F392">
        <v>18</v>
      </c>
      <c r="G392" t="b">
        <v>1</v>
      </c>
      <c r="H392">
        <v>1</v>
      </c>
      <c r="I392">
        <v>2</v>
      </c>
      <c r="J392">
        <v>0.18</v>
      </c>
      <c r="K392">
        <v>0.16669999999999999</v>
      </c>
      <c r="L392">
        <v>0.55000000000000004</v>
      </c>
      <c r="M392">
        <v>0.25369999999999998</v>
      </c>
      <c r="N392">
        <v>7</v>
      </c>
      <c r="O392">
        <v>85</v>
      </c>
      <c r="P392">
        <v>92</v>
      </c>
    </row>
    <row r="393" spans="1:16" x14ac:dyDescent="0.25">
      <c r="A393">
        <v>392</v>
      </c>
      <c r="B393" s="4">
        <v>40560</v>
      </c>
      <c r="C393">
        <v>1</v>
      </c>
      <c r="D393">
        <v>0</v>
      </c>
      <c r="E393">
        <v>1</v>
      </c>
      <c r="F393">
        <v>19</v>
      </c>
      <c r="G393" t="b">
        <v>1</v>
      </c>
      <c r="H393">
        <v>1</v>
      </c>
      <c r="I393">
        <v>3</v>
      </c>
      <c r="J393">
        <v>0.18</v>
      </c>
      <c r="K393">
        <v>0.18179999999999999</v>
      </c>
      <c r="L393">
        <v>0.59</v>
      </c>
      <c r="M393">
        <v>0.19400000000000001</v>
      </c>
      <c r="N393">
        <v>2</v>
      </c>
      <c r="O393">
        <v>58</v>
      </c>
      <c r="P393">
        <v>60</v>
      </c>
    </row>
    <row r="394" spans="1:16" x14ac:dyDescent="0.25">
      <c r="A394">
        <v>393</v>
      </c>
      <c r="B394" s="4">
        <v>40560</v>
      </c>
      <c r="C394">
        <v>1</v>
      </c>
      <c r="D394">
        <v>0</v>
      </c>
      <c r="E394">
        <v>1</v>
      </c>
      <c r="F394">
        <v>20</v>
      </c>
      <c r="G394" t="b">
        <v>1</v>
      </c>
      <c r="H394">
        <v>1</v>
      </c>
      <c r="I394">
        <v>3</v>
      </c>
      <c r="J394">
        <v>0.16</v>
      </c>
      <c r="K394">
        <v>0.1515</v>
      </c>
      <c r="L394">
        <v>0.8</v>
      </c>
      <c r="M394">
        <v>0.19400000000000001</v>
      </c>
      <c r="N394">
        <v>4</v>
      </c>
      <c r="O394">
        <v>29</v>
      </c>
      <c r="P394">
        <v>33</v>
      </c>
    </row>
    <row r="395" spans="1:16" x14ac:dyDescent="0.25">
      <c r="A395">
        <v>394</v>
      </c>
      <c r="B395" s="4">
        <v>40560</v>
      </c>
      <c r="C395">
        <v>1</v>
      </c>
      <c r="D395">
        <v>0</v>
      </c>
      <c r="E395">
        <v>1</v>
      </c>
      <c r="F395">
        <v>21</v>
      </c>
      <c r="G395" t="b">
        <v>1</v>
      </c>
      <c r="H395">
        <v>1</v>
      </c>
      <c r="I395">
        <v>3</v>
      </c>
      <c r="J395">
        <v>0.16</v>
      </c>
      <c r="K395">
        <v>0.1515</v>
      </c>
      <c r="L395">
        <v>0.8</v>
      </c>
      <c r="M395">
        <v>0.19400000000000001</v>
      </c>
      <c r="N395">
        <v>3</v>
      </c>
      <c r="O395">
        <v>24</v>
      </c>
      <c r="P395">
        <v>27</v>
      </c>
    </row>
    <row r="396" spans="1:16" x14ac:dyDescent="0.25">
      <c r="A396">
        <v>395</v>
      </c>
      <c r="B396" s="4">
        <v>40560</v>
      </c>
      <c r="C396">
        <v>1</v>
      </c>
      <c r="D396">
        <v>0</v>
      </c>
      <c r="E396">
        <v>1</v>
      </c>
      <c r="F396">
        <v>22</v>
      </c>
      <c r="G396" t="b">
        <v>1</v>
      </c>
      <c r="H396">
        <v>1</v>
      </c>
      <c r="I396">
        <v>3</v>
      </c>
      <c r="J396">
        <v>0.14000000000000001</v>
      </c>
      <c r="K396">
        <v>0.1212</v>
      </c>
      <c r="L396">
        <v>0.93</v>
      </c>
      <c r="M396">
        <v>0.25369999999999998</v>
      </c>
      <c r="N396">
        <v>0</v>
      </c>
      <c r="O396">
        <v>13</v>
      </c>
      <c r="P396">
        <v>13</v>
      </c>
    </row>
    <row r="397" spans="1:16" x14ac:dyDescent="0.25">
      <c r="A397">
        <v>396</v>
      </c>
      <c r="B397" s="4">
        <v>40560</v>
      </c>
      <c r="C397">
        <v>1</v>
      </c>
      <c r="D397">
        <v>0</v>
      </c>
      <c r="E397">
        <v>1</v>
      </c>
      <c r="F397">
        <v>23</v>
      </c>
      <c r="G397" t="b">
        <v>1</v>
      </c>
      <c r="H397">
        <v>1</v>
      </c>
      <c r="I397">
        <v>3</v>
      </c>
      <c r="J397">
        <v>0.16</v>
      </c>
      <c r="K397">
        <v>0.13639999999999999</v>
      </c>
      <c r="L397">
        <v>0.86</v>
      </c>
      <c r="M397">
        <v>0.28360000000000002</v>
      </c>
      <c r="N397">
        <v>1</v>
      </c>
      <c r="O397">
        <v>3</v>
      </c>
      <c r="P397">
        <v>4</v>
      </c>
    </row>
    <row r="398" spans="1:16" x14ac:dyDescent="0.25">
      <c r="A398">
        <v>397</v>
      </c>
      <c r="B398" s="4">
        <v>40561</v>
      </c>
      <c r="C398">
        <v>1</v>
      </c>
      <c r="D398">
        <v>0</v>
      </c>
      <c r="E398">
        <v>1</v>
      </c>
      <c r="F398">
        <v>12</v>
      </c>
      <c r="G398" t="b">
        <v>0</v>
      </c>
      <c r="H398">
        <v>2</v>
      </c>
      <c r="I398">
        <v>2</v>
      </c>
      <c r="J398">
        <v>0.2</v>
      </c>
      <c r="K398">
        <v>0.18179999999999999</v>
      </c>
      <c r="L398">
        <v>0.86</v>
      </c>
      <c r="M398">
        <v>0.32840000000000003</v>
      </c>
      <c r="N398">
        <v>0</v>
      </c>
      <c r="O398">
        <v>3</v>
      </c>
      <c r="P398">
        <v>3</v>
      </c>
    </row>
    <row r="399" spans="1:16" x14ac:dyDescent="0.25">
      <c r="A399">
        <v>398</v>
      </c>
      <c r="B399" s="4">
        <v>40561</v>
      </c>
      <c r="C399">
        <v>1</v>
      </c>
      <c r="D399">
        <v>0</v>
      </c>
      <c r="E399">
        <v>1</v>
      </c>
      <c r="F399">
        <v>13</v>
      </c>
      <c r="G399" t="b">
        <v>0</v>
      </c>
      <c r="H399">
        <v>2</v>
      </c>
      <c r="I399">
        <v>2</v>
      </c>
      <c r="J399">
        <v>0.2</v>
      </c>
      <c r="K399">
        <v>0.19700000000000001</v>
      </c>
      <c r="L399">
        <v>0.86</v>
      </c>
      <c r="M399">
        <v>0.22389999999999999</v>
      </c>
      <c r="N399">
        <v>0</v>
      </c>
      <c r="O399">
        <v>22</v>
      </c>
      <c r="P399">
        <v>22</v>
      </c>
    </row>
    <row r="400" spans="1:16" x14ac:dyDescent="0.25">
      <c r="A400">
        <v>399</v>
      </c>
      <c r="B400" s="4">
        <v>40561</v>
      </c>
      <c r="C400">
        <v>1</v>
      </c>
      <c r="D400">
        <v>0</v>
      </c>
      <c r="E400">
        <v>1</v>
      </c>
      <c r="F400">
        <v>14</v>
      </c>
      <c r="G400" t="b">
        <v>0</v>
      </c>
      <c r="H400">
        <v>2</v>
      </c>
      <c r="I400">
        <v>2</v>
      </c>
      <c r="J400">
        <v>0.22</v>
      </c>
      <c r="K400">
        <v>0.2273</v>
      </c>
      <c r="L400">
        <v>0.8</v>
      </c>
      <c r="M400">
        <v>0.16420000000000001</v>
      </c>
      <c r="N400">
        <v>2</v>
      </c>
      <c r="O400">
        <v>26</v>
      </c>
      <c r="P400">
        <v>28</v>
      </c>
    </row>
    <row r="401" spans="1:16" x14ac:dyDescent="0.25">
      <c r="A401">
        <v>400</v>
      </c>
      <c r="B401" s="4">
        <v>40561</v>
      </c>
      <c r="C401">
        <v>1</v>
      </c>
      <c r="D401">
        <v>0</v>
      </c>
      <c r="E401">
        <v>1</v>
      </c>
      <c r="F401">
        <v>15</v>
      </c>
      <c r="G401" t="b">
        <v>0</v>
      </c>
      <c r="H401">
        <v>2</v>
      </c>
      <c r="I401">
        <v>2</v>
      </c>
      <c r="J401">
        <v>0.22</v>
      </c>
      <c r="K401">
        <v>0.2273</v>
      </c>
      <c r="L401">
        <v>0.87</v>
      </c>
      <c r="M401">
        <v>0.16420000000000001</v>
      </c>
      <c r="N401">
        <v>3</v>
      </c>
      <c r="O401">
        <v>32</v>
      </c>
      <c r="P401">
        <v>35</v>
      </c>
    </row>
    <row r="402" spans="1:16" x14ac:dyDescent="0.25">
      <c r="A402">
        <v>401</v>
      </c>
      <c r="B402" s="4">
        <v>40561</v>
      </c>
      <c r="C402">
        <v>1</v>
      </c>
      <c r="D402">
        <v>0</v>
      </c>
      <c r="E402">
        <v>1</v>
      </c>
      <c r="F402">
        <v>16</v>
      </c>
      <c r="G402" t="b">
        <v>0</v>
      </c>
      <c r="H402">
        <v>2</v>
      </c>
      <c r="I402">
        <v>2</v>
      </c>
      <c r="J402">
        <v>0.22</v>
      </c>
      <c r="K402">
        <v>0.2273</v>
      </c>
      <c r="L402">
        <v>0.87</v>
      </c>
      <c r="M402">
        <v>0.19400000000000001</v>
      </c>
      <c r="N402">
        <v>0</v>
      </c>
      <c r="O402">
        <v>61</v>
      </c>
      <c r="P402">
        <v>61</v>
      </c>
    </row>
    <row r="403" spans="1:16" x14ac:dyDescent="0.25">
      <c r="A403">
        <v>402</v>
      </c>
      <c r="B403" s="4">
        <v>40561</v>
      </c>
      <c r="C403">
        <v>1</v>
      </c>
      <c r="D403">
        <v>0</v>
      </c>
      <c r="E403">
        <v>1</v>
      </c>
      <c r="F403">
        <v>17</v>
      </c>
      <c r="G403" t="b">
        <v>0</v>
      </c>
      <c r="H403">
        <v>2</v>
      </c>
      <c r="I403">
        <v>2</v>
      </c>
      <c r="J403">
        <v>0.22</v>
      </c>
      <c r="K403">
        <v>0.2273</v>
      </c>
      <c r="L403">
        <v>0.82</v>
      </c>
      <c r="M403">
        <v>0.19400000000000001</v>
      </c>
      <c r="N403">
        <v>1</v>
      </c>
      <c r="O403">
        <v>124</v>
      </c>
      <c r="P403">
        <v>125</v>
      </c>
    </row>
    <row r="404" spans="1:16" x14ac:dyDescent="0.25">
      <c r="A404">
        <v>403</v>
      </c>
      <c r="B404" s="4">
        <v>40561</v>
      </c>
      <c r="C404">
        <v>1</v>
      </c>
      <c r="D404">
        <v>0</v>
      </c>
      <c r="E404">
        <v>1</v>
      </c>
      <c r="F404">
        <v>18</v>
      </c>
      <c r="G404" t="b">
        <v>0</v>
      </c>
      <c r="H404">
        <v>2</v>
      </c>
      <c r="I404">
        <v>2</v>
      </c>
      <c r="J404">
        <v>0.22</v>
      </c>
      <c r="K404">
        <v>0.2273</v>
      </c>
      <c r="L404">
        <v>0.8</v>
      </c>
      <c r="M404">
        <v>0.16420000000000001</v>
      </c>
      <c r="N404">
        <v>1</v>
      </c>
      <c r="O404">
        <v>132</v>
      </c>
      <c r="P404">
        <v>133</v>
      </c>
    </row>
    <row r="405" spans="1:16" x14ac:dyDescent="0.25">
      <c r="A405">
        <v>404</v>
      </c>
      <c r="B405" s="4">
        <v>40561</v>
      </c>
      <c r="C405">
        <v>1</v>
      </c>
      <c r="D405">
        <v>0</v>
      </c>
      <c r="E405">
        <v>1</v>
      </c>
      <c r="F405">
        <v>19</v>
      </c>
      <c r="G405" t="b">
        <v>0</v>
      </c>
      <c r="H405">
        <v>2</v>
      </c>
      <c r="I405">
        <v>2</v>
      </c>
      <c r="J405">
        <v>0.22</v>
      </c>
      <c r="K405">
        <v>0.2273</v>
      </c>
      <c r="L405">
        <v>0.8</v>
      </c>
      <c r="M405">
        <v>0.1343</v>
      </c>
      <c r="N405">
        <v>1</v>
      </c>
      <c r="O405">
        <v>98</v>
      </c>
      <c r="P405">
        <v>99</v>
      </c>
    </row>
    <row r="406" spans="1:16" x14ac:dyDescent="0.25">
      <c r="A406">
        <v>405</v>
      </c>
      <c r="B406" s="4">
        <v>40561</v>
      </c>
      <c r="C406">
        <v>1</v>
      </c>
      <c r="D406">
        <v>0</v>
      </c>
      <c r="E406">
        <v>1</v>
      </c>
      <c r="F406">
        <v>20</v>
      </c>
      <c r="G406" t="b">
        <v>0</v>
      </c>
      <c r="H406">
        <v>2</v>
      </c>
      <c r="I406">
        <v>2</v>
      </c>
      <c r="J406">
        <v>0.22</v>
      </c>
      <c r="K406">
        <v>0.2727</v>
      </c>
      <c r="L406">
        <v>0.87</v>
      </c>
      <c r="M406">
        <v>0</v>
      </c>
      <c r="N406">
        <v>0</v>
      </c>
      <c r="O406">
        <v>83</v>
      </c>
      <c r="P406">
        <v>83</v>
      </c>
    </row>
    <row r="407" spans="1:16" x14ac:dyDescent="0.25">
      <c r="A407">
        <v>406</v>
      </c>
      <c r="B407" s="4">
        <v>40561</v>
      </c>
      <c r="C407">
        <v>1</v>
      </c>
      <c r="D407">
        <v>0</v>
      </c>
      <c r="E407">
        <v>1</v>
      </c>
      <c r="F407">
        <v>21</v>
      </c>
      <c r="G407" t="b">
        <v>0</v>
      </c>
      <c r="H407">
        <v>2</v>
      </c>
      <c r="I407">
        <v>2</v>
      </c>
      <c r="J407">
        <v>0.22</v>
      </c>
      <c r="K407">
        <v>0.2424</v>
      </c>
      <c r="L407">
        <v>0.93</v>
      </c>
      <c r="M407">
        <v>0.1045</v>
      </c>
      <c r="N407">
        <v>0</v>
      </c>
      <c r="O407">
        <v>41</v>
      </c>
      <c r="P407">
        <v>41</v>
      </c>
    </row>
    <row r="408" spans="1:16" x14ac:dyDescent="0.25">
      <c r="A408">
        <v>407</v>
      </c>
      <c r="B408" s="4">
        <v>40561</v>
      </c>
      <c r="C408">
        <v>1</v>
      </c>
      <c r="D408">
        <v>0</v>
      </c>
      <c r="E408">
        <v>1</v>
      </c>
      <c r="F408">
        <v>22</v>
      </c>
      <c r="G408" t="b">
        <v>0</v>
      </c>
      <c r="H408">
        <v>2</v>
      </c>
      <c r="I408">
        <v>2</v>
      </c>
      <c r="J408">
        <v>0.22</v>
      </c>
      <c r="K408">
        <v>0.2576</v>
      </c>
      <c r="L408">
        <v>0.93</v>
      </c>
      <c r="M408">
        <v>8.9599999999999999E-2</v>
      </c>
      <c r="N408">
        <v>0</v>
      </c>
      <c r="O408">
        <v>33</v>
      </c>
      <c r="P408">
        <v>33</v>
      </c>
    </row>
    <row r="409" spans="1:16" x14ac:dyDescent="0.25">
      <c r="A409">
        <v>408</v>
      </c>
      <c r="B409" s="4">
        <v>40561</v>
      </c>
      <c r="C409">
        <v>1</v>
      </c>
      <c r="D409">
        <v>0</v>
      </c>
      <c r="E409">
        <v>1</v>
      </c>
      <c r="F409">
        <v>23</v>
      </c>
      <c r="G409" t="b">
        <v>0</v>
      </c>
      <c r="H409">
        <v>2</v>
      </c>
      <c r="I409">
        <v>2</v>
      </c>
      <c r="J409">
        <v>0.22</v>
      </c>
      <c r="K409">
        <v>0.2727</v>
      </c>
      <c r="L409">
        <v>0.93</v>
      </c>
      <c r="M409">
        <v>0</v>
      </c>
      <c r="N409">
        <v>1</v>
      </c>
      <c r="O409">
        <v>19</v>
      </c>
      <c r="P409">
        <v>20</v>
      </c>
    </row>
    <row r="410" spans="1:16" x14ac:dyDescent="0.25">
      <c r="A410">
        <v>409</v>
      </c>
      <c r="B410" s="4">
        <v>40562</v>
      </c>
      <c r="C410">
        <v>1</v>
      </c>
      <c r="D410">
        <v>0</v>
      </c>
      <c r="E410">
        <v>1</v>
      </c>
      <c r="F410">
        <v>0</v>
      </c>
      <c r="G410" t="b">
        <v>0</v>
      </c>
      <c r="H410">
        <v>3</v>
      </c>
      <c r="I410">
        <v>2</v>
      </c>
      <c r="J410">
        <v>0.22</v>
      </c>
      <c r="K410">
        <v>0.2727</v>
      </c>
      <c r="L410">
        <v>0.93</v>
      </c>
      <c r="M410">
        <v>0</v>
      </c>
      <c r="N410">
        <v>0</v>
      </c>
      <c r="O410">
        <v>3</v>
      </c>
      <c r="P410">
        <v>3</v>
      </c>
    </row>
    <row r="411" spans="1:16" x14ac:dyDescent="0.25">
      <c r="A411">
        <v>410</v>
      </c>
      <c r="B411" s="4">
        <v>40562</v>
      </c>
      <c r="C411">
        <v>1</v>
      </c>
      <c r="D411">
        <v>0</v>
      </c>
      <c r="E411">
        <v>1</v>
      </c>
      <c r="F411">
        <v>1</v>
      </c>
      <c r="G411" t="b">
        <v>0</v>
      </c>
      <c r="H411">
        <v>3</v>
      </c>
      <c r="I411">
        <v>3</v>
      </c>
      <c r="J411">
        <v>0.22</v>
      </c>
      <c r="K411">
        <v>0.2273</v>
      </c>
      <c r="L411">
        <v>0.93</v>
      </c>
      <c r="M411">
        <v>0.1343</v>
      </c>
      <c r="N411">
        <v>1</v>
      </c>
      <c r="O411">
        <v>6</v>
      </c>
      <c r="P411">
        <v>7</v>
      </c>
    </row>
    <row r="412" spans="1:16" x14ac:dyDescent="0.25">
      <c r="A412">
        <v>411</v>
      </c>
      <c r="B412" s="4">
        <v>40562</v>
      </c>
      <c r="C412">
        <v>1</v>
      </c>
      <c r="D412">
        <v>0</v>
      </c>
      <c r="E412">
        <v>1</v>
      </c>
      <c r="F412">
        <v>2</v>
      </c>
      <c r="G412" t="b">
        <v>0</v>
      </c>
      <c r="H412">
        <v>3</v>
      </c>
      <c r="I412">
        <v>3</v>
      </c>
      <c r="J412">
        <v>0.22</v>
      </c>
      <c r="K412">
        <v>0.2273</v>
      </c>
      <c r="L412">
        <v>0.93</v>
      </c>
      <c r="M412">
        <v>0.1343</v>
      </c>
      <c r="N412">
        <v>0</v>
      </c>
      <c r="O412">
        <v>3</v>
      </c>
      <c r="P412">
        <v>3</v>
      </c>
    </row>
    <row r="413" spans="1:16" x14ac:dyDescent="0.25">
      <c r="A413">
        <v>412</v>
      </c>
      <c r="B413" s="4">
        <v>40562</v>
      </c>
      <c r="C413">
        <v>1</v>
      </c>
      <c r="D413">
        <v>0</v>
      </c>
      <c r="E413">
        <v>1</v>
      </c>
      <c r="F413">
        <v>4</v>
      </c>
      <c r="G413" t="b">
        <v>0</v>
      </c>
      <c r="H413">
        <v>3</v>
      </c>
      <c r="I413">
        <v>3</v>
      </c>
      <c r="J413">
        <v>0.22</v>
      </c>
      <c r="K413">
        <v>0.2273</v>
      </c>
      <c r="L413">
        <v>0.93</v>
      </c>
      <c r="M413">
        <v>0.1343</v>
      </c>
      <c r="N413">
        <v>1</v>
      </c>
      <c r="O413">
        <v>1</v>
      </c>
      <c r="P413">
        <v>2</v>
      </c>
    </row>
    <row r="414" spans="1:16" x14ac:dyDescent="0.25">
      <c r="A414">
        <v>413</v>
      </c>
      <c r="B414" s="4">
        <v>40562</v>
      </c>
      <c r="C414">
        <v>1</v>
      </c>
      <c r="D414">
        <v>0</v>
      </c>
      <c r="E414">
        <v>1</v>
      </c>
      <c r="F414">
        <v>5</v>
      </c>
      <c r="G414" t="b">
        <v>0</v>
      </c>
      <c r="H414">
        <v>3</v>
      </c>
      <c r="I414">
        <v>2</v>
      </c>
      <c r="J414">
        <v>0.22</v>
      </c>
      <c r="K414">
        <v>0.2576</v>
      </c>
      <c r="L414">
        <v>0.93</v>
      </c>
      <c r="M414">
        <v>8.9599999999999999E-2</v>
      </c>
      <c r="N414">
        <v>0</v>
      </c>
      <c r="O414">
        <v>7</v>
      </c>
      <c r="P414">
        <v>7</v>
      </c>
    </row>
    <row r="415" spans="1:16" x14ac:dyDescent="0.25">
      <c r="A415">
        <v>414</v>
      </c>
      <c r="B415" s="4">
        <v>40562</v>
      </c>
      <c r="C415">
        <v>1</v>
      </c>
      <c r="D415">
        <v>0</v>
      </c>
      <c r="E415">
        <v>1</v>
      </c>
      <c r="F415">
        <v>6</v>
      </c>
      <c r="G415" t="b">
        <v>0</v>
      </c>
      <c r="H415">
        <v>3</v>
      </c>
      <c r="I415">
        <v>2</v>
      </c>
      <c r="J415">
        <v>0.22</v>
      </c>
      <c r="K415">
        <v>0.2576</v>
      </c>
      <c r="L415">
        <v>0.93</v>
      </c>
      <c r="M415">
        <v>8.9599999999999999E-2</v>
      </c>
      <c r="N415">
        <v>0</v>
      </c>
      <c r="O415">
        <v>32</v>
      </c>
      <c r="P415">
        <v>32</v>
      </c>
    </row>
    <row r="416" spans="1:16" x14ac:dyDescent="0.25">
      <c r="A416">
        <v>415</v>
      </c>
      <c r="B416" s="4">
        <v>40562</v>
      </c>
      <c r="C416">
        <v>1</v>
      </c>
      <c r="D416">
        <v>0</v>
      </c>
      <c r="E416">
        <v>1</v>
      </c>
      <c r="F416">
        <v>7</v>
      </c>
      <c r="G416" t="b">
        <v>0</v>
      </c>
      <c r="H416">
        <v>3</v>
      </c>
      <c r="I416">
        <v>2</v>
      </c>
      <c r="J416">
        <v>0.24</v>
      </c>
      <c r="K416">
        <v>0.2576</v>
      </c>
      <c r="L416">
        <v>0.92</v>
      </c>
      <c r="M416">
        <v>0.1045</v>
      </c>
      <c r="N416">
        <v>1</v>
      </c>
      <c r="O416">
        <v>89</v>
      </c>
      <c r="P416">
        <v>90</v>
      </c>
    </row>
    <row r="417" spans="1:16" x14ac:dyDescent="0.25">
      <c r="A417">
        <v>416</v>
      </c>
      <c r="B417" s="4">
        <v>40562</v>
      </c>
      <c r="C417">
        <v>1</v>
      </c>
      <c r="D417">
        <v>0</v>
      </c>
      <c r="E417">
        <v>1</v>
      </c>
      <c r="F417">
        <v>8</v>
      </c>
      <c r="G417" t="b">
        <v>0</v>
      </c>
      <c r="H417">
        <v>3</v>
      </c>
      <c r="I417">
        <v>2</v>
      </c>
      <c r="J417">
        <v>0.24</v>
      </c>
      <c r="K417">
        <v>0.2576</v>
      </c>
      <c r="L417">
        <v>0.93</v>
      </c>
      <c r="M417">
        <v>0.1045</v>
      </c>
      <c r="N417">
        <v>1</v>
      </c>
      <c r="O417">
        <v>196</v>
      </c>
      <c r="P417">
        <v>197</v>
      </c>
    </row>
    <row r="418" spans="1:16" x14ac:dyDescent="0.25">
      <c r="A418">
        <v>417</v>
      </c>
      <c r="B418" s="4">
        <v>40562</v>
      </c>
      <c r="C418">
        <v>1</v>
      </c>
      <c r="D418">
        <v>0</v>
      </c>
      <c r="E418">
        <v>1</v>
      </c>
      <c r="F418">
        <v>9</v>
      </c>
      <c r="G418" t="b">
        <v>0</v>
      </c>
      <c r="H418">
        <v>3</v>
      </c>
      <c r="I418">
        <v>2</v>
      </c>
      <c r="J418">
        <v>0.24</v>
      </c>
      <c r="K418">
        <v>0.2576</v>
      </c>
      <c r="L418">
        <v>0.93</v>
      </c>
      <c r="M418">
        <v>0.1045</v>
      </c>
      <c r="N418">
        <v>2</v>
      </c>
      <c r="O418">
        <v>107</v>
      </c>
      <c r="P418">
        <v>109</v>
      </c>
    </row>
    <row r="419" spans="1:16" x14ac:dyDescent="0.25">
      <c r="A419">
        <v>418</v>
      </c>
      <c r="B419" s="4">
        <v>40562</v>
      </c>
      <c r="C419">
        <v>1</v>
      </c>
      <c r="D419">
        <v>0</v>
      </c>
      <c r="E419">
        <v>1</v>
      </c>
      <c r="F419">
        <v>10</v>
      </c>
      <c r="G419" t="b">
        <v>0</v>
      </c>
      <c r="H419">
        <v>3</v>
      </c>
      <c r="I419">
        <v>2</v>
      </c>
      <c r="J419">
        <v>0.26</v>
      </c>
      <c r="K419">
        <v>0.2727</v>
      </c>
      <c r="L419">
        <v>0.93</v>
      </c>
      <c r="M419">
        <v>0.1343</v>
      </c>
      <c r="N419">
        <v>1</v>
      </c>
      <c r="O419">
        <v>46</v>
      </c>
      <c r="P419">
        <v>47</v>
      </c>
    </row>
    <row r="420" spans="1:16" x14ac:dyDescent="0.25">
      <c r="A420">
        <v>419</v>
      </c>
      <c r="B420" s="4">
        <v>40562</v>
      </c>
      <c r="C420">
        <v>1</v>
      </c>
      <c r="D420">
        <v>0</v>
      </c>
      <c r="E420">
        <v>1</v>
      </c>
      <c r="F420">
        <v>11</v>
      </c>
      <c r="G420" t="b">
        <v>0</v>
      </c>
      <c r="H420">
        <v>3</v>
      </c>
      <c r="I420">
        <v>2</v>
      </c>
      <c r="J420">
        <v>0.28000000000000003</v>
      </c>
      <c r="K420">
        <v>0.30299999999999999</v>
      </c>
      <c r="L420">
        <v>0.87</v>
      </c>
      <c r="M420">
        <v>8.9599999999999999E-2</v>
      </c>
      <c r="N420">
        <v>5</v>
      </c>
      <c r="O420">
        <v>47</v>
      </c>
      <c r="P420">
        <v>52</v>
      </c>
    </row>
    <row r="421" spans="1:16" x14ac:dyDescent="0.25">
      <c r="A421">
        <v>420</v>
      </c>
      <c r="B421" s="4">
        <v>40562</v>
      </c>
      <c r="C421">
        <v>1</v>
      </c>
      <c r="D421">
        <v>0</v>
      </c>
      <c r="E421">
        <v>1</v>
      </c>
      <c r="F421">
        <v>12</v>
      </c>
      <c r="G421" t="b">
        <v>0</v>
      </c>
      <c r="H421">
        <v>3</v>
      </c>
      <c r="I421">
        <v>2</v>
      </c>
      <c r="J421">
        <v>0.3</v>
      </c>
      <c r="K421">
        <v>0.31819999999999998</v>
      </c>
      <c r="L421">
        <v>0.81</v>
      </c>
      <c r="M421">
        <v>8.9599999999999999E-2</v>
      </c>
      <c r="N421">
        <v>5</v>
      </c>
      <c r="O421">
        <v>65</v>
      </c>
      <c r="P421">
        <v>70</v>
      </c>
    </row>
    <row r="422" spans="1:16" x14ac:dyDescent="0.25">
      <c r="A422">
        <v>421</v>
      </c>
      <c r="B422" s="4">
        <v>40562</v>
      </c>
      <c r="C422">
        <v>1</v>
      </c>
      <c r="D422">
        <v>0</v>
      </c>
      <c r="E422">
        <v>1</v>
      </c>
      <c r="F422">
        <v>13</v>
      </c>
      <c r="G422" t="b">
        <v>0</v>
      </c>
      <c r="H422">
        <v>3</v>
      </c>
      <c r="I422">
        <v>1</v>
      </c>
      <c r="J422">
        <v>0.4</v>
      </c>
      <c r="K422">
        <v>0.40910000000000002</v>
      </c>
      <c r="L422">
        <v>0.62</v>
      </c>
      <c r="M422">
        <v>0.28360000000000002</v>
      </c>
      <c r="N422">
        <v>11</v>
      </c>
      <c r="O422">
        <v>67</v>
      </c>
      <c r="P422">
        <v>78</v>
      </c>
    </row>
    <row r="423" spans="1:16" x14ac:dyDescent="0.25">
      <c r="A423">
        <v>422</v>
      </c>
      <c r="B423" s="4">
        <v>40562</v>
      </c>
      <c r="C423">
        <v>1</v>
      </c>
      <c r="D423">
        <v>0</v>
      </c>
      <c r="E423">
        <v>1</v>
      </c>
      <c r="F423">
        <v>14</v>
      </c>
      <c r="G423" t="b">
        <v>0</v>
      </c>
      <c r="H423">
        <v>3</v>
      </c>
      <c r="I423">
        <v>1</v>
      </c>
      <c r="J423">
        <v>0.4</v>
      </c>
      <c r="K423">
        <v>0.40910000000000002</v>
      </c>
      <c r="L423">
        <v>0.57999999999999996</v>
      </c>
      <c r="M423">
        <v>0.25369999999999998</v>
      </c>
      <c r="N423">
        <v>7</v>
      </c>
      <c r="O423">
        <v>68</v>
      </c>
      <c r="P423">
        <v>75</v>
      </c>
    </row>
    <row r="424" spans="1:16" x14ac:dyDescent="0.25">
      <c r="A424">
        <v>423</v>
      </c>
      <c r="B424" s="4">
        <v>40562</v>
      </c>
      <c r="C424">
        <v>1</v>
      </c>
      <c r="D424">
        <v>0</v>
      </c>
      <c r="E424">
        <v>1</v>
      </c>
      <c r="F424">
        <v>15</v>
      </c>
      <c r="G424" t="b">
        <v>0</v>
      </c>
      <c r="H424">
        <v>3</v>
      </c>
      <c r="I424">
        <v>1</v>
      </c>
      <c r="J424">
        <v>0.4</v>
      </c>
      <c r="K424">
        <v>0.40910000000000002</v>
      </c>
      <c r="L424">
        <v>0.54</v>
      </c>
      <c r="M424">
        <v>0.28360000000000002</v>
      </c>
      <c r="N424">
        <v>4</v>
      </c>
      <c r="O424">
        <v>78</v>
      </c>
      <c r="P424">
        <v>82</v>
      </c>
    </row>
    <row r="425" spans="1:16" x14ac:dyDescent="0.25">
      <c r="A425">
        <v>424</v>
      </c>
      <c r="B425" s="4">
        <v>40562</v>
      </c>
      <c r="C425">
        <v>1</v>
      </c>
      <c r="D425">
        <v>0</v>
      </c>
      <c r="E425">
        <v>1</v>
      </c>
      <c r="F425">
        <v>16</v>
      </c>
      <c r="G425" t="b">
        <v>0</v>
      </c>
      <c r="H425">
        <v>3</v>
      </c>
      <c r="I425">
        <v>1</v>
      </c>
      <c r="J425">
        <v>0.38</v>
      </c>
      <c r="K425">
        <v>0.39389999999999997</v>
      </c>
      <c r="L425">
        <v>0.57999999999999996</v>
      </c>
      <c r="M425">
        <v>0.3881</v>
      </c>
      <c r="N425">
        <v>10</v>
      </c>
      <c r="O425">
        <v>94</v>
      </c>
      <c r="P425">
        <v>104</v>
      </c>
    </row>
    <row r="426" spans="1:16" x14ac:dyDescent="0.25">
      <c r="A426">
        <v>425</v>
      </c>
      <c r="B426" s="4">
        <v>40562</v>
      </c>
      <c r="C426">
        <v>1</v>
      </c>
      <c r="D426">
        <v>0</v>
      </c>
      <c r="E426">
        <v>1</v>
      </c>
      <c r="F426">
        <v>17</v>
      </c>
      <c r="G426" t="b">
        <v>0</v>
      </c>
      <c r="H426">
        <v>3</v>
      </c>
      <c r="I426">
        <v>1</v>
      </c>
      <c r="J426">
        <v>0.36</v>
      </c>
      <c r="K426">
        <v>0.33329999999999999</v>
      </c>
      <c r="L426">
        <v>0.56999999999999995</v>
      </c>
      <c r="M426">
        <v>0.32840000000000003</v>
      </c>
      <c r="N426">
        <v>7</v>
      </c>
      <c r="O426">
        <v>190</v>
      </c>
      <c r="P426">
        <v>197</v>
      </c>
    </row>
    <row r="427" spans="1:16" x14ac:dyDescent="0.25">
      <c r="A427">
        <v>426</v>
      </c>
      <c r="B427" s="4">
        <v>40562</v>
      </c>
      <c r="C427">
        <v>1</v>
      </c>
      <c r="D427">
        <v>0</v>
      </c>
      <c r="E427">
        <v>1</v>
      </c>
      <c r="F427">
        <v>18</v>
      </c>
      <c r="G427" t="b">
        <v>0</v>
      </c>
      <c r="H427">
        <v>3</v>
      </c>
      <c r="I427">
        <v>1</v>
      </c>
      <c r="J427">
        <v>0.34</v>
      </c>
      <c r="K427">
        <v>0.31819999999999998</v>
      </c>
      <c r="L427">
        <v>0.61</v>
      </c>
      <c r="M427">
        <v>0.28360000000000002</v>
      </c>
      <c r="N427">
        <v>5</v>
      </c>
      <c r="O427">
        <v>156</v>
      </c>
      <c r="P427">
        <v>161</v>
      </c>
    </row>
    <row r="428" spans="1:16" x14ac:dyDescent="0.25">
      <c r="A428">
        <v>427</v>
      </c>
      <c r="B428" s="4">
        <v>40562</v>
      </c>
      <c r="C428">
        <v>1</v>
      </c>
      <c r="D428">
        <v>0</v>
      </c>
      <c r="E428">
        <v>1</v>
      </c>
      <c r="F428">
        <v>19</v>
      </c>
      <c r="G428" t="b">
        <v>0</v>
      </c>
      <c r="H428">
        <v>3</v>
      </c>
      <c r="I428">
        <v>1</v>
      </c>
      <c r="J428">
        <v>0.32</v>
      </c>
      <c r="K428">
        <v>0.28789999999999999</v>
      </c>
      <c r="L428">
        <v>0.56999999999999995</v>
      </c>
      <c r="M428">
        <v>0.41789999999999999</v>
      </c>
      <c r="N428">
        <v>4</v>
      </c>
      <c r="O428">
        <v>108</v>
      </c>
      <c r="P428">
        <v>112</v>
      </c>
    </row>
    <row r="429" spans="1:16" x14ac:dyDescent="0.25">
      <c r="A429">
        <v>428</v>
      </c>
      <c r="B429" s="4">
        <v>40562</v>
      </c>
      <c r="C429">
        <v>1</v>
      </c>
      <c r="D429">
        <v>0</v>
      </c>
      <c r="E429">
        <v>1</v>
      </c>
      <c r="F429">
        <v>20</v>
      </c>
      <c r="G429" t="b">
        <v>0</v>
      </c>
      <c r="H429">
        <v>3</v>
      </c>
      <c r="I429">
        <v>1</v>
      </c>
      <c r="J429">
        <v>0.32</v>
      </c>
      <c r="K429">
        <v>0.30299999999999999</v>
      </c>
      <c r="L429">
        <v>0.49</v>
      </c>
      <c r="M429">
        <v>0.29849999999999999</v>
      </c>
      <c r="N429">
        <v>2</v>
      </c>
      <c r="O429">
        <v>74</v>
      </c>
      <c r="P429">
        <v>76</v>
      </c>
    </row>
    <row r="430" spans="1:16" x14ac:dyDescent="0.25">
      <c r="A430">
        <v>429</v>
      </c>
      <c r="B430" s="4">
        <v>40562</v>
      </c>
      <c r="C430">
        <v>1</v>
      </c>
      <c r="D430">
        <v>0</v>
      </c>
      <c r="E430">
        <v>1</v>
      </c>
      <c r="F430">
        <v>21</v>
      </c>
      <c r="G430" t="b">
        <v>0</v>
      </c>
      <c r="H430">
        <v>3</v>
      </c>
      <c r="I430">
        <v>1</v>
      </c>
      <c r="J430">
        <v>0.32</v>
      </c>
      <c r="K430">
        <v>0.28789999999999999</v>
      </c>
      <c r="L430">
        <v>0.49</v>
      </c>
      <c r="M430">
        <v>0.41789999999999999</v>
      </c>
      <c r="N430">
        <v>4</v>
      </c>
      <c r="O430">
        <v>55</v>
      </c>
      <c r="P430">
        <v>59</v>
      </c>
    </row>
    <row r="431" spans="1:16" x14ac:dyDescent="0.25">
      <c r="A431">
        <v>430</v>
      </c>
      <c r="B431" s="4">
        <v>40562</v>
      </c>
      <c r="C431">
        <v>1</v>
      </c>
      <c r="D431">
        <v>0</v>
      </c>
      <c r="E431">
        <v>1</v>
      </c>
      <c r="F431">
        <v>22</v>
      </c>
      <c r="G431" t="b">
        <v>0</v>
      </c>
      <c r="H431">
        <v>3</v>
      </c>
      <c r="I431">
        <v>1</v>
      </c>
      <c r="J431">
        <v>0.3</v>
      </c>
      <c r="K431">
        <v>0.30299999999999999</v>
      </c>
      <c r="L431">
        <v>0.52</v>
      </c>
      <c r="M431">
        <v>0.16420000000000001</v>
      </c>
      <c r="N431">
        <v>6</v>
      </c>
      <c r="O431">
        <v>53</v>
      </c>
      <c r="P431">
        <v>59</v>
      </c>
    </row>
    <row r="432" spans="1:16" x14ac:dyDescent="0.25">
      <c r="A432">
        <v>431</v>
      </c>
      <c r="B432" s="4">
        <v>40562</v>
      </c>
      <c r="C432">
        <v>1</v>
      </c>
      <c r="D432">
        <v>0</v>
      </c>
      <c r="E432">
        <v>1</v>
      </c>
      <c r="F432">
        <v>23</v>
      </c>
      <c r="G432" t="b">
        <v>0</v>
      </c>
      <c r="H432">
        <v>3</v>
      </c>
      <c r="I432">
        <v>1</v>
      </c>
      <c r="J432">
        <v>0.3</v>
      </c>
      <c r="K432">
        <v>0.2727</v>
      </c>
      <c r="L432">
        <v>0.52</v>
      </c>
      <c r="M432">
        <v>0.4627</v>
      </c>
      <c r="N432">
        <v>1</v>
      </c>
      <c r="O432">
        <v>27</v>
      </c>
      <c r="P432">
        <v>28</v>
      </c>
    </row>
    <row r="433" spans="1:16" x14ac:dyDescent="0.25">
      <c r="A433">
        <v>432</v>
      </c>
      <c r="B433" s="4">
        <v>40563</v>
      </c>
      <c r="C433">
        <v>1</v>
      </c>
      <c r="D433">
        <v>0</v>
      </c>
      <c r="E433">
        <v>1</v>
      </c>
      <c r="F433">
        <v>0</v>
      </c>
      <c r="G433" t="b">
        <v>0</v>
      </c>
      <c r="H433">
        <v>4</v>
      </c>
      <c r="I433">
        <v>1</v>
      </c>
      <c r="J433">
        <v>0.26</v>
      </c>
      <c r="K433">
        <v>0.2273</v>
      </c>
      <c r="L433">
        <v>0.56000000000000005</v>
      </c>
      <c r="M433">
        <v>0.3881</v>
      </c>
      <c r="N433">
        <v>5</v>
      </c>
      <c r="O433">
        <v>8</v>
      </c>
      <c r="P433">
        <v>13</v>
      </c>
    </row>
    <row r="434" spans="1:16" x14ac:dyDescent="0.25">
      <c r="A434">
        <v>433</v>
      </c>
      <c r="B434" s="4">
        <v>40563</v>
      </c>
      <c r="C434">
        <v>1</v>
      </c>
      <c r="D434">
        <v>0</v>
      </c>
      <c r="E434">
        <v>1</v>
      </c>
      <c r="F434">
        <v>1</v>
      </c>
      <c r="G434" t="b">
        <v>0</v>
      </c>
      <c r="H434">
        <v>4</v>
      </c>
      <c r="I434">
        <v>1</v>
      </c>
      <c r="J434">
        <v>0.26</v>
      </c>
      <c r="K434">
        <v>0.2727</v>
      </c>
      <c r="L434">
        <v>0.56000000000000005</v>
      </c>
      <c r="M434">
        <v>0</v>
      </c>
      <c r="N434">
        <v>2</v>
      </c>
      <c r="O434">
        <v>3</v>
      </c>
      <c r="P434">
        <v>5</v>
      </c>
    </row>
    <row r="435" spans="1:16" x14ac:dyDescent="0.25">
      <c r="A435">
        <v>434</v>
      </c>
      <c r="B435" s="4">
        <v>40563</v>
      </c>
      <c r="C435">
        <v>1</v>
      </c>
      <c r="D435">
        <v>0</v>
      </c>
      <c r="E435">
        <v>1</v>
      </c>
      <c r="F435">
        <v>2</v>
      </c>
      <c r="G435" t="b">
        <v>0</v>
      </c>
      <c r="H435">
        <v>4</v>
      </c>
      <c r="I435">
        <v>1</v>
      </c>
      <c r="J435">
        <v>0.26</v>
      </c>
      <c r="K435">
        <v>0.2727</v>
      </c>
      <c r="L435">
        <v>0.56000000000000005</v>
      </c>
      <c r="M435">
        <v>0</v>
      </c>
      <c r="N435">
        <v>0</v>
      </c>
      <c r="O435">
        <v>2</v>
      </c>
      <c r="P435">
        <v>2</v>
      </c>
    </row>
    <row r="436" spans="1:16" x14ac:dyDescent="0.25">
      <c r="A436">
        <v>435</v>
      </c>
      <c r="B436" s="4">
        <v>40563</v>
      </c>
      <c r="C436">
        <v>1</v>
      </c>
      <c r="D436">
        <v>0</v>
      </c>
      <c r="E436">
        <v>1</v>
      </c>
      <c r="F436">
        <v>3</v>
      </c>
      <c r="G436" t="b">
        <v>0</v>
      </c>
      <c r="H436">
        <v>4</v>
      </c>
      <c r="I436">
        <v>1</v>
      </c>
      <c r="J436">
        <v>0.26</v>
      </c>
      <c r="K436">
        <v>0.2576</v>
      </c>
      <c r="L436">
        <v>0.56000000000000005</v>
      </c>
      <c r="M436">
        <v>0.16420000000000001</v>
      </c>
      <c r="N436">
        <v>0</v>
      </c>
      <c r="O436">
        <v>1</v>
      </c>
      <c r="P436">
        <v>1</v>
      </c>
    </row>
    <row r="437" spans="1:16" x14ac:dyDescent="0.25">
      <c r="A437">
        <v>436</v>
      </c>
      <c r="B437" s="4">
        <v>40563</v>
      </c>
      <c r="C437">
        <v>1</v>
      </c>
      <c r="D437">
        <v>0</v>
      </c>
      <c r="E437">
        <v>1</v>
      </c>
      <c r="F437">
        <v>4</v>
      </c>
      <c r="G437" t="b">
        <v>0</v>
      </c>
      <c r="H437">
        <v>4</v>
      </c>
      <c r="I437">
        <v>1</v>
      </c>
      <c r="J437">
        <v>0.26</v>
      </c>
      <c r="K437">
        <v>0.2576</v>
      </c>
      <c r="L437">
        <v>0.56000000000000005</v>
      </c>
      <c r="M437">
        <v>0.16420000000000001</v>
      </c>
      <c r="N437">
        <v>0</v>
      </c>
      <c r="O437">
        <v>1</v>
      </c>
      <c r="P437">
        <v>1</v>
      </c>
    </row>
    <row r="438" spans="1:16" x14ac:dyDescent="0.25">
      <c r="A438">
        <v>437</v>
      </c>
      <c r="B438" s="4">
        <v>40563</v>
      </c>
      <c r="C438">
        <v>1</v>
      </c>
      <c r="D438">
        <v>0</v>
      </c>
      <c r="E438">
        <v>1</v>
      </c>
      <c r="F438">
        <v>5</v>
      </c>
      <c r="G438" t="b">
        <v>0</v>
      </c>
      <c r="H438">
        <v>4</v>
      </c>
      <c r="I438">
        <v>1</v>
      </c>
      <c r="J438">
        <v>0.24</v>
      </c>
      <c r="K438">
        <v>0.2273</v>
      </c>
      <c r="L438">
        <v>0.6</v>
      </c>
      <c r="M438">
        <v>0.22389999999999999</v>
      </c>
      <c r="N438">
        <v>0</v>
      </c>
      <c r="O438">
        <v>6</v>
      </c>
      <c r="P438">
        <v>6</v>
      </c>
    </row>
    <row r="439" spans="1:16" x14ac:dyDescent="0.25">
      <c r="A439">
        <v>438</v>
      </c>
      <c r="B439" s="4">
        <v>40563</v>
      </c>
      <c r="C439">
        <v>1</v>
      </c>
      <c r="D439">
        <v>0</v>
      </c>
      <c r="E439">
        <v>1</v>
      </c>
      <c r="F439">
        <v>6</v>
      </c>
      <c r="G439" t="b">
        <v>0</v>
      </c>
      <c r="H439">
        <v>4</v>
      </c>
      <c r="I439">
        <v>1</v>
      </c>
      <c r="J439">
        <v>0.22</v>
      </c>
      <c r="K439">
        <v>0.21210000000000001</v>
      </c>
      <c r="L439">
        <v>0.6</v>
      </c>
      <c r="M439">
        <v>0.22389999999999999</v>
      </c>
      <c r="N439">
        <v>0</v>
      </c>
      <c r="O439">
        <v>35</v>
      </c>
      <c r="P439">
        <v>35</v>
      </c>
    </row>
    <row r="440" spans="1:16" x14ac:dyDescent="0.25">
      <c r="A440">
        <v>439</v>
      </c>
      <c r="B440" s="4">
        <v>40563</v>
      </c>
      <c r="C440">
        <v>1</v>
      </c>
      <c r="D440">
        <v>0</v>
      </c>
      <c r="E440">
        <v>1</v>
      </c>
      <c r="F440">
        <v>7</v>
      </c>
      <c r="G440" t="b">
        <v>0</v>
      </c>
      <c r="H440">
        <v>4</v>
      </c>
      <c r="I440">
        <v>1</v>
      </c>
      <c r="J440">
        <v>0.22</v>
      </c>
      <c r="K440">
        <v>0.21210000000000001</v>
      </c>
      <c r="L440">
        <v>0.55000000000000004</v>
      </c>
      <c r="M440">
        <v>0.22389999999999999</v>
      </c>
      <c r="N440">
        <v>1</v>
      </c>
      <c r="O440">
        <v>100</v>
      </c>
      <c r="P440">
        <v>101</v>
      </c>
    </row>
    <row r="441" spans="1:16" x14ac:dyDescent="0.25">
      <c r="A441">
        <v>440</v>
      </c>
      <c r="B441" s="4">
        <v>40563</v>
      </c>
      <c r="C441">
        <v>1</v>
      </c>
      <c r="D441">
        <v>0</v>
      </c>
      <c r="E441">
        <v>1</v>
      </c>
      <c r="F441">
        <v>8</v>
      </c>
      <c r="G441" t="b">
        <v>0</v>
      </c>
      <c r="H441">
        <v>4</v>
      </c>
      <c r="I441">
        <v>1</v>
      </c>
      <c r="J441">
        <v>0.22</v>
      </c>
      <c r="K441">
        <v>0.21210000000000001</v>
      </c>
      <c r="L441">
        <v>0.55000000000000004</v>
      </c>
      <c r="M441">
        <v>0.28360000000000002</v>
      </c>
      <c r="N441">
        <v>2</v>
      </c>
      <c r="O441">
        <v>247</v>
      </c>
      <c r="P441">
        <v>249</v>
      </c>
    </row>
    <row r="442" spans="1:16" x14ac:dyDescent="0.25">
      <c r="A442">
        <v>441</v>
      </c>
      <c r="B442" s="4">
        <v>40563</v>
      </c>
      <c r="C442">
        <v>1</v>
      </c>
      <c r="D442">
        <v>0</v>
      </c>
      <c r="E442">
        <v>1</v>
      </c>
      <c r="F442">
        <v>9</v>
      </c>
      <c r="G442" t="b">
        <v>0</v>
      </c>
      <c r="H442">
        <v>4</v>
      </c>
      <c r="I442">
        <v>2</v>
      </c>
      <c r="J442">
        <v>0.24</v>
      </c>
      <c r="K442">
        <v>0.2273</v>
      </c>
      <c r="L442">
        <v>0.52</v>
      </c>
      <c r="M442">
        <v>0.22389999999999999</v>
      </c>
      <c r="N442">
        <v>3</v>
      </c>
      <c r="O442">
        <v>140</v>
      </c>
      <c r="P442">
        <v>143</v>
      </c>
    </row>
    <row r="443" spans="1:16" x14ac:dyDescent="0.25">
      <c r="A443">
        <v>442</v>
      </c>
      <c r="B443" s="4">
        <v>40563</v>
      </c>
      <c r="C443">
        <v>1</v>
      </c>
      <c r="D443">
        <v>0</v>
      </c>
      <c r="E443">
        <v>1</v>
      </c>
      <c r="F443">
        <v>10</v>
      </c>
      <c r="G443" t="b">
        <v>0</v>
      </c>
      <c r="H443">
        <v>4</v>
      </c>
      <c r="I443">
        <v>1</v>
      </c>
      <c r="J443">
        <v>0.26</v>
      </c>
      <c r="K443">
        <v>0.2273</v>
      </c>
      <c r="L443">
        <v>0.48</v>
      </c>
      <c r="M443">
        <v>0.29849999999999999</v>
      </c>
      <c r="N443">
        <v>1</v>
      </c>
      <c r="O443">
        <v>56</v>
      </c>
      <c r="P443">
        <v>57</v>
      </c>
    </row>
    <row r="444" spans="1:16" x14ac:dyDescent="0.25">
      <c r="A444">
        <v>443</v>
      </c>
      <c r="B444" s="4">
        <v>40563</v>
      </c>
      <c r="C444">
        <v>1</v>
      </c>
      <c r="D444">
        <v>0</v>
      </c>
      <c r="E444">
        <v>1</v>
      </c>
      <c r="F444">
        <v>11</v>
      </c>
      <c r="G444" t="b">
        <v>0</v>
      </c>
      <c r="H444">
        <v>4</v>
      </c>
      <c r="I444">
        <v>2</v>
      </c>
      <c r="J444">
        <v>0.28000000000000003</v>
      </c>
      <c r="K444">
        <v>0.2727</v>
      </c>
      <c r="L444">
        <v>0.45</v>
      </c>
      <c r="M444">
        <v>0.16420000000000001</v>
      </c>
      <c r="N444">
        <v>5</v>
      </c>
      <c r="O444">
        <v>63</v>
      </c>
      <c r="P444">
        <v>68</v>
      </c>
    </row>
    <row r="445" spans="1:16" x14ac:dyDescent="0.25">
      <c r="A445">
        <v>444</v>
      </c>
      <c r="B445" s="4">
        <v>40563</v>
      </c>
      <c r="C445">
        <v>1</v>
      </c>
      <c r="D445">
        <v>0</v>
      </c>
      <c r="E445">
        <v>1</v>
      </c>
      <c r="F445">
        <v>12</v>
      </c>
      <c r="G445" t="b">
        <v>0</v>
      </c>
      <c r="H445">
        <v>4</v>
      </c>
      <c r="I445">
        <v>2</v>
      </c>
      <c r="J445">
        <v>0.3</v>
      </c>
      <c r="K445">
        <v>0.33329999999999999</v>
      </c>
      <c r="L445">
        <v>0.42</v>
      </c>
      <c r="M445">
        <v>0</v>
      </c>
      <c r="N445">
        <v>7</v>
      </c>
      <c r="O445">
        <v>77</v>
      </c>
      <c r="P445">
        <v>84</v>
      </c>
    </row>
    <row r="446" spans="1:16" x14ac:dyDescent="0.25">
      <c r="A446">
        <v>445</v>
      </c>
      <c r="B446" s="4">
        <v>40563</v>
      </c>
      <c r="C446">
        <v>1</v>
      </c>
      <c r="D446">
        <v>0</v>
      </c>
      <c r="E446">
        <v>1</v>
      </c>
      <c r="F446">
        <v>13</v>
      </c>
      <c r="G446" t="b">
        <v>0</v>
      </c>
      <c r="H446">
        <v>4</v>
      </c>
      <c r="I446">
        <v>2</v>
      </c>
      <c r="J446">
        <v>0.28000000000000003</v>
      </c>
      <c r="K446">
        <v>0.28789999999999999</v>
      </c>
      <c r="L446">
        <v>0.45</v>
      </c>
      <c r="M446">
        <v>0.1045</v>
      </c>
      <c r="N446">
        <v>12</v>
      </c>
      <c r="O446">
        <v>86</v>
      </c>
      <c r="P446">
        <v>98</v>
      </c>
    </row>
    <row r="447" spans="1:16" x14ac:dyDescent="0.25">
      <c r="A447">
        <v>446</v>
      </c>
      <c r="B447" s="4">
        <v>40563</v>
      </c>
      <c r="C447">
        <v>1</v>
      </c>
      <c r="D447">
        <v>0</v>
      </c>
      <c r="E447">
        <v>1</v>
      </c>
      <c r="F447">
        <v>14</v>
      </c>
      <c r="G447" t="b">
        <v>0</v>
      </c>
      <c r="H447">
        <v>4</v>
      </c>
      <c r="I447">
        <v>2</v>
      </c>
      <c r="J447">
        <v>0.3</v>
      </c>
      <c r="K447">
        <v>0.30299999999999999</v>
      </c>
      <c r="L447">
        <v>0.45</v>
      </c>
      <c r="M447">
        <v>0.1343</v>
      </c>
      <c r="N447">
        <v>6</v>
      </c>
      <c r="O447">
        <v>75</v>
      </c>
      <c r="P447">
        <v>81</v>
      </c>
    </row>
    <row r="448" spans="1:16" x14ac:dyDescent="0.25">
      <c r="A448">
        <v>447</v>
      </c>
      <c r="B448" s="4">
        <v>40563</v>
      </c>
      <c r="C448">
        <v>1</v>
      </c>
      <c r="D448">
        <v>0</v>
      </c>
      <c r="E448">
        <v>1</v>
      </c>
      <c r="F448">
        <v>15</v>
      </c>
      <c r="G448" t="b">
        <v>0</v>
      </c>
      <c r="H448">
        <v>4</v>
      </c>
      <c r="I448">
        <v>2</v>
      </c>
      <c r="J448">
        <v>0.32</v>
      </c>
      <c r="K448">
        <v>0.31819999999999998</v>
      </c>
      <c r="L448">
        <v>0.45</v>
      </c>
      <c r="M448">
        <v>0.19400000000000001</v>
      </c>
      <c r="N448">
        <v>8</v>
      </c>
      <c r="O448">
        <v>62</v>
      </c>
      <c r="P448">
        <v>70</v>
      </c>
    </row>
    <row r="449" spans="1:16" x14ac:dyDescent="0.25">
      <c r="A449">
        <v>448</v>
      </c>
      <c r="B449" s="4">
        <v>40563</v>
      </c>
      <c r="C449">
        <v>1</v>
      </c>
      <c r="D449">
        <v>0</v>
      </c>
      <c r="E449">
        <v>1</v>
      </c>
      <c r="F449">
        <v>16</v>
      </c>
      <c r="G449" t="b">
        <v>0</v>
      </c>
      <c r="H449">
        <v>4</v>
      </c>
      <c r="I449">
        <v>2</v>
      </c>
      <c r="J449">
        <v>0.3</v>
      </c>
      <c r="K449">
        <v>0.30299999999999999</v>
      </c>
      <c r="L449">
        <v>0.49</v>
      </c>
      <c r="M449">
        <v>0.1343</v>
      </c>
      <c r="N449">
        <v>8</v>
      </c>
      <c r="O449">
        <v>83</v>
      </c>
      <c r="P449">
        <v>91</v>
      </c>
    </row>
    <row r="450" spans="1:16" x14ac:dyDescent="0.25">
      <c r="A450">
        <v>449</v>
      </c>
      <c r="B450" s="4">
        <v>40563</v>
      </c>
      <c r="C450">
        <v>1</v>
      </c>
      <c r="D450">
        <v>0</v>
      </c>
      <c r="E450">
        <v>1</v>
      </c>
      <c r="F450">
        <v>17</v>
      </c>
      <c r="G450" t="b">
        <v>0</v>
      </c>
      <c r="H450">
        <v>4</v>
      </c>
      <c r="I450">
        <v>2</v>
      </c>
      <c r="J450">
        <v>0.3</v>
      </c>
      <c r="K450">
        <v>0.31819999999999998</v>
      </c>
      <c r="L450">
        <v>0.49</v>
      </c>
      <c r="M450">
        <v>0.1045</v>
      </c>
      <c r="N450">
        <v>8</v>
      </c>
      <c r="O450">
        <v>207</v>
      </c>
      <c r="P450">
        <v>215</v>
      </c>
    </row>
    <row r="451" spans="1:16" x14ac:dyDescent="0.25">
      <c r="A451">
        <v>450</v>
      </c>
      <c r="B451" s="4">
        <v>40563</v>
      </c>
      <c r="C451">
        <v>1</v>
      </c>
      <c r="D451">
        <v>0</v>
      </c>
      <c r="E451">
        <v>1</v>
      </c>
      <c r="F451">
        <v>18</v>
      </c>
      <c r="G451" t="b">
        <v>0</v>
      </c>
      <c r="H451">
        <v>4</v>
      </c>
      <c r="I451">
        <v>2</v>
      </c>
      <c r="J451">
        <v>0.26</v>
      </c>
      <c r="K451">
        <v>0.2576</v>
      </c>
      <c r="L451">
        <v>0.56000000000000005</v>
      </c>
      <c r="M451">
        <v>0.19400000000000001</v>
      </c>
      <c r="N451">
        <v>1</v>
      </c>
      <c r="O451">
        <v>184</v>
      </c>
      <c r="P451">
        <v>185</v>
      </c>
    </row>
    <row r="452" spans="1:16" x14ac:dyDescent="0.25">
      <c r="A452">
        <v>451</v>
      </c>
      <c r="B452" s="4">
        <v>40563</v>
      </c>
      <c r="C452">
        <v>1</v>
      </c>
      <c r="D452">
        <v>0</v>
      </c>
      <c r="E452">
        <v>1</v>
      </c>
      <c r="F452">
        <v>19</v>
      </c>
      <c r="G452" t="b">
        <v>0</v>
      </c>
      <c r="H452">
        <v>4</v>
      </c>
      <c r="I452">
        <v>1</v>
      </c>
      <c r="J452">
        <v>0.26</v>
      </c>
      <c r="K452">
        <v>0.2273</v>
      </c>
      <c r="L452">
        <v>0.56000000000000005</v>
      </c>
      <c r="M452">
        <v>0.32840000000000003</v>
      </c>
      <c r="N452">
        <v>6</v>
      </c>
      <c r="O452">
        <v>146</v>
      </c>
      <c r="P452">
        <v>152</v>
      </c>
    </row>
    <row r="453" spans="1:16" x14ac:dyDescent="0.25">
      <c r="A453">
        <v>452</v>
      </c>
      <c r="B453" s="4">
        <v>40563</v>
      </c>
      <c r="C453">
        <v>1</v>
      </c>
      <c r="D453">
        <v>0</v>
      </c>
      <c r="E453">
        <v>1</v>
      </c>
      <c r="F453">
        <v>20</v>
      </c>
      <c r="G453" t="b">
        <v>0</v>
      </c>
      <c r="H453">
        <v>4</v>
      </c>
      <c r="I453">
        <v>2</v>
      </c>
      <c r="J453">
        <v>0.26</v>
      </c>
      <c r="K453">
        <v>0.2424</v>
      </c>
      <c r="L453">
        <v>0.6</v>
      </c>
      <c r="M453">
        <v>0.28360000000000002</v>
      </c>
      <c r="N453">
        <v>2</v>
      </c>
      <c r="O453">
        <v>124</v>
      </c>
      <c r="P453">
        <v>126</v>
      </c>
    </row>
    <row r="454" spans="1:16" x14ac:dyDescent="0.25">
      <c r="A454">
        <v>453</v>
      </c>
      <c r="B454" s="4">
        <v>40563</v>
      </c>
      <c r="C454">
        <v>1</v>
      </c>
      <c r="D454">
        <v>0</v>
      </c>
      <c r="E454">
        <v>1</v>
      </c>
      <c r="F454">
        <v>21</v>
      </c>
      <c r="G454" t="b">
        <v>0</v>
      </c>
      <c r="H454">
        <v>4</v>
      </c>
      <c r="I454">
        <v>2</v>
      </c>
      <c r="J454">
        <v>0.24</v>
      </c>
      <c r="K454">
        <v>0.2273</v>
      </c>
      <c r="L454">
        <v>0.6</v>
      </c>
      <c r="M454">
        <v>0.25369999999999998</v>
      </c>
      <c r="N454">
        <v>3</v>
      </c>
      <c r="O454">
        <v>54</v>
      </c>
      <c r="P454">
        <v>57</v>
      </c>
    </row>
    <row r="455" spans="1:16" x14ac:dyDescent="0.25">
      <c r="A455">
        <v>454</v>
      </c>
      <c r="B455" s="4">
        <v>40563</v>
      </c>
      <c r="C455">
        <v>1</v>
      </c>
      <c r="D455">
        <v>0</v>
      </c>
      <c r="E455">
        <v>1</v>
      </c>
      <c r="F455">
        <v>22</v>
      </c>
      <c r="G455" t="b">
        <v>0</v>
      </c>
      <c r="H455">
        <v>4</v>
      </c>
      <c r="I455">
        <v>2</v>
      </c>
      <c r="J455">
        <v>0.24</v>
      </c>
      <c r="K455">
        <v>0.21210000000000001</v>
      </c>
      <c r="L455">
        <v>0.65</v>
      </c>
      <c r="M455">
        <v>0.28360000000000002</v>
      </c>
      <c r="N455">
        <v>0</v>
      </c>
      <c r="O455">
        <v>56</v>
      </c>
      <c r="P455">
        <v>56</v>
      </c>
    </row>
    <row r="456" spans="1:16" x14ac:dyDescent="0.25">
      <c r="A456">
        <v>455</v>
      </c>
      <c r="B456" s="4">
        <v>40563</v>
      </c>
      <c r="C456">
        <v>1</v>
      </c>
      <c r="D456">
        <v>0</v>
      </c>
      <c r="E456">
        <v>1</v>
      </c>
      <c r="F456">
        <v>23</v>
      </c>
      <c r="G456" t="b">
        <v>0</v>
      </c>
      <c r="H456">
        <v>4</v>
      </c>
      <c r="I456">
        <v>2</v>
      </c>
      <c r="J456">
        <v>0.24</v>
      </c>
      <c r="K456">
        <v>0.21210000000000001</v>
      </c>
      <c r="L456">
        <v>0.65</v>
      </c>
      <c r="M456">
        <v>0.32840000000000003</v>
      </c>
      <c r="N456">
        <v>3</v>
      </c>
      <c r="O456">
        <v>28</v>
      </c>
      <c r="P456">
        <v>31</v>
      </c>
    </row>
    <row r="457" spans="1:16" x14ac:dyDescent="0.25">
      <c r="A457">
        <v>456</v>
      </c>
      <c r="B457" s="4">
        <v>40564</v>
      </c>
      <c r="C457">
        <v>1</v>
      </c>
      <c r="D457">
        <v>0</v>
      </c>
      <c r="E457">
        <v>1</v>
      </c>
      <c r="F457">
        <v>0</v>
      </c>
      <c r="G457" t="b">
        <v>0</v>
      </c>
      <c r="H457">
        <v>5</v>
      </c>
      <c r="I457">
        <v>2</v>
      </c>
      <c r="J457">
        <v>0.24</v>
      </c>
      <c r="K457">
        <v>0.2273</v>
      </c>
      <c r="L457">
        <v>0.7</v>
      </c>
      <c r="M457">
        <v>0.25369999999999998</v>
      </c>
      <c r="N457">
        <v>1</v>
      </c>
      <c r="O457">
        <v>20</v>
      </c>
      <c r="P457">
        <v>21</v>
      </c>
    </row>
    <row r="458" spans="1:16" x14ac:dyDescent="0.25">
      <c r="A458">
        <v>457</v>
      </c>
      <c r="B458" s="4">
        <v>40564</v>
      </c>
      <c r="C458">
        <v>1</v>
      </c>
      <c r="D458">
        <v>0</v>
      </c>
      <c r="E458">
        <v>1</v>
      </c>
      <c r="F458">
        <v>1</v>
      </c>
      <c r="G458" t="b">
        <v>0</v>
      </c>
      <c r="H458">
        <v>5</v>
      </c>
      <c r="I458">
        <v>2</v>
      </c>
      <c r="J458">
        <v>0.24</v>
      </c>
      <c r="K458">
        <v>0.2273</v>
      </c>
      <c r="L458">
        <v>0.7</v>
      </c>
      <c r="M458">
        <v>0.25369999999999998</v>
      </c>
      <c r="N458">
        <v>0</v>
      </c>
      <c r="O458">
        <v>6</v>
      </c>
      <c r="P458">
        <v>6</v>
      </c>
    </row>
    <row r="459" spans="1:16" x14ac:dyDescent="0.25">
      <c r="A459">
        <v>458</v>
      </c>
      <c r="B459" s="4">
        <v>40564</v>
      </c>
      <c r="C459">
        <v>1</v>
      </c>
      <c r="D459">
        <v>0</v>
      </c>
      <c r="E459">
        <v>1</v>
      </c>
      <c r="F459">
        <v>2</v>
      </c>
      <c r="G459" t="b">
        <v>0</v>
      </c>
      <c r="H459">
        <v>5</v>
      </c>
      <c r="I459">
        <v>3</v>
      </c>
      <c r="J459">
        <v>0.24</v>
      </c>
      <c r="K459">
        <v>0.2424</v>
      </c>
      <c r="L459">
        <v>0.75</v>
      </c>
      <c r="M459">
        <v>0.16420000000000001</v>
      </c>
      <c r="N459">
        <v>0</v>
      </c>
      <c r="O459">
        <v>2</v>
      </c>
      <c r="P459">
        <v>2</v>
      </c>
    </row>
    <row r="460" spans="1:16" x14ac:dyDescent="0.25">
      <c r="A460">
        <v>459</v>
      </c>
      <c r="B460" s="4">
        <v>40564</v>
      </c>
      <c r="C460">
        <v>1</v>
      </c>
      <c r="D460">
        <v>0</v>
      </c>
      <c r="E460">
        <v>1</v>
      </c>
      <c r="F460">
        <v>3</v>
      </c>
      <c r="G460" t="b">
        <v>0</v>
      </c>
      <c r="H460">
        <v>5</v>
      </c>
      <c r="I460">
        <v>3</v>
      </c>
      <c r="J460">
        <v>0.22</v>
      </c>
      <c r="K460">
        <v>0.21210000000000001</v>
      </c>
      <c r="L460">
        <v>0.8</v>
      </c>
      <c r="M460">
        <v>0.29849999999999999</v>
      </c>
      <c r="N460">
        <v>0</v>
      </c>
      <c r="O460">
        <v>1</v>
      </c>
      <c r="P460">
        <v>1</v>
      </c>
    </row>
    <row r="461" spans="1:16" x14ac:dyDescent="0.25">
      <c r="A461">
        <v>460</v>
      </c>
      <c r="B461" s="4">
        <v>40564</v>
      </c>
      <c r="C461">
        <v>1</v>
      </c>
      <c r="D461">
        <v>0</v>
      </c>
      <c r="E461">
        <v>1</v>
      </c>
      <c r="F461">
        <v>4</v>
      </c>
      <c r="G461" t="b">
        <v>0</v>
      </c>
      <c r="H461">
        <v>5</v>
      </c>
      <c r="I461">
        <v>2</v>
      </c>
      <c r="J461">
        <v>0.22</v>
      </c>
      <c r="K461">
        <v>0.2576</v>
      </c>
      <c r="L461">
        <v>0.87</v>
      </c>
      <c r="M461">
        <v>8.9599999999999999E-2</v>
      </c>
      <c r="N461">
        <v>0</v>
      </c>
      <c r="O461">
        <v>1</v>
      </c>
      <c r="P461">
        <v>1</v>
      </c>
    </row>
    <row r="462" spans="1:16" x14ac:dyDescent="0.25">
      <c r="A462">
        <v>461</v>
      </c>
      <c r="B462" s="4">
        <v>40564</v>
      </c>
      <c r="C462">
        <v>1</v>
      </c>
      <c r="D462">
        <v>0</v>
      </c>
      <c r="E462">
        <v>1</v>
      </c>
      <c r="F462">
        <v>5</v>
      </c>
      <c r="G462" t="b">
        <v>0</v>
      </c>
      <c r="H462">
        <v>5</v>
      </c>
      <c r="I462">
        <v>1</v>
      </c>
      <c r="J462">
        <v>0.24</v>
      </c>
      <c r="K462">
        <v>0.19700000000000001</v>
      </c>
      <c r="L462">
        <v>0.6</v>
      </c>
      <c r="M462">
        <v>0.41789999999999999</v>
      </c>
      <c r="N462">
        <v>1</v>
      </c>
      <c r="O462">
        <v>4</v>
      </c>
      <c r="P462">
        <v>5</v>
      </c>
    </row>
    <row r="463" spans="1:16" x14ac:dyDescent="0.25">
      <c r="A463">
        <v>462</v>
      </c>
      <c r="B463" s="4">
        <v>40564</v>
      </c>
      <c r="C463">
        <v>1</v>
      </c>
      <c r="D463">
        <v>0</v>
      </c>
      <c r="E463">
        <v>1</v>
      </c>
      <c r="F463">
        <v>6</v>
      </c>
      <c r="G463" t="b">
        <v>0</v>
      </c>
      <c r="H463">
        <v>5</v>
      </c>
      <c r="I463">
        <v>1</v>
      </c>
      <c r="J463">
        <v>0.22</v>
      </c>
      <c r="K463">
        <v>0.21210000000000001</v>
      </c>
      <c r="L463">
        <v>0.55000000000000004</v>
      </c>
      <c r="M463">
        <v>0.25369999999999998</v>
      </c>
      <c r="N463">
        <v>0</v>
      </c>
      <c r="O463">
        <v>27</v>
      </c>
      <c r="P463">
        <v>27</v>
      </c>
    </row>
    <row r="464" spans="1:16" x14ac:dyDescent="0.25">
      <c r="A464">
        <v>463</v>
      </c>
      <c r="B464" s="4">
        <v>40564</v>
      </c>
      <c r="C464">
        <v>1</v>
      </c>
      <c r="D464">
        <v>0</v>
      </c>
      <c r="E464">
        <v>1</v>
      </c>
      <c r="F464">
        <v>7</v>
      </c>
      <c r="G464" t="b">
        <v>0</v>
      </c>
      <c r="H464">
        <v>5</v>
      </c>
      <c r="I464">
        <v>1</v>
      </c>
      <c r="J464">
        <v>0.2</v>
      </c>
      <c r="K464">
        <v>0.18179999999999999</v>
      </c>
      <c r="L464">
        <v>0.51</v>
      </c>
      <c r="M464">
        <v>0.28360000000000002</v>
      </c>
      <c r="N464">
        <v>2</v>
      </c>
      <c r="O464">
        <v>66</v>
      </c>
      <c r="P464">
        <v>68</v>
      </c>
    </row>
    <row r="465" spans="1:16" x14ac:dyDescent="0.25">
      <c r="A465">
        <v>464</v>
      </c>
      <c r="B465" s="4">
        <v>40564</v>
      </c>
      <c r="C465">
        <v>1</v>
      </c>
      <c r="D465">
        <v>0</v>
      </c>
      <c r="E465">
        <v>1</v>
      </c>
      <c r="F465">
        <v>8</v>
      </c>
      <c r="G465" t="b">
        <v>0</v>
      </c>
      <c r="H465">
        <v>5</v>
      </c>
      <c r="I465">
        <v>1</v>
      </c>
      <c r="J465">
        <v>0.2</v>
      </c>
      <c r="K465">
        <v>0.18179999999999999</v>
      </c>
      <c r="L465">
        <v>0.47</v>
      </c>
      <c r="M465">
        <v>0.32840000000000003</v>
      </c>
      <c r="N465">
        <v>7</v>
      </c>
      <c r="O465">
        <v>210</v>
      </c>
      <c r="P465">
        <v>217</v>
      </c>
    </row>
    <row r="466" spans="1:16" x14ac:dyDescent="0.25">
      <c r="A466">
        <v>465</v>
      </c>
      <c r="B466" s="4">
        <v>40564</v>
      </c>
      <c r="C466">
        <v>1</v>
      </c>
      <c r="D466">
        <v>0</v>
      </c>
      <c r="E466">
        <v>1</v>
      </c>
      <c r="F466">
        <v>9</v>
      </c>
      <c r="G466" t="b">
        <v>0</v>
      </c>
      <c r="H466">
        <v>5</v>
      </c>
      <c r="I466">
        <v>1</v>
      </c>
      <c r="J466">
        <v>0.2</v>
      </c>
      <c r="K466">
        <v>0.18179999999999999</v>
      </c>
      <c r="L466">
        <v>0.51</v>
      </c>
      <c r="M466">
        <v>0.35820000000000002</v>
      </c>
      <c r="N466">
        <v>7</v>
      </c>
      <c r="O466">
        <v>159</v>
      </c>
      <c r="P466">
        <v>166</v>
      </c>
    </row>
    <row r="467" spans="1:16" x14ac:dyDescent="0.25">
      <c r="A467">
        <v>466</v>
      </c>
      <c r="B467" s="4">
        <v>40564</v>
      </c>
      <c r="C467">
        <v>1</v>
      </c>
      <c r="D467">
        <v>0</v>
      </c>
      <c r="E467">
        <v>1</v>
      </c>
      <c r="F467">
        <v>10</v>
      </c>
      <c r="G467" t="b">
        <v>0</v>
      </c>
      <c r="H467">
        <v>5</v>
      </c>
      <c r="I467">
        <v>1</v>
      </c>
      <c r="J467">
        <v>0.2</v>
      </c>
      <c r="K467">
        <v>0.16669999999999999</v>
      </c>
      <c r="L467">
        <v>0.47</v>
      </c>
      <c r="M467">
        <v>0.4627</v>
      </c>
      <c r="N467">
        <v>6</v>
      </c>
      <c r="O467">
        <v>57</v>
      </c>
      <c r="P467">
        <v>63</v>
      </c>
    </row>
    <row r="468" spans="1:16" x14ac:dyDescent="0.25">
      <c r="A468">
        <v>467</v>
      </c>
      <c r="B468" s="4">
        <v>40564</v>
      </c>
      <c r="C468">
        <v>1</v>
      </c>
      <c r="D468">
        <v>0</v>
      </c>
      <c r="E468">
        <v>1</v>
      </c>
      <c r="F468">
        <v>11</v>
      </c>
      <c r="G468" t="b">
        <v>0</v>
      </c>
      <c r="H468">
        <v>5</v>
      </c>
      <c r="I468">
        <v>1</v>
      </c>
      <c r="J468">
        <v>0.22</v>
      </c>
      <c r="K468">
        <v>0.18179999999999999</v>
      </c>
      <c r="L468">
        <v>0.41</v>
      </c>
      <c r="M468">
        <v>0.4627</v>
      </c>
      <c r="N468">
        <v>6</v>
      </c>
      <c r="O468">
        <v>53</v>
      </c>
      <c r="P468">
        <v>59</v>
      </c>
    </row>
    <row r="469" spans="1:16" x14ac:dyDescent="0.25">
      <c r="A469">
        <v>468</v>
      </c>
      <c r="B469" s="4">
        <v>40564</v>
      </c>
      <c r="C469">
        <v>1</v>
      </c>
      <c r="D469">
        <v>0</v>
      </c>
      <c r="E469">
        <v>1</v>
      </c>
      <c r="F469">
        <v>12</v>
      </c>
      <c r="G469" t="b">
        <v>0</v>
      </c>
      <c r="H469">
        <v>5</v>
      </c>
      <c r="I469">
        <v>1</v>
      </c>
      <c r="J469">
        <v>0.22</v>
      </c>
      <c r="K469">
        <v>0.18179999999999999</v>
      </c>
      <c r="L469">
        <v>0.27</v>
      </c>
      <c r="M469">
        <v>0.58209999999999995</v>
      </c>
      <c r="N469">
        <v>11</v>
      </c>
      <c r="O469">
        <v>67</v>
      </c>
      <c r="P469">
        <v>78</v>
      </c>
    </row>
    <row r="470" spans="1:16" x14ac:dyDescent="0.25">
      <c r="A470">
        <v>469</v>
      </c>
      <c r="B470" s="4">
        <v>40564</v>
      </c>
      <c r="C470">
        <v>1</v>
      </c>
      <c r="D470">
        <v>0</v>
      </c>
      <c r="E470">
        <v>1</v>
      </c>
      <c r="F470">
        <v>13</v>
      </c>
      <c r="G470" t="b">
        <v>0</v>
      </c>
      <c r="H470">
        <v>5</v>
      </c>
      <c r="I470">
        <v>1</v>
      </c>
      <c r="J470">
        <v>0.2</v>
      </c>
      <c r="K470">
        <v>0.1515</v>
      </c>
      <c r="L470">
        <v>0.21</v>
      </c>
      <c r="M470">
        <v>0.58209999999999995</v>
      </c>
      <c r="N470">
        <v>8</v>
      </c>
      <c r="O470">
        <v>65</v>
      </c>
      <c r="P470">
        <v>73</v>
      </c>
    </row>
    <row r="471" spans="1:16" x14ac:dyDescent="0.25">
      <c r="A471">
        <v>470</v>
      </c>
      <c r="B471" s="4">
        <v>40564</v>
      </c>
      <c r="C471">
        <v>1</v>
      </c>
      <c r="D471">
        <v>0</v>
      </c>
      <c r="E471">
        <v>1</v>
      </c>
      <c r="F471">
        <v>14</v>
      </c>
      <c r="G471" t="b">
        <v>0</v>
      </c>
      <c r="H471">
        <v>5</v>
      </c>
      <c r="I471">
        <v>1</v>
      </c>
      <c r="J471">
        <v>0.2</v>
      </c>
      <c r="K471">
        <v>0.1515</v>
      </c>
      <c r="L471">
        <v>0.25</v>
      </c>
      <c r="M471">
        <v>0.52239999999999998</v>
      </c>
      <c r="N471">
        <v>6</v>
      </c>
      <c r="O471">
        <v>56</v>
      </c>
      <c r="P471">
        <v>62</v>
      </c>
    </row>
    <row r="472" spans="1:16" x14ac:dyDescent="0.25">
      <c r="A472">
        <v>471</v>
      </c>
      <c r="B472" s="4">
        <v>40564</v>
      </c>
      <c r="C472">
        <v>1</v>
      </c>
      <c r="D472">
        <v>0</v>
      </c>
      <c r="E472">
        <v>1</v>
      </c>
      <c r="F472">
        <v>15</v>
      </c>
      <c r="G472" t="b">
        <v>0</v>
      </c>
      <c r="H472">
        <v>5</v>
      </c>
      <c r="I472">
        <v>1</v>
      </c>
      <c r="J472">
        <v>0.16</v>
      </c>
      <c r="K472">
        <v>0.1212</v>
      </c>
      <c r="L472">
        <v>0.26</v>
      </c>
      <c r="M472">
        <v>0.44779999999999998</v>
      </c>
      <c r="N472">
        <v>4</v>
      </c>
      <c r="O472">
        <v>61</v>
      </c>
      <c r="P472">
        <v>65</v>
      </c>
    </row>
    <row r="473" spans="1:16" x14ac:dyDescent="0.25">
      <c r="A473">
        <v>472</v>
      </c>
      <c r="B473" s="4">
        <v>40564</v>
      </c>
      <c r="C473">
        <v>1</v>
      </c>
      <c r="D473">
        <v>0</v>
      </c>
      <c r="E473">
        <v>1</v>
      </c>
      <c r="F473">
        <v>16</v>
      </c>
      <c r="G473" t="b">
        <v>0</v>
      </c>
      <c r="H473">
        <v>5</v>
      </c>
      <c r="I473">
        <v>1</v>
      </c>
      <c r="J473">
        <v>0.16</v>
      </c>
      <c r="K473">
        <v>0.13639999999999999</v>
      </c>
      <c r="L473">
        <v>0.26</v>
      </c>
      <c r="M473">
        <v>0.35820000000000002</v>
      </c>
      <c r="N473">
        <v>0</v>
      </c>
      <c r="O473">
        <v>97</v>
      </c>
      <c r="P473">
        <v>97</v>
      </c>
    </row>
    <row r="474" spans="1:16" x14ac:dyDescent="0.25">
      <c r="A474">
        <v>473</v>
      </c>
      <c r="B474" s="4">
        <v>40564</v>
      </c>
      <c r="C474">
        <v>1</v>
      </c>
      <c r="D474">
        <v>0</v>
      </c>
      <c r="E474">
        <v>1</v>
      </c>
      <c r="F474">
        <v>17</v>
      </c>
      <c r="G474" t="b">
        <v>0</v>
      </c>
      <c r="H474">
        <v>5</v>
      </c>
      <c r="I474">
        <v>1</v>
      </c>
      <c r="J474">
        <v>0.14000000000000001</v>
      </c>
      <c r="K474">
        <v>0.1212</v>
      </c>
      <c r="L474">
        <v>0.28000000000000003</v>
      </c>
      <c r="M474">
        <v>0.35820000000000002</v>
      </c>
      <c r="N474">
        <v>10</v>
      </c>
      <c r="O474">
        <v>151</v>
      </c>
      <c r="P474">
        <v>161</v>
      </c>
    </row>
    <row r="475" spans="1:16" x14ac:dyDescent="0.25">
      <c r="A475">
        <v>474</v>
      </c>
      <c r="B475" s="4">
        <v>40564</v>
      </c>
      <c r="C475">
        <v>1</v>
      </c>
      <c r="D475">
        <v>0</v>
      </c>
      <c r="E475">
        <v>1</v>
      </c>
      <c r="F475">
        <v>18</v>
      </c>
      <c r="G475" t="b">
        <v>0</v>
      </c>
      <c r="H475">
        <v>5</v>
      </c>
      <c r="I475">
        <v>1</v>
      </c>
      <c r="J475">
        <v>0.12</v>
      </c>
      <c r="K475">
        <v>0.1212</v>
      </c>
      <c r="L475">
        <v>0.3</v>
      </c>
      <c r="M475">
        <v>0.25369999999999998</v>
      </c>
      <c r="N475">
        <v>1</v>
      </c>
      <c r="O475">
        <v>119</v>
      </c>
      <c r="P475">
        <v>120</v>
      </c>
    </row>
    <row r="476" spans="1:16" x14ac:dyDescent="0.25">
      <c r="A476">
        <v>475</v>
      </c>
      <c r="B476" s="4">
        <v>40564</v>
      </c>
      <c r="C476">
        <v>1</v>
      </c>
      <c r="D476">
        <v>0</v>
      </c>
      <c r="E476">
        <v>1</v>
      </c>
      <c r="F476">
        <v>19</v>
      </c>
      <c r="G476" t="b">
        <v>0</v>
      </c>
      <c r="H476">
        <v>5</v>
      </c>
      <c r="I476">
        <v>1</v>
      </c>
      <c r="J476">
        <v>0.12</v>
      </c>
      <c r="K476">
        <v>0.1061</v>
      </c>
      <c r="L476">
        <v>0.3</v>
      </c>
      <c r="M476">
        <v>0.32840000000000003</v>
      </c>
      <c r="N476">
        <v>3</v>
      </c>
      <c r="O476">
        <v>93</v>
      </c>
      <c r="P476">
        <v>96</v>
      </c>
    </row>
    <row r="477" spans="1:16" x14ac:dyDescent="0.25">
      <c r="A477">
        <v>476</v>
      </c>
      <c r="B477" s="4">
        <v>40564</v>
      </c>
      <c r="C477">
        <v>1</v>
      </c>
      <c r="D477">
        <v>0</v>
      </c>
      <c r="E477">
        <v>1</v>
      </c>
      <c r="F477">
        <v>20</v>
      </c>
      <c r="G477" t="b">
        <v>0</v>
      </c>
      <c r="H477">
        <v>5</v>
      </c>
      <c r="I477">
        <v>1</v>
      </c>
      <c r="J477">
        <v>0.1</v>
      </c>
      <c r="K477">
        <v>7.5800000000000006E-2</v>
      </c>
      <c r="L477">
        <v>0.33</v>
      </c>
      <c r="M477">
        <v>0.41789999999999999</v>
      </c>
      <c r="N477">
        <v>1</v>
      </c>
      <c r="O477">
        <v>52</v>
      </c>
      <c r="P477">
        <v>53</v>
      </c>
    </row>
    <row r="478" spans="1:16" x14ac:dyDescent="0.25">
      <c r="A478">
        <v>477</v>
      </c>
      <c r="B478" s="4">
        <v>40564</v>
      </c>
      <c r="C478">
        <v>1</v>
      </c>
      <c r="D478">
        <v>0</v>
      </c>
      <c r="E478">
        <v>1</v>
      </c>
      <c r="F478">
        <v>21</v>
      </c>
      <c r="G478" t="b">
        <v>0</v>
      </c>
      <c r="H478">
        <v>5</v>
      </c>
      <c r="I478">
        <v>1</v>
      </c>
      <c r="J478">
        <v>0.08</v>
      </c>
      <c r="K478">
        <v>7.5800000000000006E-2</v>
      </c>
      <c r="L478">
        <v>0.38</v>
      </c>
      <c r="M478">
        <v>0.28360000000000002</v>
      </c>
      <c r="N478">
        <v>0</v>
      </c>
      <c r="O478">
        <v>41</v>
      </c>
      <c r="P478">
        <v>41</v>
      </c>
    </row>
    <row r="479" spans="1:16" x14ac:dyDescent="0.25">
      <c r="A479">
        <v>478</v>
      </c>
      <c r="B479" s="4">
        <v>40564</v>
      </c>
      <c r="C479">
        <v>1</v>
      </c>
      <c r="D479">
        <v>0</v>
      </c>
      <c r="E479">
        <v>1</v>
      </c>
      <c r="F479">
        <v>22</v>
      </c>
      <c r="G479" t="b">
        <v>0</v>
      </c>
      <c r="H479">
        <v>5</v>
      </c>
      <c r="I479">
        <v>1</v>
      </c>
      <c r="J479">
        <v>0.06</v>
      </c>
      <c r="K479">
        <v>3.0300000000000001E-2</v>
      </c>
      <c r="L479">
        <v>0.41</v>
      </c>
      <c r="M479">
        <v>0.3881</v>
      </c>
      <c r="N479">
        <v>1</v>
      </c>
      <c r="O479">
        <v>33</v>
      </c>
      <c r="P479">
        <v>34</v>
      </c>
    </row>
    <row r="480" spans="1:16" x14ac:dyDescent="0.25">
      <c r="A480">
        <v>479</v>
      </c>
      <c r="B480" s="4">
        <v>40564</v>
      </c>
      <c r="C480">
        <v>1</v>
      </c>
      <c r="D480">
        <v>0</v>
      </c>
      <c r="E480">
        <v>1</v>
      </c>
      <c r="F480">
        <v>23</v>
      </c>
      <c r="G480" t="b">
        <v>0</v>
      </c>
      <c r="H480">
        <v>5</v>
      </c>
      <c r="I480">
        <v>1</v>
      </c>
      <c r="J480">
        <v>0.06</v>
      </c>
      <c r="K480">
        <v>4.5499999999999999E-2</v>
      </c>
      <c r="L480">
        <v>0.38</v>
      </c>
      <c r="M480">
        <v>0.32840000000000003</v>
      </c>
      <c r="N480">
        <v>0</v>
      </c>
      <c r="O480">
        <v>27</v>
      </c>
      <c r="P480">
        <v>27</v>
      </c>
    </row>
    <row r="481" spans="1:16" x14ac:dyDescent="0.25">
      <c r="A481">
        <v>480</v>
      </c>
      <c r="B481" s="4">
        <v>40565</v>
      </c>
      <c r="C481">
        <v>1</v>
      </c>
      <c r="D481">
        <v>0</v>
      </c>
      <c r="E481">
        <v>1</v>
      </c>
      <c r="F481">
        <v>0</v>
      </c>
      <c r="G481" t="b">
        <v>0</v>
      </c>
      <c r="H481">
        <v>6</v>
      </c>
      <c r="I481">
        <v>1</v>
      </c>
      <c r="J481">
        <v>0.04</v>
      </c>
      <c r="K481">
        <v>3.0300000000000001E-2</v>
      </c>
      <c r="L481">
        <v>0.45</v>
      </c>
      <c r="M481">
        <v>0.25369999999999998</v>
      </c>
      <c r="N481">
        <v>0</v>
      </c>
      <c r="O481">
        <v>13</v>
      </c>
      <c r="P481">
        <v>13</v>
      </c>
    </row>
    <row r="482" spans="1:16" x14ac:dyDescent="0.25">
      <c r="A482">
        <v>481</v>
      </c>
      <c r="B482" s="4">
        <v>40565</v>
      </c>
      <c r="C482">
        <v>1</v>
      </c>
      <c r="D482">
        <v>0</v>
      </c>
      <c r="E482">
        <v>1</v>
      </c>
      <c r="F482">
        <v>1</v>
      </c>
      <c r="G482" t="b">
        <v>0</v>
      </c>
      <c r="H482">
        <v>6</v>
      </c>
      <c r="I482">
        <v>2</v>
      </c>
      <c r="J482">
        <v>0.04</v>
      </c>
      <c r="K482">
        <v>0</v>
      </c>
      <c r="L482">
        <v>0.41</v>
      </c>
      <c r="M482">
        <v>0.3881</v>
      </c>
      <c r="N482">
        <v>3</v>
      </c>
      <c r="O482">
        <v>9</v>
      </c>
      <c r="P482">
        <v>12</v>
      </c>
    </row>
    <row r="483" spans="1:16" x14ac:dyDescent="0.25">
      <c r="A483">
        <v>482</v>
      </c>
      <c r="B483" s="4">
        <v>40565</v>
      </c>
      <c r="C483">
        <v>1</v>
      </c>
      <c r="D483">
        <v>0</v>
      </c>
      <c r="E483">
        <v>1</v>
      </c>
      <c r="F483">
        <v>2</v>
      </c>
      <c r="G483" t="b">
        <v>0</v>
      </c>
      <c r="H483">
        <v>6</v>
      </c>
      <c r="I483">
        <v>2</v>
      </c>
      <c r="J483">
        <v>0.04</v>
      </c>
      <c r="K483">
        <v>3.0300000000000001E-2</v>
      </c>
      <c r="L483">
        <v>0.41</v>
      </c>
      <c r="M483">
        <v>0.25369999999999998</v>
      </c>
      <c r="N483">
        <v>0</v>
      </c>
      <c r="O483">
        <v>11</v>
      </c>
      <c r="P483">
        <v>11</v>
      </c>
    </row>
    <row r="484" spans="1:16" x14ac:dyDescent="0.25">
      <c r="A484">
        <v>483</v>
      </c>
      <c r="B484" s="4">
        <v>40565</v>
      </c>
      <c r="C484">
        <v>1</v>
      </c>
      <c r="D484">
        <v>0</v>
      </c>
      <c r="E484">
        <v>1</v>
      </c>
      <c r="F484">
        <v>3</v>
      </c>
      <c r="G484" t="b">
        <v>0</v>
      </c>
      <c r="H484">
        <v>6</v>
      </c>
      <c r="I484">
        <v>2</v>
      </c>
      <c r="J484">
        <v>0.04</v>
      </c>
      <c r="K484">
        <v>3.0300000000000001E-2</v>
      </c>
      <c r="L484">
        <v>0.41</v>
      </c>
      <c r="M484">
        <v>0.28360000000000002</v>
      </c>
      <c r="N484">
        <v>1</v>
      </c>
      <c r="O484">
        <v>6</v>
      </c>
      <c r="P484">
        <v>7</v>
      </c>
    </row>
    <row r="485" spans="1:16" x14ac:dyDescent="0.25">
      <c r="A485">
        <v>484</v>
      </c>
      <c r="B485" s="4">
        <v>40565</v>
      </c>
      <c r="C485">
        <v>1</v>
      </c>
      <c r="D485">
        <v>0</v>
      </c>
      <c r="E485">
        <v>1</v>
      </c>
      <c r="F485">
        <v>4</v>
      </c>
      <c r="G485" t="b">
        <v>0</v>
      </c>
      <c r="H485">
        <v>6</v>
      </c>
      <c r="I485">
        <v>2</v>
      </c>
      <c r="J485">
        <v>0.02</v>
      </c>
      <c r="K485">
        <v>1.52E-2</v>
      </c>
      <c r="L485">
        <v>0.48</v>
      </c>
      <c r="M485">
        <v>0.29849999999999999</v>
      </c>
      <c r="N485">
        <v>0</v>
      </c>
      <c r="O485">
        <v>3</v>
      </c>
      <c r="P485">
        <v>3</v>
      </c>
    </row>
    <row r="486" spans="1:16" x14ac:dyDescent="0.25">
      <c r="A486">
        <v>485</v>
      </c>
      <c r="B486" s="4">
        <v>40565</v>
      </c>
      <c r="C486">
        <v>1</v>
      </c>
      <c r="D486">
        <v>0</v>
      </c>
      <c r="E486">
        <v>1</v>
      </c>
      <c r="F486">
        <v>6</v>
      </c>
      <c r="G486" t="b">
        <v>0</v>
      </c>
      <c r="H486">
        <v>6</v>
      </c>
      <c r="I486">
        <v>2</v>
      </c>
      <c r="J486">
        <v>0.02</v>
      </c>
      <c r="K486">
        <v>3.0300000000000001E-2</v>
      </c>
      <c r="L486">
        <v>0.44</v>
      </c>
      <c r="M486">
        <v>0.22389999999999999</v>
      </c>
      <c r="N486">
        <v>0</v>
      </c>
      <c r="O486">
        <v>2</v>
      </c>
      <c r="P486">
        <v>2</v>
      </c>
    </row>
    <row r="487" spans="1:16" x14ac:dyDescent="0.25">
      <c r="A487">
        <v>486</v>
      </c>
      <c r="B487" s="4">
        <v>40565</v>
      </c>
      <c r="C487">
        <v>1</v>
      </c>
      <c r="D487">
        <v>0</v>
      </c>
      <c r="E487">
        <v>1</v>
      </c>
      <c r="F487">
        <v>7</v>
      </c>
      <c r="G487" t="b">
        <v>0</v>
      </c>
      <c r="H487">
        <v>6</v>
      </c>
      <c r="I487">
        <v>1</v>
      </c>
      <c r="J487">
        <v>0.02</v>
      </c>
      <c r="K487">
        <v>1.52E-2</v>
      </c>
      <c r="L487">
        <v>0.44</v>
      </c>
      <c r="M487">
        <v>0.28360000000000002</v>
      </c>
      <c r="N487">
        <v>0</v>
      </c>
      <c r="O487">
        <v>8</v>
      </c>
      <c r="P487">
        <v>8</v>
      </c>
    </row>
    <row r="488" spans="1:16" x14ac:dyDescent="0.25">
      <c r="A488">
        <v>487</v>
      </c>
      <c r="B488" s="4">
        <v>40565</v>
      </c>
      <c r="C488">
        <v>1</v>
      </c>
      <c r="D488">
        <v>0</v>
      </c>
      <c r="E488">
        <v>1</v>
      </c>
      <c r="F488">
        <v>8</v>
      </c>
      <c r="G488" t="b">
        <v>0</v>
      </c>
      <c r="H488">
        <v>6</v>
      </c>
      <c r="I488">
        <v>1</v>
      </c>
      <c r="J488">
        <v>0.02</v>
      </c>
      <c r="K488">
        <v>0</v>
      </c>
      <c r="L488">
        <v>0.44</v>
      </c>
      <c r="M488">
        <v>0.32840000000000003</v>
      </c>
      <c r="N488">
        <v>1</v>
      </c>
      <c r="O488">
        <v>26</v>
      </c>
      <c r="P488">
        <v>27</v>
      </c>
    </row>
    <row r="489" spans="1:16" x14ac:dyDescent="0.25">
      <c r="A489">
        <v>488</v>
      </c>
      <c r="B489" s="4">
        <v>40565</v>
      </c>
      <c r="C489">
        <v>1</v>
      </c>
      <c r="D489">
        <v>0</v>
      </c>
      <c r="E489">
        <v>1</v>
      </c>
      <c r="F489">
        <v>9</v>
      </c>
      <c r="G489" t="b">
        <v>0</v>
      </c>
      <c r="H489">
        <v>6</v>
      </c>
      <c r="I489">
        <v>1</v>
      </c>
      <c r="J489">
        <v>0.04</v>
      </c>
      <c r="K489">
        <v>3.0300000000000001E-2</v>
      </c>
      <c r="L489">
        <v>0.41</v>
      </c>
      <c r="M489">
        <v>0.25369999999999998</v>
      </c>
      <c r="N489">
        <v>3</v>
      </c>
      <c r="O489">
        <v>37</v>
      </c>
      <c r="P489">
        <v>40</v>
      </c>
    </row>
    <row r="490" spans="1:16" x14ac:dyDescent="0.25">
      <c r="A490">
        <v>489</v>
      </c>
      <c r="B490" s="4">
        <v>40565</v>
      </c>
      <c r="C490">
        <v>1</v>
      </c>
      <c r="D490">
        <v>0</v>
      </c>
      <c r="E490">
        <v>1</v>
      </c>
      <c r="F490">
        <v>10</v>
      </c>
      <c r="G490" t="b">
        <v>0</v>
      </c>
      <c r="H490">
        <v>6</v>
      </c>
      <c r="I490">
        <v>2</v>
      </c>
      <c r="J490">
        <v>0.04</v>
      </c>
      <c r="K490">
        <v>6.0600000000000001E-2</v>
      </c>
      <c r="L490">
        <v>0.41</v>
      </c>
      <c r="M490">
        <v>0.16420000000000001</v>
      </c>
      <c r="N490">
        <v>3</v>
      </c>
      <c r="O490">
        <v>50</v>
      </c>
      <c r="P490">
        <v>53</v>
      </c>
    </row>
    <row r="491" spans="1:16" x14ac:dyDescent="0.25">
      <c r="A491">
        <v>490</v>
      </c>
      <c r="B491" s="4">
        <v>40565</v>
      </c>
      <c r="C491">
        <v>1</v>
      </c>
      <c r="D491">
        <v>0</v>
      </c>
      <c r="E491">
        <v>1</v>
      </c>
      <c r="F491">
        <v>11</v>
      </c>
      <c r="G491" t="b">
        <v>0</v>
      </c>
      <c r="H491">
        <v>6</v>
      </c>
      <c r="I491">
        <v>2</v>
      </c>
      <c r="J491">
        <v>0.06</v>
      </c>
      <c r="K491">
        <v>7.5800000000000006E-2</v>
      </c>
      <c r="L491">
        <v>0.38</v>
      </c>
      <c r="M491">
        <v>0.1343</v>
      </c>
      <c r="N491">
        <v>4</v>
      </c>
      <c r="O491">
        <v>59</v>
      </c>
      <c r="P491">
        <v>63</v>
      </c>
    </row>
    <row r="492" spans="1:16" x14ac:dyDescent="0.25">
      <c r="A492">
        <v>491</v>
      </c>
      <c r="B492" s="4">
        <v>40565</v>
      </c>
      <c r="C492">
        <v>1</v>
      </c>
      <c r="D492">
        <v>0</v>
      </c>
      <c r="E492">
        <v>1</v>
      </c>
      <c r="F492">
        <v>12</v>
      </c>
      <c r="G492" t="b">
        <v>0</v>
      </c>
      <c r="H492">
        <v>6</v>
      </c>
      <c r="I492">
        <v>2</v>
      </c>
      <c r="J492">
        <v>0.06</v>
      </c>
      <c r="K492">
        <v>0.1061</v>
      </c>
      <c r="L492">
        <v>0.38</v>
      </c>
      <c r="M492">
        <v>0.1045</v>
      </c>
      <c r="N492">
        <v>10</v>
      </c>
      <c r="O492">
        <v>60</v>
      </c>
      <c r="P492">
        <v>70</v>
      </c>
    </row>
    <row r="493" spans="1:16" x14ac:dyDescent="0.25">
      <c r="A493">
        <v>492</v>
      </c>
      <c r="B493" s="4">
        <v>40565</v>
      </c>
      <c r="C493">
        <v>1</v>
      </c>
      <c r="D493">
        <v>0</v>
      </c>
      <c r="E493">
        <v>1</v>
      </c>
      <c r="F493">
        <v>13</v>
      </c>
      <c r="G493" t="b">
        <v>0</v>
      </c>
      <c r="H493">
        <v>6</v>
      </c>
      <c r="I493">
        <v>1</v>
      </c>
      <c r="J493">
        <v>0.08</v>
      </c>
      <c r="K493">
        <v>0.16669999999999999</v>
      </c>
      <c r="L493">
        <v>0.35</v>
      </c>
      <c r="M493">
        <v>0</v>
      </c>
      <c r="N493">
        <v>12</v>
      </c>
      <c r="O493">
        <v>72</v>
      </c>
      <c r="P493">
        <v>84</v>
      </c>
    </row>
    <row r="494" spans="1:16" x14ac:dyDescent="0.25">
      <c r="A494">
        <v>493</v>
      </c>
      <c r="B494" s="4">
        <v>40565</v>
      </c>
      <c r="C494">
        <v>1</v>
      </c>
      <c r="D494">
        <v>0</v>
      </c>
      <c r="E494">
        <v>1</v>
      </c>
      <c r="F494">
        <v>14</v>
      </c>
      <c r="G494" t="b">
        <v>0</v>
      </c>
      <c r="H494">
        <v>6</v>
      </c>
      <c r="I494">
        <v>1</v>
      </c>
      <c r="J494">
        <v>0.1</v>
      </c>
      <c r="K494">
        <v>0.13639999999999999</v>
      </c>
      <c r="L494">
        <v>0.33</v>
      </c>
      <c r="M494">
        <v>0.1045</v>
      </c>
      <c r="N494">
        <v>11</v>
      </c>
      <c r="O494">
        <v>64</v>
      </c>
      <c r="P494">
        <v>75</v>
      </c>
    </row>
    <row r="495" spans="1:16" x14ac:dyDescent="0.25">
      <c r="A495">
        <v>494</v>
      </c>
      <c r="B495" s="4">
        <v>40565</v>
      </c>
      <c r="C495">
        <v>1</v>
      </c>
      <c r="D495">
        <v>0</v>
      </c>
      <c r="E495">
        <v>1</v>
      </c>
      <c r="F495">
        <v>15</v>
      </c>
      <c r="G495" t="b">
        <v>0</v>
      </c>
      <c r="H495">
        <v>6</v>
      </c>
      <c r="I495">
        <v>1</v>
      </c>
      <c r="J495">
        <v>0.12</v>
      </c>
      <c r="K495">
        <v>0.1515</v>
      </c>
      <c r="L495">
        <v>0.28000000000000003</v>
      </c>
      <c r="M495">
        <v>0</v>
      </c>
      <c r="N495">
        <v>10</v>
      </c>
      <c r="O495">
        <v>93</v>
      </c>
      <c r="P495">
        <v>103</v>
      </c>
    </row>
    <row r="496" spans="1:16" x14ac:dyDescent="0.25">
      <c r="A496">
        <v>495</v>
      </c>
      <c r="B496" s="4">
        <v>40565</v>
      </c>
      <c r="C496">
        <v>1</v>
      </c>
      <c r="D496">
        <v>0</v>
      </c>
      <c r="E496">
        <v>1</v>
      </c>
      <c r="F496">
        <v>16</v>
      </c>
      <c r="G496" t="b">
        <v>0</v>
      </c>
      <c r="H496">
        <v>6</v>
      </c>
      <c r="I496">
        <v>1</v>
      </c>
      <c r="J496">
        <v>0.12</v>
      </c>
      <c r="K496">
        <v>0.13639999999999999</v>
      </c>
      <c r="L496">
        <v>0.28000000000000003</v>
      </c>
      <c r="M496">
        <v>0.19400000000000001</v>
      </c>
      <c r="N496">
        <v>11</v>
      </c>
      <c r="O496">
        <v>72</v>
      </c>
      <c r="P496">
        <v>83</v>
      </c>
    </row>
    <row r="497" spans="1:16" x14ac:dyDescent="0.25">
      <c r="A497">
        <v>496</v>
      </c>
      <c r="B497" s="4">
        <v>40565</v>
      </c>
      <c r="C497">
        <v>1</v>
      </c>
      <c r="D497">
        <v>0</v>
      </c>
      <c r="E497">
        <v>1</v>
      </c>
      <c r="F497">
        <v>17</v>
      </c>
      <c r="G497" t="b">
        <v>0</v>
      </c>
      <c r="H497">
        <v>6</v>
      </c>
      <c r="I497">
        <v>1</v>
      </c>
      <c r="J497">
        <v>0.12</v>
      </c>
      <c r="K497">
        <v>0.19700000000000001</v>
      </c>
      <c r="L497">
        <v>0.28000000000000003</v>
      </c>
      <c r="M497">
        <v>0</v>
      </c>
      <c r="N497">
        <v>8</v>
      </c>
      <c r="O497">
        <v>59</v>
      </c>
      <c r="P497">
        <v>67</v>
      </c>
    </row>
    <row r="498" spans="1:16" x14ac:dyDescent="0.25">
      <c r="A498">
        <v>497</v>
      </c>
      <c r="B498" s="4">
        <v>40565</v>
      </c>
      <c r="C498">
        <v>1</v>
      </c>
      <c r="D498">
        <v>0</v>
      </c>
      <c r="E498">
        <v>1</v>
      </c>
      <c r="F498">
        <v>18</v>
      </c>
      <c r="G498" t="b">
        <v>0</v>
      </c>
      <c r="H498">
        <v>6</v>
      </c>
      <c r="I498">
        <v>1</v>
      </c>
      <c r="J498">
        <v>0.08</v>
      </c>
      <c r="K498">
        <v>9.0899999999999995E-2</v>
      </c>
      <c r="L498">
        <v>0.35</v>
      </c>
      <c r="M498">
        <v>0.19400000000000001</v>
      </c>
      <c r="N498">
        <v>0</v>
      </c>
      <c r="O498">
        <v>54</v>
      </c>
      <c r="P498">
        <v>54</v>
      </c>
    </row>
    <row r="499" spans="1:16" x14ac:dyDescent="0.25">
      <c r="A499">
        <v>498</v>
      </c>
      <c r="B499" s="4">
        <v>40565</v>
      </c>
      <c r="C499">
        <v>1</v>
      </c>
      <c r="D499">
        <v>0</v>
      </c>
      <c r="E499">
        <v>1</v>
      </c>
      <c r="F499">
        <v>19</v>
      </c>
      <c r="G499" t="b">
        <v>0</v>
      </c>
      <c r="H499">
        <v>6</v>
      </c>
      <c r="I499">
        <v>1</v>
      </c>
      <c r="J499">
        <v>0.08</v>
      </c>
      <c r="K499">
        <v>0.1061</v>
      </c>
      <c r="L499">
        <v>0.35</v>
      </c>
      <c r="M499">
        <v>0.1343</v>
      </c>
      <c r="N499">
        <v>6</v>
      </c>
      <c r="O499">
        <v>53</v>
      </c>
      <c r="P499">
        <v>59</v>
      </c>
    </row>
    <row r="500" spans="1:16" x14ac:dyDescent="0.25">
      <c r="A500">
        <v>499</v>
      </c>
      <c r="B500" s="4">
        <v>40565</v>
      </c>
      <c r="C500">
        <v>1</v>
      </c>
      <c r="D500">
        <v>0</v>
      </c>
      <c r="E500">
        <v>1</v>
      </c>
      <c r="F500">
        <v>20</v>
      </c>
      <c r="G500" t="b">
        <v>0</v>
      </c>
      <c r="H500">
        <v>6</v>
      </c>
      <c r="I500">
        <v>1</v>
      </c>
      <c r="J500">
        <v>0.06</v>
      </c>
      <c r="K500">
        <v>7.5800000000000006E-2</v>
      </c>
      <c r="L500">
        <v>0.45</v>
      </c>
      <c r="M500">
        <v>0.16420000000000001</v>
      </c>
      <c r="N500">
        <v>1</v>
      </c>
      <c r="O500">
        <v>44</v>
      </c>
      <c r="P500">
        <v>45</v>
      </c>
    </row>
    <row r="501" spans="1:16" x14ac:dyDescent="0.25">
      <c r="A501">
        <v>500</v>
      </c>
      <c r="B501" s="4">
        <v>40565</v>
      </c>
      <c r="C501">
        <v>1</v>
      </c>
      <c r="D501">
        <v>0</v>
      </c>
      <c r="E501">
        <v>1</v>
      </c>
      <c r="F501">
        <v>21</v>
      </c>
      <c r="G501" t="b">
        <v>0</v>
      </c>
      <c r="H501">
        <v>6</v>
      </c>
      <c r="I501">
        <v>1</v>
      </c>
      <c r="J501">
        <v>0.06</v>
      </c>
      <c r="K501">
        <v>0.1061</v>
      </c>
      <c r="L501">
        <v>0.41</v>
      </c>
      <c r="M501">
        <v>8.9599999999999999E-2</v>
      </c>
      <c r="N501">
        <v>0</v>
      </c>
      <c r="O501">
        <v>39</v>
      </c>
      <c r="P501">
        <v>39</v>
      </c>
    </row>
    <row r="502" spans="1:16" x14ac:dyDescent="0.25">
      <c r="A502">
        <v>501</v>
      </c>
      <c r="B502" s="4">
        <v>40565</v>
      </c>
      <c r="C502">
        <v>1</v>
      </c>
      <c r="D502">
        <v>0</v>
      </c>
      <c r="E502">
        <v>1</v>
      </c>
      <c r="F502">
        <v>22</v>
      </c>
      <c r="G502" t="b">
        <v>0</v>
      </c>
      <c r="H502">
        <v>6</v>
      </c>
      <c r="I502">
        <v>1</v>
      </c>
      <c r="J502">
        <v>0.06</v>
      </c>
      <c r="K502">
        <v>0.1515</v>
      </c>
      <c r="L502">
        <v>0.49</v>
      </c>
      <c r="M502">
        <v>0</v>
      </c>
      <c r="N502">
        <v>7</v>
      </c>
      <c r="O502">
        <v>23</v>
      </c>
      <c r="P502">
        <v>30</v>
      </c>
    </row>
    <row r="503" spans="1:16" x14ac:dyDescent="0.25">
      <c r="A503">
        <v>502</v>
      </c>
      <c r="B503" s="4">
        <v>40565</v>
      </c>
      <c r="C503">
        <v>1</v>
      </c>
      <c r="D503">
        <v>0</v>
      </c>
      <c r="E503">
        <v>1</v>
      </c>
      <c r="F503">
        <v>23</v>
      </c>
      <c r="G503" t="b">
        <v>0</v>
      </c>
      <c r="H503">
        <v>6</v>
      </c>
      <c r="I503">
        <v>1</v>
      </c>
      <c r="J503">
        <v>0.04</v>
      </c>
      <c r="K503">
        <v>7.5800000000000006E-2</v>
      </c>
      <c r="L503">
        <v>0.56999999999999995</v>
      </c>
      <c r="M503">
        <v>0.1045</v>
      </c>
      <c r="N503">
        <v>2</v>
      </c>
      <c r="O503">
        <v>31</v>
      </c>
      <c r="P503">
        <v>33</v>
      </c>
    </row>
    <row r="504" spans="1:16" x14ac:dyDescent="0.25">
      <c r="A504">
        <v>503</v>
      </c>
      <c r="B504" s="4">
        <v>40566</v>
      </c>
      <c r="C504">
        <v>1</v>
      </c>
      <c r="D504">
        <v>0</v>
      </c>
      <c r="E504">
        <v>1</v>
      </c>
      <c r="F504">
        <v>0</v>
      </c>
      <c r="G504" t="b">
        <v>0</v>
      </c>
      <c r="H504">
        <v>0</v>
      </c>
      <c r="I504">
        <v>1</v>
      </c>
      <c r="J504">
        <v>0.04</v>
      </c>
      <c r="K504">
        <v>7.5800000000000006E-2</v>
      </c>
      <c r="L504">
        <v>0.56999999999999995</v>
      </c>
      <c r="M504">
        <v>0.1045</v>
      </c>
      <c r="N504">
        <v>2</v>
      </c>
      <c r="O504">
        <v>20</v>
      </c>
      <c r="P504">
        <v>22</v>
      </c>
    </row>
    <row r="505" spans="1:16" x14ac:dyDescent="0.25">
      <c r="A505">
        <v>504</v>
      </c>
      <c r="B505" s="4">
        <v>40566</v>
      </c>
      <c r="C505">
        <v>1</v>
      </c>
      <c r="D505">
        <v>0</v>
      </c>
      <c r="E505">
        <v>1</v>
      </c>
      <c r="F505">
        <v>1</v>
      </c>
      <c r="G505" t="b">
        <v>0</v>
      </c>
      <c r="H505">
        <v>0</v>
      </c>
      <c r="I505">
        <v>1</v>
      </c>
      <c r="J505">
        <v>0.04</v>
      </c>
      <c r="K505">
        <v>7.5800000000000006E-2</v>
      </c>
      <c r="L505">
        <v>0.56999999999999995</v>
      </c>
      <c r="M505">
        <v>0.1045</v>
      </c>
      <c r="N505">
        <v>1</v>
      </c>
      <c r="O505">
        <v>12</v>
      </c>
      <c r="P505">
        <v>13</v>
      </c>
    </row>
    <row r="506" spans="1:16" x14ac:dyDescent="0.25">
      <c r="A506">
        <v>505</v>
      </c>
      <c r="B506" s="4">
        <v>40566</v>
      </c>
      <c r="C506">
        <v>1</v>
      </c>
      <c r="D506">
        <v>0</v>
      </c>
      <c r="E506">
        <v>1</v>
      </c>
      <c r="F506">
        <v>2</v>
      </c>
      <c r="G506" t="b">
        <v>0</v>
      </c>
      <c r="H506">
        <v>0</v>
      </c>
      <c r="I506">
        <v>1</v>
      </c>
      <c r="J506">
        <v>0.02</v>
      </c>
      <c r="K506">
        <v>6.0600000000000001E-2</v>
      </c>
      <c r="L506">
        <v>0.62</v>
      </c>
      <c r="M506">
        <v>0.1343</v>
      </c>
      <c r="N506">
        <v>3</v>
      </c>
      <c r="O506">
        <v>15</v>
      </c>
      <c r="P506">
        <v>18</v>
      </c>
    </row>
    <row r="507" spans="1:16" x14ac:dyDescent="0.25">
      <c r="A507">
        <v>506</v>
      </c>
      <c r="B507" s="4">
        <v>40566</v>
      </c>
      <c r="C507">
        <v>1</v>
      </c>
      <c r="D507">
        <v>0</v>
      </c>
      <c r="E507">
        <v>1</v>
      </c>
      <c r="F507">
        <v>3</v>
      </c>
      <c r="G507" t="b">
        <v>0</v>
      </c>
      <c r="H507">
        <v>0</v>
      </c>
      <c r="I507">
        <v>1</v>
      </c>
      <c r="J507">
        <v>0.02</v>
      </c>
      <c r="K507">
        <v>6.0600000000000001E-2</v>
      </c>
      <c r="L507">
        <v>0.62</v>
      </c>
      <c r="M507">
        <v>0.1343</v>
      </c>
      <c r="N507">
        <v>1</v>
      </c>
      <c r="O507">
        <v>4</v>
      </c>
      <c r="P507">
        <v>5</v>
      </c>
    </row>
    <row r="508" spans="1:16" x14ac:dyDescent="0.25">
      <c r="A508">
        <v>507</v>
      </c>
      <c r="B508" s="4">
        <v>40566</v>
      </c>
      <c r="C508">
        <v>1</v>
      </c>
      <c r="D508">
        <v>0</v>
      </c>
      <c r="E508">
        <v>1</v>
      </c>
      <c r="F508">
        <v>5</v>
      </c>
      <c r="G508" t="b">
        <v>0</v>
      </c>
      <c r="H508">
        <v>0</v>
      </c>
      <c r="I508">
        <v>2</v>
      </c>
      <c r="J508">
        <v>0.04</v>
      </c>
      <c r="K508">
        <v>7.5800000000000006E-2</v>
      </c>
      <c r="L508">
        <v>0.56999999999999995</v>
      </c>
      <c r="M508">
        <v>0.1045</v>
      </c>
      <c r="N508">
        <v>0</v>
      </c>
      <c r="O508">
        <v>3</v>
      </c>
      <c r="P508">
        <v>3</v>
      </c>
    </row>
    <row r="509" spans="1:16" x14ac:dyDescent="0.25">
      <c r="A509">
        <v>508</v>
      </c>
      <c r="B509" s="4">
        <v>40566</v>
      </c>
      <c r="C509">
        <v>1</v>
      </c>
      <c r="D509">
        <v>0</v>
      </c>
      <c r="E509">
        <v>1</v>
      </c>
      <c r="F509">
        <v>6</v>
      </c>
      <c r="G509" t="b">
        <v>0</v>
      </c>
      <c r="H509">
        <v>0</v>
      </c>
      <c r="I509">
        <v>2</v>
      </c>
      <c r="J509">
        <v>0.04</v>
      </c>
      <c r="K509">
        <v>7.5800000000000006E-2</v>
      </c>
      <c r="L509">
        <v>0.56999999999999995</v>
      </c>
      <c r="M509">
        <v>0.1045</v>
      </c>
      <c r="N509">
        <v>0</v>
      </c>
      <c r="O509">
        <v>1</v>
      </c>
      <c r="P509">
        <v>1</v>
      </c>
    </row>
    <row r="510" spans="1:16" x14ac:dyDescent="0.25">
      <c r="A510">
        <v>509</v>
      </c>
      <c r="B510" s="4">
        <v>40566</v>
      </c>
      <c r="C510">
        <v>1</v>
      </c>
      <c r="D510">
        <v>0</v>
      </c>
      <c r="E510">
        <v>1</v>
      </c>
      <c r="F510">
        <v>7</v>
      </c>
      <c r="G510" t="b">
        <v>0</v>
      </c>
      <c r="H510">
        <v>0</v>
      </c>
      <c r="I510">
        <v>1</v>
      </c>
      <c r="J510">
        <v>0.08</v>
      </c>
      <c r="K510">
        <v>0.1061</v>
      </c>
      <c r="L510">
        <v>0.57999999999999996</v>
      </c>
      <c r="M510">
        <v>0.16420000000000001</v>
      </c>
      <c r="N510">
        <v>1</v>
      </c>
      <c r="O510">
        <v>1</v>
      </c>
      <c r="P510">
        <v>2</v>
      </c>
    </row>
    <row r="511" spans="1:16" x14ac:dyDescent="0.25">
      <c r="A511">
        <v>510</v>
      </c>
      <c r="B511" s="4">
        <v>40566</v>
      </c>
      <c r="C511">
        <v>1</v>
      </c>
      <c r="D511">
        <v>0</v>
      </c>
      <c r="E511">
        <v>1</v>
      </c>
      <c r="F511">
        <v>8</v>
      </c>
      <c r="G511" t="b">
        <v>0</v>
      </c>
      <c r="H511">
        <v>0</v>
      </c>
      <c r="I511">
        <v>1</v>
      </c>
      <c r="J511">
        <v>0.06</v>
      </c>
      <c r="K511">
        <v>7.5800000000000006E-2</v>
      </c>
      <c r="L511">
        <v>0.62</v>
      </c>
      <c r="M511">
        <v>0.16420000000000001</v>
      </c>
      <c r="N511">
        <v>2</v>
      </c>
      <c r="O511">
        <v>17</v>
      </c>
      <c r="P511">
        <v>19</v>
      </c>
    </row>
    <row r="512" spans="1:16" x14ac:dyDescent="0.25">
      <c r="A512">
        <v>511</v>
      </c>
      <c r="B512" s="4">
        <v>40566</v>
      </c>
      <c r="C512">
        <v>1</v>
      </c>
      <c r="D512">
        <v>0</v>
      </c>
      <c r="E512">
        <v>1</v>
      </c>
      <c r="F512">
        <v>9</v>
      </c>
      <c r="G512" t="b">
        <v>0</v>
      </c>
      <c r="H512">
        <v>0</v>
      </c>
      <c r="I512">
        <v>1</v>
      </c>
      <c r="J512">
        <v>0.1</v>
      </c>
      <c r="K512">
        <v>7.5800000000000006E-2</v>
      </c>
      <c r="L512">
        <v>0.54</v>
      </c>
      <c r="M512">
        <v>0.35820000000000002</v>
      </c>
      <c r="N512">
        <v>3</v>
      </c>
      <c r="O512">
        <v>25</v>
      </c>
      <c r="P512">
        <v>28</v>
      </c>
    </row>
    <row r="513" spans="1:16" x14ac:dyDescent="0.25">
      <c r="A513">
        <v>512</v>
      </c>
      <c r="B513" s="4">
        <v>40566</v>
      </c>
      <c r="C513">
        <v>1</v>
      </c>
      <c r="D513">
        <v>0</v>
      </c>
      <c r="E513">
        <v>1</v>
      </c>
      <c r="F513">
        <v>10</v>
      </c>
      <c r="G513" t="b">
        <v>0</v>
      </c>
      <c r="H513">
        <v>0</v>
      </c>
      <c r="I513">
        <v>1</v>
      </c>
      <c r="J513">
        <v>0.14000000000000001</v>
      </c>
      <c r="K513">
        <v>0.1061</v>
      </c>
      <c r="L513">
        <v>0.46</v>
      </c>
      <c r="M513">
        <v>0.3881</v>
      </c>
      <c r="N513">
        <v>7</v>
      </c>
      <c r="O513">
        <v>51</v>
      </c>
      <c r="P513">
        <v>58</v>
      </c>
    </row>
    <row r="514" spans="1:16" x14ac:dyDescent="0.25">
      <c r="A514">
        <v>513</v>
      </c>
      <c r="B514" s="4">
        <v>40566</v>
      </c>
      <c r="C514">
        <v>1</v>
      </c>
      <c r="D514">
        <v>0</v>
      </c>
      <c r="E514">
        <v>1</v>
      </c>
      <c r="F514">
        <v>11</v>
      </c>
      <c r="G514" t="b">
        <v>0</v>
      </c>
      <c r="H514">
        <v>0</v>
      </c>
      <c r="I514">
        <v>1</v>
      </c>
      <c r="J514">
        <v>0.14000000000000001</v>
      </c>
      <c r="K514">
        <v>0.13639999999999999</v>
      </c>
      <c r="L514">
        <v>0.43</v>
      </c>
      <c r="M514">
        <v>0.22389999999999999</v>
      </c>
      <c r="N514">
        <v>22</v>
      </c>
      <c r="O514">
        <v>77</v>
      </c>
      <c r="P514">
        <v>99</v>
      </c>
    </row>
    <row r="515" spans="1:16" x14ac:dyDescent="0.25">
      <c r="A515">
        <v>514</v>
      </c>
      <c r="B515" s="4">
        <v>40566</v>
      </c>
      <c r="C515">
        <v>1</v>
      </c>
      <c r="D515">
        <v>0</v>
      </c>
      <c r="E515">
        <v>1</v>
      </c>
      <c r="F515">
        <v>12</v>
      </c>
      <c r="G515" t="b">
        <v>0</v>
      </c>
      <c r="H515">
        <v>0</v>
      </c>
      <c r="I515">
        <v>1</v>
      </c>
      <c r="J515">
        <v>0.16</v>
      </c>
      <c r="K515">
        <v>0.1212</v>
      </c>
      <c r="L515">
        <v>0.37</v>
      </c>
      <c r="M515">
        <v>0.4627</v>
      </c>
      <c r="N515">
        <v>24</v>
      </c>
      <c r="O515">
        <v>92</v>
      </c>
      <c r="P515">
        <v>116</v>
      </c>
    </row>
    <row r="516" spans="1:16" x14ac:dyDescent="0.25">
      <c r="A516">
        <v>515</v>
      </c>
      <c r="B516" s="4">
        <v>40566</v>
      </c>
      <c r="C516">
        <v>1</v>
      </c>
      <c r="D516">
        <v>0</v>
      </c>
      <c r="E516">
        <v>1</v>
      </c>
      <c r="F516">
        <v>13</v>
      </c>
      <c r="G516" t="b">
        <v>0</v>
      </c>
      <c r="H516">
        <v>0</v>
      </c>
      <c r="I516">
        <v>1</v>
      </c>
      <c r="J516">
        <v>0.14000000000000001</v>
      </c>
      <c r="K516">
        <v>0.1061</v>
      </c>
      <c r="L516">
        <v>0.33</v>
      </c>
      <c r="M516">
        <v>0.3881</v>
      </c>
      <c r="N516">
        <v>12</v>
      </c>
      <c r="O516">
        <v>75</v>
      </c>
      <c r="P516">
        <v>87</v>
      </c>
    </row>
    <row r="517" spans="1:16" x14ac:dyDescent="0.25">
      <c r="A517">
        <v>516</v>
      </c>
      <c r="B517" s="4">
        <v>40566</v>
      </c>
      <c r="C517">
        <v>1</v>
      </c>
      <c r="D517">
        <v>0</v>
      </c>
      <c r="E517">
        <v>1</v>
      </c>
      <c r="F517">
        <v>14</v>
      </c>
      <c r="G517" t="b">
        <v>0</v>
      </c>
      <c r="H517">
        <v>0</v>
      </c>
      <c r="I517">
        <v>1</v>
      </c>
      <c r="J517">
        <v>0.16</v>
      </c>
      <c r="K517">
        <v>0.13639999999999999</v>
      </c>
      <c r="L517">
        <v>0.28000000000000003</v>
      </c>
      <c r="M517">
        <v>0.35820000000000002</v>
      </c>
      <c r="N517">
        <v>17</v>
      </c>
      <c r="O517">
        <v>93</v>
      </c>
      <c r="P517">
        <v>110</v>
      </c>
    </row>
    <row r="518" spans="1:16" x14ac:dyDescent="0.25">
      <c r="A518">
        <v>517</v>
      </c>
      <c r="B518" s="4">
        <v>40566</v>
      </c>
      <c r="C518">
        <v>1</v>
      </c>
      <c r="D518">
        <v>0</v>
      </c>
      <c r="E518">
        <v>1</v>
      </c>
      <c r="F518">
        <v>15</v>
      </c>
      <c r="G518" t="b">
        <v>0</v>
      </c>
      <c r="H518">
        <v>0</v>
      </c>
      <c r="I518">
        <v>1</v>
      </c>
      <c r="J518">
        <v>0.16</v>
      </c>
      <c r="K518">
        <v>0.13639999999999999</v>
      </c>
      <c r="L518">
        <v>0.28000000000000003</v>
      </c>
      <c r="M518">
        <v>0.35820000000000002</v>
      </c>
      <c r="N518">
        <v>13</v>
      </c>
      <c r="O518">
        <v>64</v>
      </c>
      <c r="P518">
        <v>77</v>
      </c>
    </row>
    <row r="519" spans="1:16" x14ac:dyDescent="0.25">
      <c r="A519">
        <v>518</v>
      </c>
      <c r="B519" s="4">
        <v>40566</v>
      </c>
      <c r="C519">
        <v>1</v>
      </c>
      <c r="D519">
        <v>0</v>
      </c>
      <c r="E519">
        <v>1</v>
      </c>
      <c r="F519">
        <v>16</v>
      </c>
      <c r="G519" t="b">
        <v>0</v>
      </c>
      <c r="H519">
        <v>0</v>
      </c>
      <c r="I519">
        <v>1</v>
      </c>
      <c r="J519">
        <v>0.16</v>
      </c>
      <c r="K519">
        <v>0.13639999999999999</v>
      </c>
      <c r="L519">
        <v>0.26</v>
      </c>
      <c r="M519">
        <v>0.32840000000000003</v>
      </c>
      <c r="N519">
        <v>9</v>
      </c>
      <c r="O519">
        <v>56</v>
      </c>
      <c r="P519">
        <v>65</v>
      </c>
    </row>
    <row r="520" spans="1:16" x14ac:dyDescent="0.25">
      <c r="A520">
        <v>519</v>
      </c>
      <c r="B520" s="4">
        <v>40566</v>
      </c>
      <c r="C520">
        <v>1</v>
      </c>
      <c r="D520">
        <v>0</v>
      </c>
      <c r="E520">
        <v>1</v>
      </c>
      <c r="F520">
        <v>17</v>
      </c>
      <c r="G520" t="b">
        <v>0</v>
      </c>
      <c r="H520">
        <v>0</v>
      </c>
      <c r="I520">
        <v>1</v>
      </c>
      <c r="J520">
        <v>0.14000000000000001</v>
      </c>
      <c r="K520">
        <v>0.1061</v>
      </c>
      <c r="L520">
        <v>0.26</v>
      </c>
      <c r="M520">
        <v>0.3881</v>
      </c>
      <c r="N520">
        <v>5</v>
      </c>
      <c r="O520">
        <v>50</v>
      </c>
      <c r="P520">
        <v>55</v>
      </c>
    </row>
    <row r="521" spans="1:16" x14ac:dyDescent="0.25">
      <c r="A521">
        <v>520</v>
      </c>
      <c r="B521" s="4">
        <v>40566</v>
      </c>
      <c r="C521">
        <v>1</v>
      </c>
      <c r="D521">
        <v>0</v>
      </c>
      <c r="E521">
        <v>1</v>
      </c>
      <c r="F521">
        <v>18</v>
      </c>
      <c r="G521" t="b">
        <v>0</v>
      </c>
      <c r="H521">
        <v>0</v>
      </c>
      <c r="I521">
        <v>1</v>
      </c>
      <c r="J521">
        <v>0.12</v>
      </c>
      <c r="K521">
        <v>0.1212</v>
      </c>
      <c r="L521">
        <v>0.3</v>
      </c>
      <c r="M521">
        <v>0.25369999999999998</v>
      </c>
      <c r="N521">
        <v>5</v>
      </c>
      <c r="O521">
        <v>44</v>
      </c>
      <c r="P521">
        <v>49</v>
      </c>
    </row>
    <row r="522" spans="1:16" x14ac:dyDescent="0.25">
      <c r="A522">
        <v>521</v>
      </c>
      <c r="B522" s="4">
        <v>40566</v>
      </c>
      <c r="C522">
        <v>1</v>
      </c>
      <c r="D522">
        <v>0</v>
      </c>
      <c r="E522">
        <v>1</v>
      </c>
      <c r="F522">
        <v>19</v>
      </c>
      <c r="G522" t="b">
        <v>0</v>
      </c>
      <c r="H522">
        <v>0</v>
      </c>
      <c r="I522">
        <v>1</v>
      </c>
      <c r="J522">
        <v>0.12</v>
      </c>
      <c r="K522">
        <v>0.1212</v>
      </c>
      <c r="L522">
        <v>0.3</v>
      </c>
      <c r="M522">
        <v>0.28360000000000002</v>
      </c>
      <c r="N522">
        <v>5</v>
      </c>
      <c r="O522">
        <v>45</v>
      </c>
      <c r="P522">
        <v>50</v>
      </c>
    </row>
    <row r="523" spans="1:16" x14ac:dyDescent="0.25">
      <c r="A523">
        <v>522</v>
      </c>
      <c r="B523" s="4">
        <v>40566</v>
      </c>
      <c r="C523">
        <v>1</v>
      </c>
      <c r="D523">
        <v>0</v>
      </c>
      <c r="E523">
        <v>1</v>
      </c>
      <c r="F523">
        <v>20</v>
      </c>
      <c r="G523" t="b">
        <v>0</v>
      </c>
      <c r="H523">
        <v>0</v>
      </c>
      <c r="I523">
        <v>1</v>
      </c>
      <c r="J523">
        <v>0.1</v>
      </c>
      <c r="K523">
        <v>0.1061</v>
      </c>
      <c r="L523">
        <v>0.36</v>
      </c>
      <c r="M523">
        <v>0.25369999999999998</v>
      </c>
      <c r="N523">
        <v>4</v>
      </c>
      <c r="O523">
        <v>31</v>
      </c>
      <c r="P523">
        <v>35</v>
      </c>
    </row>
    <row r="524" spans="1:16" x14ac:dyDescent="0.25">
      <c r="A524">
        <v>523</v>
      </c>
      <c r="B524" s="4">
        <v>40566</v>
      </c>
      <c r="C524">
        <v>1</v>
      </c>
      <c r="D524">
        <v>0</v>
      </c>
      <c r="E524">
        <v>1</v>
      </c>
      <c r="F524">
        <v>21</v>
      </c>
      <c r="G524" t="b">
        <v>0</v>
      </c>
      <c r="H524">
        <v>0</v>
      </c>
      <c r="I524">
        <v>1</v>
      </c>
      <c r="J524">
        <v>0.1</v>
      </c>
      <c r="K524">
        <v>0.1061</v>
      </c>
      <c r="L524">
        <v>0.36</v>
      </c>
      <c r="M524">
        <v>0.19400000000000001</v>
      </c>
      <c r="N524">
        <v>5</v>
      </c>
      <c r="O524">
        <v>20</v>
      </c>
      <c r="P524">
        <v>25</v>
      </c>
    </row>
    <row r="525" spans="1:16" x14ac:dyDescent="0.25">
      <c r="A525">
        <v>524</v>
      </c>
      <c r="B525" s="4">
        <v>40566</v>
      </c>
      <c r="C525">
        <v>1</v>
      </c>
      <c r="D525">
        <v>0</v>
      </c>
      <c r="E525">
        <v>1</v>
      </c>
      <c r="F525">
        <v>22</v>
      </c>
      <c r="G525" t="b">
        <v>0</v>
      </c>
      <c r="H525">
        <v>0</v>
      </c>
      <c r="I525">
        <v>1</v>
      </c>
      <c r="J525">
        <v>0.08</v>
      </c>
      <c r="K525">
        <v>9.0899999999999995E-2</v>
      </c>
      <c r="L525">
        <v>0.38</v>
      </c>
      <c r="M525">
        <v>0.19400000000000001</v>
      </c>
      <c r="N525">
        <v>5</v>
      </c>
      <c r="O525">
        <v>23</v>
      </c>
      <c r="P525">
        <v>28</v>
      </c>
    </row>
    <row r="526" spans="1:16" x14ac:dyDescent="0.25">
      <c r="A526">
        <v>525</v>
      </c>
      <c r="B526" s="4">
        <v>40566</v>
      </c>
      <c r="C526">
        <v>1</v>
      </c>
      <c r="D526">
        <v>0</v>
      </c>
      <c r="E526">
        <v>1</v>
      </c>
      <c r="F526">
        <v>23</v>
      </c>
      <c r="G526" t="b">
        <v>0</v>
      </c>
      <c r="H526">
        <v>0</v>
      </c>
      <c r="I526">
        <v>1</v>
      </c>
      <c r="J526">
        <v>0.06</v>
      </c>
      <c r="K526">
        <v>6.0600000000000001E-2</v>
      </c>
      <c r="L526">
        <v>0.41</v>
      </c>
      <c r="M526">
        <v>0.22389999999999999</v>
      </c>
      <c r="N526">
        <v>4</v>
      </c>
      <c r="O526">
        <v>17</v>
      </c>
      <c r="P526">
        <v>21</v>
      </c>
    </row>
    <row r="527" spans="1:16" x14ac:dyDescent="0.25">
      <c r="A527">
        <v>526</v>
      </c>
      <c r="B527" s="4">
        <v>40567</v>
      </c>
      <c r="C527">
        <v>1</v>
      </c>
      <c r="D527">
        <v>0</v>
      </c>
      <c r="E527">
        <v>1</v>
      </c>
      <c r="F527">
        <v>0</v>
      </c>
      <c r="G527" t="b">
        <v>0</v>
      </c>
      <c r="H527">
        <v>1</v>
      </c>
      <c r="I527">
        <v>1</v>
      </c>
      <c r="J527">
        <v>0.06</v>
      </c>
      <c r="K527">
        <v>6.0600000000000001E-2</v>
      </c>
      <c r="L527">
        <v>0.41</v>
      </c>
      <c r="M527">
        <v>0.19400000000000001</v>
      </c>
      <c r="N527">
        <v>0</v>
      </c>
      <c r="O527">
        <v>7</v>
      </c>
      <c r="P527">
        <v>7</v>
      </c>
    </row>
    <row r="528" spans="1:16" x14ac:dyDescent="0.25">
      <c r="A528">
        <v>527</v>
      </c>
      <c r="B528" s="4">
        <v>40567</v>
      </c>
      <c r="C528">
        <v>1</v>
      </c>
      <c r="D528">
        <v>0</v>
      </c>
      <c r="E528">
        <v>1</v>
      </c>
      <c r="F528">
        <v>1</v>
      </c>
      <c r="G528" t="b">
        <v>0</v>
      </c>
      <c r="H528">
        <v>1</v>
      </c>
      <c r="I528">
        <v>1</v>
      </c>
      <c r="J528">
        <v>0.04</v>
      </c>
      <c r="K528">
        <v>4.5499999999999999E-2</v>
      </c>
      <c r="L528">
        <v>0.45</v>
      </c>
      <c r="M528">
        <v>0.19400000000000001</v>
      </c>
      <c r="N528">
        <v>0</v>
      </c>
      <c r="O528">
        <v>1</v>
      </c>
      <c r="P528">
        <v>1</v>
      </c>
    </row>
    <row r="529" spans="1:16" x14ac:dyDescent="0.25">
      <c r="A529">
        <v>528</v>
      </c>
      <c r="B529" s="4">
        <v>40567</v>
      </c>
      <c r="C529">
        <v>1</v>
      </c>
      <c r="D529">
        <v>0</v>
      </c>
      <c r="E529">
        <v>1</v>
      </c>
      <c r="F529">
        <v>3</v>
      </c>
      <c r="G529" t="b">
        <v>0</v>
      </c>
      <c r="H529">
        <v>1</v>
      </c>
      <c r="I529">
        <v>1</v>
      </c>
      <c r="J529">
        <v>0.04</v>
      </c>
      <c r="K529">
        <v>3.0300000000000001E-2</v>
      </c>
      <c r="L529">
        <v>0.45</v>
      </c>
      <c r="M529">
        <v>0.25369999999999998</v>
      </c>
      <c r="N529">
        <v>0</v>
      </c>
      <c r="O529">
        <v>1</v>
      </c>
      <c r="P529">
        <v>1</v>
      </c>
    </row>
    <row r="530" spans="1:16" x14ac:dyDescent="0.25">
      <c r="A530">
        <v>529</v>
      </c>
      <c r="B530" s="4">
        <v>40567</v>
      </c>
      <c r="C530">
        <v>1</v>
      </c>
      <c r="D530">
        <v>0</v>
      </c>
      <c r="E530">
        <v>1</v>
      </c>
      <c r="F530">
        <v>4</v>
      </c>
      <c r="G530" t="b">
        <v>0</v>
      </c>
      <c r="H530">
        <v>1</v>
      </c>
      <c r="I530">
        <v>1</v>
      </c>
      <c r="J530">
        <v>0.02</v>
      </c>
      <c r="K530">
        <v>6.0600000000000001E-2</v>
      </c>
      <c r="L530">
        <v>0.48</v>
      </c>
      <c r="M530">
        <v>0.1343</v>
      </c>
      <c r="N530">
        <v>0</v>
      </c>
      <c r="O530">
        <v>1</v>
      </c>
      <c r="P530">
        <v>1</v>
      </c>
    </row>
    <row r="531" spans="1:16" x14ac:dyDescent="0.25">
      <c r="A531">
        <v>530</v>
      </c>
      <c r="B531" s="4">
        <v>40567</v>
      </c>
      <c r="C531">
        <v>1</v>
      </c>
      <c r="D531">
        <v>0</v>
      </c>
      <c r="E531">
        <v>1</v>
      </c>
      <c r="F531">
        <v>5</v>
      </c>
      <c r="G531" t="b">
        <v>0</v>
      </c>
      <c r="H531">
        <v>1</v>
      </c>
      <c r="I531">
        <v>1</v>
      </c>
      <c r="J531">
        <v>0.02</v>
      </c>
      <c r="K531">
        <v>6.0600000000000001E-2</v>
      </c>
      <c r="L531">
        <v>0.48</v>
      </c>
      <c r="M531">
        <v>0.1343</v>
      </c>
      <c r="N531">
        <v>0</v>
      </c>
      <c r="O531">
        <v>5</v>
      </c>
      <c r="P531">
        <v>5</v>
      </c>
    </row>
    <row r="532" spans="1:16" x14ac:dyDescent="0.25">
      <c r="A532">
        <v>531</v>
      </c>
      <c r="B532" s="4">
        <v>40567</v>
      </c>
      <c r="C532">
        <v>1</v>
      </c>
      <c r="D532">
        <v>0</v>
      </c>
      <c r="E532">
        <v>1</v>
      </c>
      <c r="F532">
        <v>6</v>
      </c>
      <c r="G532" t="b">
        <v>0</v>
      </c>
      <c r="H532">
        <v>1</v>
      </c>
      <c r="I532">
        <v>1</v>
      </c>
      <c r="J532">
        <v>0.02</v>
      </c>
      <c r="K532">
        <v>7.5800000000000006E-2</v>
      </c>
      <c r="L532">
        <v>0.48</v>
      </c>
      <c r="M532">
        <v>8.9599999999999999E-2</v>
      </c>
      <c r="N532">
        <v>0</v>
      </c>
      <c r="O532">
        <v>15</v>
      </c>
      <c r="P532">
        <v>15</v>
      </c>
    </row>
    <row r="533" spans="1:16" x14ac:dyDescent="0.25">
      <c r="A533">
        <v>532</v>
      </c>
      <c r="B533" s="4">
        <v>40567</v>
      </c>
      <c r="C533">
        <v>1</v>
      </c>
      <c r="D533">
        <v>0</v>
      </c>
      <c r="E533">
        <v>1</v>
      </c>
      <c r="F533">
        <v>7</v>
      </c>
      <c r="G533" t="b">
        <v>0</v>
      </c>
      <c r="H533">
        <v>1</v>
      </c>
      <c r="I533">
        <v>1</v>
      </c>
      <c r="J533">
        <v>0.02</v>
      </c>
      <c r="K533">
        <v>0.1212</v>
      </c>
      <c r="L533">
        <v>0.48</v>
      </c>
      <c r="M533">
        <v>0</v>
      </c>
      <c r="N533">
        <v>5</v>
      </c>
      <c r="O533">
        <v>79</v>
      </c>
      <c r="P533">
        <v>84</v>
      </c>
    </row>
    <row r="534" spans="1:16" x14ac:dyDescent="0.25">
      <c r="A534">
        <v>533</v>
      </c>
      <c r="B534" s="4">
        <v>40567</v>
      </c>
      <c r="C534">
        <v>1</v>
      </c>
      <c r="D534">
        <v>0</v>
      </c>
      <c r="E534">
        <v>1</v>
      </c>
      <c r="F534">
        <v>8</v>
      </c>
      <c r="G534" t="b">
        <v>0</v>
      </c>
      <c r="H534">
        <v>1</v>
      </c>
      <c r="I534">
        <v>1</v>
      </c>
      <c r="J534">
        <v>0.04</v>
      </c>
      <c r="K534">
        <v>0.13639999999999999</v>
      </c>
      <c r="L534">
        <v>0.49</v>
      </c>
      <c r="M534">
        <v>0</v>
      </c>
      <c r="N534">
        <v>6</v>
      </c>
      <c r="O534">
        <v>171</v>
      </c>
      <c r="P534">
        <v>177</v>
      </c>
    </row>
    <row r="535" spans="1:16" x14ac:dyDescent="0.25">
      <c r="A535">
        <v>534</v>
      </c>
      <c r="B535" s="4">
        <v>40567</v>
      </c>
      <c r="C535">
        <v>1</v>
      </c>
      <c r="D535">
        <v>0</v>
      </c>
      <c r="E535">
        <v>1</v>
      </c>
      <c r="F535">
        <v>9</v>
      </c>
      <c r="G535" t="b">
        <v>0</v>
      </c>
      <c r="H535">
        <v>1</v>
      </c>
      <c r="I535">
        <v>1</v>
      </c>
      <c r="J535">
        <v>0.06</v>
      </c>
      <c r="K535">
        <v>0.1515</v>
      </c>
      <c r="L535">
        <v>0.41</v>
      </c>
      <c r="M535">
        <v>0</v>
      </c>
      <c r="N535">
        <v>4</v>
      </c>
      <c r="O535">
        <v>98</v>
      </c>
      <c r="P535">
        <v>102</v>
      </c>
    </row>
    <row r="536" spans="1:16" x14ac:dyDescent="0.25">
      <c r="A536">
        <v>535</v>
      </c>
      <c r="B536" s="4">
        <v>40567</v>
      </c>
      <c r="C536">
        <v>1</v>
      </c>
      <c r="D536">
        <v>0</v>
      </c>
      <c r="E536">
        <v>1</v>
      </c>
      <c r="F536">
        <v>10</v>
      </c>
      <c r="G536" t="b">
        <v>0</v>
      </c>
      <c r="H536">
        <v>1</v>
      </c>
      <c r="I536">
        <v>1</v>
      </c>
      <c r="J536">
        <v>0.1</v>
      </c>
      <c r="K536">
        <v>0.13639999999999999</v>
      </c>
      <c r="L536">
        <v>0.42</v>
      </c>
      <c r="M536">
        <v>0</v>
      </c>
      <c r="N536">
        <v>6</v>
      </c>
      <c r="O536">
        <v>34</v>
      </c>
      <c r="P536">
        <v>40</v>
      </c>
    </row>
    <row r="537" spans="1:16" x14ac:dyDescent="0.25">
      <c r="A537">
        <v>536</v>
      </c>
      <c r="B537" s="4">
        <v>40567</v>
      </c>
      <c r="C537">
        <v>1</v>
      </c>
      <c r="D537">
        <v>0</v>
      </c>
      <c r="E537">
        <v>1</v>
      </c>
      <c r="F537">
        <v>11</v>
      </c>
      <c r="G537" t="b">
        <v>0</v>
      </c>
      <c r="H537">
        <v>1</v>
      </c>
      <c r="I537">
        <v>1</v>
      </c>
      <c r="J537">
        <v>0.1</v>
      </c>
      <c r="K537">
        <v>0.1212</v>
      </c>
      <c r="L537">
        <v>0.46</v>
      </c>
      <c r="M537">
        <v>0.1343</v>
      </c>
      <c r="N537">
        <v>3</v>
      </c>
      <c r="O537">
        <v>43</v>
      </c>
      <c r="P537">
        <v>46</v>
      </c>
    </row>
    <row r="538" spans="1:16" x14ac:dyDescent="0.25">
      <c r="A538">
        <v>537</v>
      </c>
      <c r="B538" s="4">
        <v>40567</v>
      </c>
      <c r="C538">
        <v>1</v>
      </c>
      <c r="D538">
        <v>0</v>
      </c>
      <c r="E538">
        <v>1</v>
      </c>
      <c r="F538">
        <v>12</v>
      </c>
      <c r="G538" t="b">
        <v>0</v>
      </c>
      <c r="H538">
        <v>1</v>
      </c>
      <c r="I538">
        <v>2</v>
      </c>
      <c r="J538">
        <v>0.12</v>
      </c>
      <c r="K538">
        <v>0.13639999999999999</v>
      </c>
      <c r="L538">
        <v>0.42</v>
      </c>
      <c r="M538">
        <v>0.19400000000000001</v>
      </c>
      <c r="N538">
        <v>11</v>
      </c>
      <c r="O538">
        <v>52</v>
      </c>
      <c r="P538">
        <v>63</v>
      </c>
    </row>
    <row r="539" spans="1:16" x14ac:dyDescent="0.25">
      <c r="A539">
        <v>538</v>
      </c>
      <c r="B539" s="4">
        <v>40567</v>
      </c>
      <c r="C539">
        <v>1</v>
      </c>
      <c r="D539">
        <v>0</v>
      </c>
      <c r="E539">
        <v>1</v>
      </c>
      <c r="F539">
        <v>13</v>
      </c>
      <c r="G539" t="b">
        <v>0</v>
      </c>
      <c r="H539">
        <v>1</v>
      </c>
      <c r="I539">
        <v>2</v>
      </c>
      <c r="J539">
        <v>0.14000000000000001</v>
      </c>
      <c r="K539">
        <v>0.13639999999999999</v>
      </c>
      <c r="L539">
        <v>0.43</v>
      </c>
      <c r="M539">
        <v>0.22389999999999999</v>
      </c>
      <c r="N539">
        <v>6</v>
      </c>
      <c r="O539">
        <v>54</v>
      </c>
      <c r="P539">
        <v>60</v>
      </c>
    </row>
    <row r="540" spans="1:16" x14ac:dyDescent="0.25">
      <c r="A540">
        <v>539</v>
      </c>
      <c r="B540" s="4">
        <v>40567</v>
      </c>
      <c r="C540">
        <v>1</v>
      </c>
      <c r="D540">
        <v>0</v>
      </c>
      <c r="E540">
        <v>1</v>
      </c>
      <c r="F540">
        <v>14</v>
      </c>
      <c r="G540" t="b">
        <v>0</v>
      </c>
      <c r="H540">
        <v>1</v>
      </c>
      <c r="I540">
        <v>2</v>
      </c>
      <c r="J540">
        <v>0.14000000000000001</v>
      </c>
      <c r="K540">
        <v>0.13639999999999999</v>
      </c>
      <c r="L540">
        <v>0.46</v>
      </c>
      <c r="M540">
        <v>0.22389999999999999</v>
      </c>
      <c r="N540">
        <v>2</v>
      </c>
      <c r="O540">
        <v>43</v>
      </c>
      <c r="P540">
        <v>45</v>
      </c>
    </row>
    <row r="541" spans="1:16" x14ac:dyDescent="0.25">
      <c r="A541">
        <v>540</v>
      </c>
      <c r="B541" s="4">
        <v>40567</v>
      </c>
      <c r="C541">
        <v>1</v>
      </c>
      <c r="D541">
        <v>0</v>
      </c>
      <c r="E541">
        <v>1</v>
      </c>
      <c r="F541">
        <v>15</v>
      </c>
      <c r="G541" t="b">
        <v>0</v>
      </c>
      <c r="H541">
        <v>1</v>
      </c>
      <c r="I541">
        <v>1</v>
      </c>
      <c r="J541">
        <v>0.16</v>
      </c>
      <c r="K541">
        <v>0.16669999999999999</v>
      </c>
      <c r="L541">
        <v>0.4</v>
      </c>
      <c r="M541">
        <v>0.16420000000000001</v>
      </c>
      <c r="N541">
        <v>7</v>
      </c>
      <c r="O541">
        <v>50</v>
      </c>
      <c r="P541">
        <v>57</v>
      </c>
    </row>
    <row r="542" spans="1:16" x14ac:dyDescent="0.25">
      <c r="A542">
        <v>541</v>
      </c>
      <c r="B542" s="4">
        <v>40567</v>
      </c>
      <c r="C542">
        <v>1</v>
      </c>
      <c r="D542">
        <v>0</v>
      </c>
      <c r="E542">
        <v>1</v>
      </c>
      <c r="F542">
        <v>16</v>
      </c>
      <c r="G542" t="b">
        <v>0</v>
      </c>
      <c r="H542">
        <v>1</v>
      </c>
      <c r="I542">
        <v>1</v>
      </c>
      <c r="J542">
        <v>0.16</v>
      </c>
      <c r="K542">
        <v>0.1515</v>
      </c>
      <c r="L542">
        <v>0.47</v>
      </c>
      <c r="M542">
        <v>0.25369999999999998</v>
      </c>
      <c r="N542">
        <v>4</v>
      </c>
      <c r="O542">
        <v>66</v>
      </c>
      <c r="P542">
        <v>70</v>
      </c>
    </row>
    <row r="543" spans="1:16" x14ac:dyDescent="0.25">
      <c r="A543">
        <v>542</v>
      </c>
      <c r="B543" s="4">
        <v>40567</v>
      </c>
      <c r="C543">
        <v>1</v>
      </c>
      <c r="D543">
        <v>0</v>
      </c>
      <c r="E543">
        <v>1</v>
      </c>
      <c r="F543">
        <v>17</v>
      </c>
      <c r="G543" t="b">
        <v>0</v>
      </c>
      <c r="H543">
        <v>1</v>
      </c>
      <c r="I543">
        <v>1</v>
      </c>
      <c r="J543">
        <v>0.14000000000000001</v>
      </c>
      <c r="K543">
        <v>0.1212</v>
      </c>
      <c r="L543">
        <v>0.5</v>
      </c>
      <c r="M543">
        <v>0.25369999999999998</v>
      </c>
      <c r="N543">
        <v>6</v>
      </c>
      <c r="O543">
        <v>178</v>
      </c>
      <c r="P543">
        <v>184</v>
      </c>
    </row>
    <row r="544" spans="1:16" x14ac:dyDescent="0.25">
      <c r="A544">
        <v>543</v>
      </c>
      <c r="B544" s="4">
        <v>40567</v>
      </c>
      <c r="C544">
        <v>1</v>
      </c>
      <c r="D544">
        <v>0</v>
      </c>
      <c r="E544">
        <v>1</v>
      </c>
      <c r="F544">
        <v>18</v>
      </c>
      <c r="G544" t="b">
        <v>0</v>
      </c>
      <c r="H544">
        <v>1</v>
      </c>
      <c r="I544">
        <v>1</v>
      </c>
      <c r="J544">
        <v>0.14000000000000001</v>
      </c>
      <c r="K544">
        <v>0.13639999999999999</v>
      </c>
      <c r="L544">
        <v>0.59</v>
      </c>
      <c r="M544">
        <v>0.19400000000000001</v>
      </c>
      <c r="N544">
        <v>8</v>
      </c>
      <c r="O544">
        <v>145</v>
      </c>
      <c r="P544">
        <v>153</v>
      </c>
    </row>
    <row r="545" spans="1:16" x14ac:dyDescent="0.25">
      <c r="A545">
        <v>544</v>
      </c>
      <c r="B545" s="4">
        <v>40567</v>
      </c>
      <c r="C545">
        <v>1</v>
      </c>
      <c r="D545">
        <v>0</v>
      </c>
      <c r="E545">
        <v>1</v>
      </c>
      <c r="F545">
        <v>19</v>
      </c>
      <c r="G545" t="b">
        <v>0</v>
      </c>
      <c r="H545">
        <v>1</v>
      </c>
      <c r="I545">
        <v>1</v>
      </c>
      <c r="J545">
        <v>0.14000000000000001</v>
      </c>
      <c r="K545">
        <v>0.1515</v>
      </c>
      <c r="L545">
        <v>0.54</v>
      </c>
      <c r="M545">
        <v>0.16420000000000001</v>
      </c>
      <c r="N545">
        <v>5</v>
      </c>
      <c r="O545">
        <v>101</v>
      </c>
      <c r="P545">
        <v>106</v>
      </c>
    </row>
    <row r="546" spans="1:16" x14ac:dyDescent="0.25">
      <c r="A546">
        <v>545</v>
      </c>
      <c r="B546" s="4">
        <v>40567</v>
      </c>
      <c r="C546">
        <v>1</v>
      </c>
      <c r="D546">
        <v>0</v>
      </c>
      <c r="E546">
        <v>1</v>
      </c>
      <c r="F546">
        <v>20</v>
      </c>
      <c r="G546" t="b">
        <v>0</v>
      </c>
      <c r="H546">
        <v>1</v>
      </c>
      <c r="I546">
        <v>1</v>
      </c>
      <c r="J546">
        <v>0.14000000000000001</v>
      </c>
      <c r="K546">
        <v>0.13639999999999999</v>
      </c>
      <c r="L546">
        <v>0.59</v>
      </c>
      <c r="M546">
        <v>0.19400000000000001</v>
      </c>
      <c r="N546">
        <v>1</v>
      </c>
      <c r="O546">
        <v>80</v>
      </c>
      <c r="P546">
        <v>81</v>
      </c>
    </row>
    <row r="547" spans="1:16" x14ac:dyDescent="0.25">
      <c r="A547">
        <v>546</v>
      </c>
      <c r="B547" s="4">
        <v>40567</v>
      </c>
      <c r="C547">
        <v>1</v>
      </c>
      <c r="D547">
        <v>0</v>
      </c>
      <c r="E547">
        <v>1</v>
      </c>
      <c r="F547">
        <v>21</v>
      </c>
      <c r="G547" t="b">
        <v>0</v>
      </c>
      <c r="H547">
        <v>1</v>
      </c>
      <c r="I547">
        <v>1</v>
      </c>
      <c r="J547">
        <v>0.14000000000000001</v>
      </c>
      <c r="K547">
        <v>0.1515</v>
      </c>
      <c r="L547">
        <v>0.63</v>
      </c>
      <c r="M547">
        <v>0.16420000000000001</v>
      </c>
      <c r="N547">
        <v>6</v>
      </c>
      <c r="O547">
        <v>53</v>
      </c>
      <c r="P547">
        <v>59</v>
      </c>
    </row>
    <row r="548" spans="1:16" x14ac:dyDescent="0.25">
      <c r="A548">
        <v>547</v>
      </c>
      <c r="B548" s="4">
        <v>40567</v>
      </c>
      <c r="C548">
        <v>1</v>
      </c>
      <c r="D548">
        <v>0</v>
      </c>
      <c r="E548">
        <v>1</v>
      </c>
      <c r="F548">
        <v>22</v>
      </c>
      <c r="G548" t="b">
        <v>0</v>
      </c>
      <c r="H548">
        <v>1</v>
      </c>
      <c r="I548">
        <v>2</v>
      </c>
      <c r="J548">
        <v>0.14000000000000001</v>
      </c>
      <c r="K548">
        <v>0.13639999999999999</v>
      </c>
      <c r="L548">
        <v>0.63</v>
      </c>
      <c r="M548">
        <v>0.22389999999999999</v>
      </c>
      <c r="N548">
        <v>3</v>
      </c>
      <c r="O548">
        <v>32</v>
      </c>
      <c r="P548">
        <v>35</v>
      </c>
    </row>
    <row r="549" spans="1:16" x14ac:dyDescent="0.25">
      <c r="A549">
        <v>548</v>
      </c>
      <c r="B549" s="4">
        <v>40567</v>
      </c>
      <c r="C549">
        <v>1</v>
      </c>
      <c r="D549">
        <v>0</v>
      </c>
      <c r="E549">
        <v>1</v>
      </c>
      <c r="F549">
        <v>23</v>
      </c>
      <c r="G549" t="b">
        <v>0</v>
      </c>
      <c r="H549">
        <v>1</v>
      </c>
      <c r="I549">
        <v>2</v>
      </c>
      <c r="J549">
        <v>0.16</v>
      </c>
      <c r="K549">
        <v>0.1515</v>
      </c>
      <c r="L549">
        <v>0.64</v>
      </c>
      <c r="M549">
        <v>0.25369999999999998</v>
      </c>
      <c r="N549">
        <v>3</v>
      </c>
      <c r="O549">
        <v>21</v>
      </c>
      <c r="P549">
        <v>24</v>
      </c>
    </row>
    <row r="550" spans="1:16" x14ac:dyDescent="0.25">
      <c r="A550">
        <v>549</v>
      </c>
      <c r="B550" s="4">
        <v>40568</v>
      </c>
      <c r="C550">
        <v>1</v>
      </c>
      <c r="D550">
        <v>0</v>
      </c>
      <c r="E550">
        <v>1</v>
      </c>
      <c r="F550">
        <v>0</v>
      </c>
      <c r="G550" t="b">
        <v>0</v>
      </c>
      <c r="H550">
        <v>2</v>
      </c>
      <c r="I550">
        <v>2</v>
      </c>
      <c r="J550">
        <v>0.16</v>
      </c>
      <c r="K550">
        <v>0.13639999999999999</v>
      </c>
      <c r="L550">
        <v>0.69</v>
      </c>
      <c r="M550">
        <v>0.28360000000000002</v>
      </c>
      <c r="N550">
        <v>3</v>
      </c>
      <c r="O550">
        <v>6</v>
      </c>
      <c r="P550">
        <v>9</v>
      </c>
    </row>
    <row r="551" spans="1:16" x14ac:dyDescent="0.25">
      <c r="A551">
        <v>550</v>
      </c>
      <c r="B551" s="4">
        <v>40568</v>
      </c>
      <c r="C551">
        <v>1</v>
      </c>
      <c r="D551">
        <v>0</v>
      </c>
      <c r="E551">
        <v>1</v>
      </c>
      <c r="F551">
        <v>1</v>
      </c>
      <c r="G551" t="b">
        <v>0</v>
      </c>
      <c r="H551">
        <v>2</v>
      </c>
      <c r="I551">
        <v>2</v>
      </c>
      <c r="J551">
        <v>0.16</v>
      </c>
      <c r="K551">
        <v>0.16669999999999999</v>
      </c>
      <c r="L551">
        <v>0.69</v>
      </c>
      <c r="M551">
        <v>0.16420000000000001</v>
      </c>
      <c r="N551">
        <v>0</v>
      </c>
      <c r="O551">
        <v>5</v>
      </c>
      <c r="P551">
        <v>5</v>
      </c>
    </row>
    <row r="552" spans="1:16" x14ac:dyDescent="0.25">
      <c r="A552">
        <v>551</v>
      </c>
      <c r="B552" s="4">
        <v>40568</v>
      </c>
      <c r="C552">
        <v>1</v>
      </c>
      <c r="D552">
        <v>0</v>
      </c>
      <c r="E552">
        <v>1</v>
      </c>
      <c r="F552">
        <v>2</v>
      </c>
      <c r="G552" t="b">
        <v>0</v>
      </c>
      <c r="H552">
        <v>2</v>
      </c>
      <c r="I552">
        <v>1</v>
      </c>
      <c r="J552">
        <v>0.16</v>
      </c>
      <c r="K552">
        <v>0.1515</v>
      </c>
      <c r="L552">
        <v>0.69</v>
      </c>
      <c r="M552">
        <v>0.22389999999999999</v>
      </c>
      <c r="N552">
        <v>0</v>
      </c>
      <c r="O552">
        <v>2</v>
      </c>
      <c r="P552">
        <v>2</v>
      </c>
    </row>
    <row r="553" spans="1:16" x14ac:dyDescent="0.25">
      <c r="A553">
        <v>552</v>
      </c>
      <c r="B553" s="4">
        <v>40568</v>
      </c>
      <c r="C553">
        <v>1</v>
      </c>
      <c r="D553">
        <v>0</v>
      </c>
      <c r="E553">
        <v>1</v>
      </c>
      <c r="F553">
        <v>4</v>
      </c>
      <c r="G553" t="b">
        <v>0</v>
      </c>
      <c r="H553">
        <v>2</v>
      </c>
      <c r="I553">
        <v>1</v>
      </c>
      <c r="J553">
        <v>0.14000000000000001</v>
      </c>
      <c r="K553">
        <v>0.16669999999999999</v>
      </c>
      <c r="L553">
        <v>0.74</v>
      </c>
      <c r="M553">
        <v>0.1045</v>
      </c>
      <c r="N553">
        <v>0</v>
      </c>
      <c r="O553">
        <v>1</v>
      </c>
      <c r="P553">
        <v>1</v>
      </c>
    </row>
    <row r="554" spans="1:16" x14ac:dyDescent="0.25">
      <c r="A554">
        <v>553</v>
      </c>
      <c r="B554" s="4">
        <v>40568</v>
      </c>
      <c r="C554">
        <v>1</v>
      </c>
      <c r="D554">
        <v>0</v>
      </c>
      <c r="E554">
        <v>1</v>
      </c>
      <c r="F554">
        <v>5</v>
      </c>
      <c r="G554" t="b">
        <v>0</v>
      </c>
      <c r="H554">
        <v>2</v>
      </c>
      <c r="I554">
        <v>1</v>
      </c>
      <c r="J554">
        <v>0.14000000000000001</v>
      </c>
      <c r="K554">
        <v>0.13639999999999999</v>
      </c>
      <c r="L554">
        <v>0.74</v>
      </c>
      <c r="M554">
        <v>0.22389999999999999</v>
      </c>
      <c r="N554">
        <v>0</v>
      </c>
      <c r="O554">
        <v>9</v>
      </c>
      <c r="P554">
        <v>9</v>
      </c>
    </row>
    <row r="555" spans="1:16" x14ac:dyDescent="0.25">
      <c r="A555">
        <v>554</v>
      </c>
      <c r="B555" s="4">
        <v>40568</v>
      </c>
      <c r="C555">
        <v>1</v>
      </c>
      <c r="D555">
        <v>0</v>
      </c>
      <c r="E555">
        <v>1</v>
      </c>
      <c r="F555">
        <v>6</v>
      </c>
      <c r="G555" t="b">
        <v>0</v>
      </c>
      <c r="H555">
        <v>2</v>
      </c>
      <c r="I555">
        <v>1</v>
      </c>
      <c r="J555">
        <v>0.16</v>
      </c>
      <c r="K555">
        <v>0.18179999999999999</v>
      </c>
      <c r="L555">
        <v>0.74</v>
      </c>
      <c r="M555">
        <v>0.1045</v>
      </c>
      <c r="N555">
        <v>1</v>
      </c>
      <c r="O555">
        <v>35</v>
      </c>
      <c r="P555">
        <v>36</v>
      </c>
    </row>
    <row r="556" spans="1:16" x14ac:dyDescent="0.25">
      <c r="A556">
        <v>555</v>
      </c>
      <c r="B556" s="4">
        <v>40568</v>
      </c>
      <c r="C556">
        <v>1</v>
      </c>
      <c r="D556">
        <v>0</v>
      </c>
      <c r="E556">
        <v>1</v>
      </c>
      <c r="F556">
        <v>7</v>
      </c>
      <c r="G556" t="b">
        <v>0</v>
      </c>
      <c r="H556">
        <v>2</v>
      </c>
      <c r="I556">
        <v>1</v>
      </c>
      <c r="J556">
        <v>0.16</v>
      </c>
      <c r="K556">
        <v>0.1515</v>
      </c>
      <c r="L556">
        <v>0.74</v>
      </c>
      <c r="M556">
        <v>0.22389999999999999</v>
      </c>
      <c r="N556">
        <v>5</v>
      </c>
      <c r="O556">
        <v>103</v>
      </c>
      <c r="P556">
        <v>108</v>
      </c>
    </row>
    <row r="557" spans="1:16" x14ac:dyDescent="0.25">
      <c r="A557">
        <v>556</v>
      </c>
      <c r="B557" s="4">
        <v>40568</v>
      </c>
      <c r="C557">
        <v>1</v>
      </c>
      <c r="D557">
        <v>0</v>
      </c>
      <c r="E557">
        <v>1</v>
      </c>
      <c r="F557">
        <v>8</v>
      </c>
      <c r="G557" t="b">
        <v>0</v>
      </c>
      <c r="H557">
        <v>2</v>
      </c>
      <c r="I557">
        <v>2</v>
      </c>
      <c r="J557">
        <v>0.16</v>
      </c>
      <c r="K557">
        <v>0.18179999999999999</v>
      </c>
      <c r="L557">
        <v>0.74</v>
      </c>
      <c r="M557">
        <v>0.1343</v>
      </c>
      <c r="N557">
        <v>5</v>
      </c>
      <c r="O557">
        <v>233</v>
      </c>
      <c r="P557">
        <v>238</v>
      </c>
    </row>
    <row r="558" spans="1:16" x14ac:dyDescent="0.25">
      <c r="A558">
        <v>557</v>
      </c>
      <c r="B558" s="4">
        <v>40568</v>
      </c>
      <c r="C558">
        <v>1</v>
      </c>
      <c r="D558">
        <v>0</v>
      </c>
      <c r="E558">
        <v>1</v>
      </c>
      <c r="F558">
        <v>9</v>
      </c>
      <c r="G558" t="b">
        <v>0</v>
      </c>
      <c r="H558">
        <v>2</v>
      </c>
      <c r="I558">
        <v>2</v>
      </c>
      <c r="J558">
        <v>0.2</v>
      </c>
      <c r="K558">
        <v>0.2273</v>
      </c>
      <c r="L558">
        <v>0.64</v>
      </c>
      <c r="M558">
        <v>8.9599999999999999E-2</v>
      </c>
      <c r="N558">
        <v>10</v>
      </c>
      <c r="O558">
        <v>134</v>
      </c>
      <c r="P558">
        <v>144</v>
      </c>
    </row>
    <row r="559" spans="1:16" x14ac:dyDescent="0.25">
      <c r="A559">
        <v>558</v>
      </c>
      <c r="B559" s="4">
        <v>40568</v>
      </c>
      <c r="C559">
        <v>1</v>
      </c>
      <c r="D559">
        <v>0</v>
      </c>
      <c r="E559">
        <v>1</v>
      </c>
      <c r="F559">
        <v>10</v>
      </c>
      <c r="G559" t="b">
        <v>0</v>
      </c>
      <c r="H559">
        <v>2</v>
      </c>
      <c r="I559">
        <v>2</v>
      </c>
      <c r="J559">
        <v>0.22</v>
      </c>
      <c r="K559">
        <v>0.2424</v>
      </c>
      <c r="L559">
        <v>0.6</v>
      </c>
      <c r="M559">
        <v>0.1045</v>
      </c>
      <c r="N559">
        <v>6</v>
      </c>
      <c r="O559">
        <v>49</v>
      </c>
      <c r="P559">
        <v>55</v>
      </c>
    </row>
    <row r="560" spans="1:16" x14ac:dyDescent="0.25">
      <c r="A560">
        <v>559</v>
      </c>
      <c r="B560" s="4">
        <v>40568</v>
      </c>
      <c r="C560">
        <v>1</v>
      </c>
      <c r="D560">
        <v>0</v>
      </c>
      <c r="E560">
        <v>1</v>
      </c>
      <c r="F560">
        <v>11</v>
      </c>
      <c r="G560" t="b">
        <v>0</v>
      </c>
      <c r="H560">
        <v>2</v>
      </c>
      <c r="I560">
        <v>2</v>
      </c>
      <c r="J560">
        <v>0.24</v>
      </c>
      <c r="K560">
        <v>0.2424</v>
      </c>
      <c r="L560">
        <v>0.6</v>
      </c>
      <c r="M560">
        <v>0.1343</v>
      </c>
      <c r="N560">
        <v>6</v>
      </c>
      <c r="O560">
        <v>55</v>
      </c>
      <c r="P560">
        <v>61</v>
      </c>
    </row>
    <row r="561" spans="1:16" x14ac:dyDescent="0.25">
      <c r="A561">
        <v>560</v>
      </c>
      <c r="B561" s="4">
        <v>40568</v>
      </c>
      <c r="C561">
        <v>1</v>
      </c>
      <c r="D561">
        <v>0</v>
      </c>
      <c r="E561">
        <v>1</v>
      </c>
      <c r="F561">
        <v>12</v>
      </c>
      <c r="G561" t="b">
        <v>0</v>
      </c>
      <c r="H561">
        <v>2</v>
      </c>
      <c r="I561">
        <v>2</v>
      </c>
      <c r="J561">
        <v>0.26</v>
      </c>
      <c r="K561">
        <v>0.28789999999999999</v>
      </c>
      <c r="L561">
        <v>0.56000000000000005</v>
      </c>
      <c r="M561">
        <v>8.9599999999999999E-2</v>
      </c>
      <c r="N561">
        <v>21</v>
      </c>
      <c r="O561">
        <v>85</v>
      </c>
      <c r="P561">
        <v>106</v>
      </c>
    </row>
    <row r="562" spans="1:16" x14ac:dyDescent="0.25">
      <c r="A562">
        <v>561</v>
      </c>
      <c r="B562" s="4">
        <v>40568</v>
      </c>
      <c r="C562">
        <v>1</v>
      </c>
      <c r="D562">
        <v>0</v>
      </c>
      <c r="E562">
        <v>1</v>
      </c>
      <c r="F562">
        <v>13</v>
      </c>
      <c r="G562" t="b">
        <v>0</v>
      </c>
      <c r="H562">
        <v>2</v>
      </c>
      <c r="I562">
        <v>2</v>
      </c>
      <c r="J562">
        <v>0.26</v>
      </c>
      <c r="K562">
        <v>0.2727</v>
      </c>
      <c r="L562">
        <v>0.56000000000000005</v>
      </c>
      <c r="M562">
        <v>0.1343</v>
      </c>
      <c r="N562">
        <v>21</v>
      </c>
      <c r="O562">
        <v>72</v>
      </c>
      <c r="P562">
        <v>93</v>
      </c>
    </row>
    <row r="563" spans="1:16" x14ac:dyDescent="0.25">
      <c r="A563">
        <v>562</v>
      </c>
      <c r="B563" s="4">
        <v>40568</v>
      </c>
      <c r="C563">
        <v>1</v>
      </c>
      <c r="D563">
        <v>0</v>
      </c>
      <c r="E563">
        <v>1</v>
      </c>
      <c r="F563">
        <v>14</v>
      </c>
      <c r="G563" t="b">
        <v>0</v>
      </c>
      <c r="H563">
        <v>2</v>
      </c>
      <c r="I563">
        <v>2</v>
      </c>
      <c r="J563">
        <v>0.3</v>
      </c>
      <c r="K563">
        <v>0.33329999999999999</v>
      </c>
      <c r="L563">
        <v>0.45</v>
      </c>
      <c r="M563">
        <v>0</v>
      </c>
      <c r="N563">
        <v>11</v>
      </c>
      <c r="O563">
        <v>57</v>
      </c>
      <c r="P563">
        <v>68</v>
      </c>
    </row>
    <row r="564" spans="1:16" x14ac:dyDescent="0.25">
      <c r="A564">
        <v>563</v>
      </c>
      <c r="B564" s="4">
        <v>40568</v>
      </c>
      <c r="C564">
        <v>1</v>
      </c>
      <c r="D564">
        <v>0</v>
      </c>
      <c r="E564">
        <v>1</v>
      </c>
      <c r="F564">
        <v>15</v>
      </c>
      <c r="G564" t="b">
        <v>0</v>
      </c>
      <c r="H564">
        <v>2</v>
      </c>
      <c r="I564">
        <v>2</v>
      </c>
      <c r="J564">
        <v>0.32</v>
      </c>
      <c r="K564">
        <v>0.34849999999999998</v>
      </c>
      <c r="L564">
        <v>0.42</v>
      </c>
      <c r="M564">
        <v>0</v>
      </c>
      <c r="N564">
        <v>21</v>
      </c>
      <c r="O564">
        <v>63</v>
      </c>
      <c r="P564">
        <v>84</v>
      </c>
    </row>
    <row r="565" spans="1:16" x14ac:dyDescent="0.25">
      <c r="A565">
        <v>564</v>
      </c>
      <c r="B565" s="4">
        <v>40568</v>
      </c>
      <c r="C565">
        <v>1</v>
      </c>
      <c r="D565">
        <v>0</v>
      </c>
      <c r="E565">
        <v>1</v>
      </c>
      <c r="F565">
        <v>16</v>
      </c>
      <c r="G565" t="b">
        <v>0</v>
      </c>
      <c r="H565">
        <v>2</v>
      </c>
      <c r="I565">
        <v>2</v>
      </c>
      <c r="J565">
        <v>0.32</v>
      </c>
      <c r="K565">
        <v>0.34849999999999998</v>
      </c>
      <c r="L565">
        <v>0.42</v>
      </c>
      <c r="M565">
        <v>0</v>
      </c>
      <c r="N565">
        <v>14</v>
      </c>
      <c r="O565">
        <v>102</v>
      </c>
      <c r="P565">
        <v>116</v>
      </c>
    </row>
    <row r="566" spans="1:16" x14ac:dyDescent="0.25">
      <c r="A566">
        <v>565</v>
      </c>
      <c r="B566" s="4">
        <v>40568</v>
      </c>
      <c r="C566">
        <v>1</v>
      </c>
      <c r="D566">
        <v>0</v>
      </c>
      <c r="E566">
        <v>1</v>
      </c>
      <c r="F566">
        <v>17</v>
      </c>
      <c r="G566" t="b">
        <v>0</v>
      </c>
      <c r="H566">
        <v>2</v>
      </c>
      <c r="I566">
        <v>1</v>
      </c>
      <c r="J566">
        <v>0.3</v>
      </c>
      <c r="K566">
        <v>0.33329999999999999</v>
      </c>
      <c r="L566">
        <v>0.45</v>
      </c>
      <c r="M566">
        <v>0</v>
      </c>
      <c r="N566">
        <v>14</v>
      </c>
      <c r="O566">
        <v>208</v>
      </c>
      <c r="P566">
        <v>222</v>
      </c>
    </row>
    <row r="567" spans="1:16" x14ac:dyDescent="0.25">
      <c r="A567">
        <v>566</v>
      </c>
      <c r="B567" s="4">
        <v>40568</v>
      </c>
      <c r="C567">
        <v>1</v>
      </c>
      <c r="D567">
        <v>0</v>
      </c>
      <c r="E567">
        <v>1</v>
      </c>
      <c r="F567">
        <v>18</v>
      </c>
      <c r="G567" t="b">
        <v>0</v>
      </c>
      <c r="H567">
        <v>2</v>
      </c>
      <c r="I567">
        <v>2</v>
      </c>
      <c r="J567">
        <v>0.3</v>
      </c>
      <c r="K567">
        <v>0.31819999999999998</v>
      </c>
      <c r="L567">
        <v>0.49</v>
      </c>
      <c r="M567">
        <v>8.9599999999999999E-2</v>
      </c>
      <c r="N567">
        <v>7</v>
      </c>
      <c r="O567">
        <v>218</v>
      </c>
      <c r="P567">
        <v>225</v>
      </c>
    </row>
    <row r="568" spans="1:16" x14ac:dyDescent="0.25">
      <c r="A568">
        <v>567</v>
      </c>
      <c r="B568" s="4">
        <v>40568</v>
      </c>
      <c r="C568">
        <v>1</v>
      </c>
      <c r="D568">
        <v>0</v>
      </c>
      <c r="E568">
        <v>1</v>
      </c>
      <c r="F568">
        <v>19</v>
      </c>
      <c r="G568" t="b">
        <v>0</v>
      </c>
      <c r="H568">
        <v>2</v>
      </c>
      <c r="I568">
        <v>2</v>
      </c>
      <c r="J568">
        <v>0.26</v>
      </c>
      <c r="K568">
        <v>0.2576</v>
      </c>
      <c r="L568">
        <v>0.65</v>
      </c>
      <c r="M568">
        <v>0.16420000000000001</v>
      </c>
      <c r="N568">
        <v>13</v>
      </c>
      <c r="O568">
        <v>133</v>
      </c>
      <c r="P568">
        <v>146</v>
      </c>
    </row>
    <row r="569" spans="1:16" x14ac:dyDescent="0.25">
      <c r="A569">
        <v>568</v>
      </c>
      <c r="B569" s="4">
        <v>40568</v>
      </c>
      <c r="C569">
        <v>1</v>
      </c>
      <c r="D569">
        <v>0</v>
      </c>
      <c r="E569">
        <v>1</v>
      </c>
      <c r="F569">
        <v>20</v>
      </c>
      <c r="G569" t="b">
        <v>0</v>
      </c>
      <c r="H569">
        <v>2</v>
      </c>
      <c r="I569">
        <v>1</v>
      </c>
      <c r="J569">
        <v>0.24</v>
      </c>
      <c r="K569">
        <v>0.2273</v>
      </c>
      <c r="L569">
        <v>0.65</v>
      </c>
      <c r="M569">
        <v>0.19400000000000001</v>
      </c>
      <c r="N569">
        <v>16</v>
      </c>
      <c r="O569">
        <v>103</v>
      </c>
      <c r="P569">
        <v>119</v>
      </c>
    </row>
    <row r="570" spans="1:16" x14ac:dyDescent="0.25">
      <c r="A570">
        <v>569</v>
      </c>
      <c r="B570" s="4">
        <v>40568</v>
      </c>
      <c r="C570">
        <v>1</v>
      </c>
      <c r="D570">
        <v>0</v>
      </c>
      <c r="E570">
        <v>1</v>
      </c>
      <c r="F570">
        <v>21</v>
      </c>
      <c r="G570" t="b">
        <v>0</v>
      </c>
      <c r="H570">
        <v>2</v>
      </c>
      <c r="I570">
        <v>1</v>
      </c>
      <c r="J570">
        <v>0.24</v>
      </c>
      <c r="K570">
        <v>0.2273</v>
      </c>
      <c r="L570">
        <v>0.65</v>
      </c>
      <c r="M570">
        <v>0.19400000000000001</v>
      </c>
      <c r="N570">
        <v>5</v>
      </c>
      <c r="O570">
        <v>40</v>
      </c>
      <c r="P570">
        <v>45</v>
      </c>
    </row>
    <row r="571" spans="1:16" x14ac:dyDescent="0.25">
      <c r="A571">
        <v>570</v>
      </c>
      <c r="B571" s="4">
        <v>40568</v>
      </c>
      <c r="C571">
        <v>1</v>
      </c>
      <c r="D571">
        <v>0</v>
      </c>
      <c r="E571">
        <v>1</v>
      </c>
      <c r="F571">
        <v>22</v>
      </c>
      <c r="G571" t="b">
        <v>0</v>
      </c>
      <c r="H571">
        <v>2</v>
      </c>
      <c r="I571">
        <v>1</v>
      </c>
      <c r="J571">
        <v>0.22</v>
      </c>
      <c r="K571">
        <v>0.2273</v>
      </c>
      <c r="L571">
        <v>0.64</v>
      </c>
      <c r="M571">
        <v>0.16420000000000001</v>
      </c>
      <c r="N571">
        <v>4</v>
      </c>
      <c r="O571">
        <v>49</v>
      </c>
      <c r="P571">
        <v>53</v>
      </c>
    </row>
    <row r="572" spans="1:16" x14ac:dyDescent="0.25">
      <c r="A572">
        <v>571</v>
      </c>
      <c r="B572" s="4">
        <v>40568</v>
      </c>
      <c r="C572">
        <v>1</v>
      </c>
      <c r="D572">
        <v>0</v>
      </c>
      <c r="E572">
        <v>1</v>
      </c>
      <c r="F572">
        <v>23</v>
      </c>
      <c r="G572" t="b">
        <v>0</v>
      </c>
      <c r="H572">
        <v>2</v>
      </c>
      <c r="I572">
        <v>2</v>
      </c>
      <c r="J572">
        <v>0.22</v>
      </c>
      <c r="K572">
        <v>0.2273</v>
      </c>
      <c r="L572">
        <v>0.64</v>
      </c>
      <c r="M572">
        <v>0.16420000000000001</v>
      </c>
      <c r="N572">
        <v>3</v>
      </c>
      <c r="O572">
        <v>37</v>
      </c>
      <c r="P572">
        <v>40</v>
      </c>
    </row>
    <row r="573" spans="1:16" x14ac:dyDescent="0.25">
      <c r="A573">
        <v>572</v>
      </c>
      <c r="B573" s="4">
        <v>40569</v>
      </c>
      <c r="C573">
        <v>1</v>
      </c>
      <c r="D573">
        <v>0</v>
      </c>
      <c r="E573">
        <v>1</v>
      </c>
      <c r="F573">
        <v>0</v>
      </c>
      <c r="G573" t="b">
        <v>0</v>
      </c>
      <c r="H573">
        <v>3</v>
      </c>
      <c r="I573">
        <v>2</v>
      </c>
      <c r="J573">
        <v>0.22</v>
      </c>
      <c r="K573">
        <v>0.2273</v>
      </c>
      <c r="L573">
        <v>0.69</v>
      </c>
      <c r="M573">
        <v>0.1343</v>
      </c>
      <c r="N573">
        <v>3</v>
      </c>
      <c r="O573">
        <v>14</v>
      </c>
      <c r="P573">
        <v>17</v>
      </c>
    </row>
    <row r="574" spans="1:16" x14ac:dyDescent="0.25">
      <c r="A574">
        <v>573</v>
      </c>
      <c r="B574" s="4">
        <v>40569</v>
      </c>
      <c r="C574">
        <v>1</v>
      </c>
      <c r="D574">
        <v>0</v>
      </c>
      <c r="E574">
        <v>1</v>
      </c>
      <c r="F574">
        <v>1</v>
      </c>
      <c r="G574" t="b">
        <v>0</v>
      </c>
      <c r="H574">
        <v>3</v>
      </c>
      <c r="I574">
        <v>2</v>
      </c>
      <c r="J574">
        <v>0.24</v>
      </c>
      <c r="K574">
        <v>0.2424</v>
      </c>
      <c r="L574">
        <v>0.65</v>
      </c>
      <c r="M574">
        <v>0.1343</v>
      </c>
      <c r="N574">
        <v>0</v>
      </c>
      <c r="O574">
        <v>5</v>
      </c>
      <c r="P574">
        <v>5</v>
      </c>
    </row>
    <row r="575" spans="1:16" x14ac:dyDescent="0.25">
      <c r="A575">
        <v>574</v>
      </c>
      <c r="B575" s="4">
        <v>40569</v>
      </c>
      <c r="C575">
        <v>1</v>
      </c>
      <c r="D575">
        <v>0</v>
      </c>
      <c r="E575">
        <v>1</v>
      </c>
      <c r="F575">
        <v>2</v>
      </c>
      <c r="G575" t="b">
        <v>0</v>
      </c>
      <c r="H575">
        <v>3</v>
      </c>
      <c r="I575">
        <v>3</v>
      </c>
      <c r="J575">
        <v>0.22</v>
      </c>
      <c r="K575">
        <v>0.2273</v>
      </c>
      <c r="L575">
        <v>0.69</v>
      </c>
      <c r="M575">
        <v>0.19400000000000001</v>
      </c>
      <c r="N575">
        <v>3</v>
      </c>
      <c r="O575">
        <v>7</v>
      </c>
      <c r="P575">
        <v>10</v>
      </c>
    </row>
    <row r="576" spans="1:16" x14ac:dyDescent="0.25">
      <c r="A576">
        <v>575</v>
      </c>
      <c r="B576" s="4">
        <v>40569</v>
      </c>
      <c r="C576">
        <v>1</v>
      </c>
      <c r="D576">
        <v>0</v>
      </c>
      <c r="E576">
        <v>1</v>
      </c>
      <c r="F576">
        <v>5</v>
      </c>
      <c r="G576" t="b">
        <v>0</v>
      </c>
      <c r="H576">
        <v>3</v>
      </c>
      <c r="I576">
        <v>3</v>
      </c>
      <c r="J576">
        <v>0.2</v>
      </c>
      <c r="K576">
        <v>0.18179999999999999</v>
      </c>
      <c r="L576">
        <v>0.86</v>
      </c>
      <c r="M576">
        <v>0.28360000000000002</v>
      </c>
      <c r="N576">
        <v>0</v>
      </c>
      <c r="O576">
        <v>1</v>
      </c>
      <c r="P576">
        <v>1</v>
      </c>
    </row>
    <row r="577" spans="1:16" x14ac:dyDescent="0.25">
      <c r="A577">
        <v>576</v>
      </c>
      <c r="B577" s="4">
        <v>40569</v>
      </c>
      <c r="C577">
        <v>1</v>
      </c>
      <c r="D577">
        <v>0</v>
      </c>
      <c r="E577">
        <v>1</v>
      </c>
      <c r="F577">
        <v>6</v>
      </c>
      <c r="G577" t="b">
        <v>0</v>
      </c>
      <c r="H577">
        <v>3</v>
      </c>
      <c r="I577">
        <v>3</v>
      </c>
      <c r="J577">
        <v>0.2</v>
      </c>
      <c r="K577">
        <v>0.18179999999999999</v>
      </c>
      <c r="L577">
        <v>0.86</v>
      </c>
      <c r="M577">
        <v>0.28360000000000002</v>
      </c>
      <c r="N577">
        <v>0</v>
      </c>
      <c r="O577">
        <v>8</v>
      </c>
      <c r="P577">
        <v>8</v>
      </c>
    </row>
    <row r="578" spans="1:16" x14ac:dyDescent="0.25">
      <c r="A578">
        <v>577</v>
      </c>
      <c r="B578" s="4">
        <v>40569</v>
      </c>
      <c r="C578">
        <v>1</v>
      </c>
      <c r="D578">
        <v>0</v>
      </c>
      <c r="E578">
        <v>1</v>
      </c>
      <c r="F578">
        <v>7</v>
      </c>
      <c r="G578" t="b">
        <v>0</v>
      </c>
      <c r="H578">
        <v>3</v>
      </c>
      <c r="I578">
        <v>3</v>
      </c>
      <c r="J578">
        <v>0.22</v>
      </c>
      <c r="K578">
        <v>0.21210000000000001</v>
      </c>
      <c r="L578">
        <v>0.87</v>
      </c>
      <c r="M578">
        <v>0.29849999999999999</v>
      </c>
      <c r="N578">
        <v>1</v>
      </c>
      <c r="O578">
        <v>29</v>
      </c>
      <c r="P578">
        <v>30</v>
      </c>
    </row>
    <row r="579" spans="1:16" x14ac:dyDescent="0.25">
      <c r="A579">
        <v>578</v>
      </c>
      <c r="B579" s="4">
        <v>40569</v>
      </c>
      <c r="C579">
        <v>1</v>
      </c>
      <c r="D579">
        <v>0</v>
      </c>
      <c r="E579">
        <v>1</v>
      </c>
      <c r="F579">
        <v>8</v>
      </c>
      <c r="G579" t="b">
        <v>0</v>
      </c>
      <c r="H579">
        <v>3</v>
      </c>
      <c r="I579">
        <v>3</v>
      </c>
      <c r="J579">
        <v>0.22</v>
      </c>
      <c r="K579">
        <v>0.21210000000000001</v>
      </c>
      <c r="L579">
        <v>0.87</v>
      </c>
      <c r="M579">
        <v>0.29849999999999999</v>
      </c>
      <c r="N579">
        <v>3</v>
      </c>
      <c r="O579">
        <v>69</v>
      </c>
      <c r="P579">
        <v>72</v>
      </c>
    </row>
    <row r="580" spans="1:16" x14ac:dyDescent="0.25">
      <c r="A580">
        <v>579</v>
      </c>
      <c r="B580" s="4">
        <v>40569</v>
      </c>
      <c r="C580">
        <v>1</v>
      </c>
      <c r="D580">
        <v>0</v>
      </c>
      <c r="E580">
        <v>1</v>
      </c>
      <c r="F580">
        <v>9</v>
      </c>
      <c r="G580" t="b">
        <v>0</v>
      </c>
      <c r="H580">
        <v>3</v>
      </c>
      <c r="I580">
        <v>3</v>
      </c>
      <c r="J580">
        <v>0.22</v>
      </c>
      <c r="K580">
        <v>0.21210000000000001</v>
      </c>
      <c r="L580">
        <v>0.87</v>
      </c>
      <c r="M580">
        <v>0.29849999999999999</v>
      </c>
      <c r="N580">
        <v>3</v>
      </c>
      <c r="O580">
        <v>55</v>
      </c>
      <c r="P580">
        <v>58</v>
      </c>
    </row>
    <row r="581" spans="1:16" x14ac:dyDescent="0.25">
      <c r="A581">
        <v>580</v>
      </c>
      <c r="B581" s="4">
        <v>40569</v>
      </c>
      <c r="C581">
        <v>1</v>
      </c>
      <c r="D581">
        <v>0</v>
      </c>
      <c r="E581">
        <v>1</v>
      </c>
      <c r="F581">
        <v>10</v>
      </c>
      <c r="G581" t="b">
        <v>0</v>
      </c>
      <c r="H581">
        <v>3</v>
      </c>
      <c r="I581">
        <v>3</v>
      </c>
      <c r="J581">
        <v>0.22</v>
      </c>
      <c r="K581">
        <v>0.21210000000000001</v>
      </c>
      <c r="L581">
        <v>0.93</v>
      </c>
      <c r="M581">
        <v>0.28360000000000002</v>
      </c>
      <c r="N581">
        <v>2</v>
      </c>
      <c r="O581">
        <v>26</v>
      </c>
      <c r="P581">
        <v>28</v>
      </c>
    </row>
    <row r="582" spans="1:16" x14ac:dyDescent="0.25">
      <c r="A582">
        <v>581</v>
      </c>
      <c r="B582" s="4">
        <v>40569</v>
      </c>
      <c r="C582">
        <v>1</v>
      </c>
      <c r="D582">
        <v>0</v>
      </c>
      <c r="E582">
        <v>1</v>
      </c>
      <c r="F582">
        <v>11</v>
      </c>
      <c r="G582" t="b">
        <v>0</v>
      </c>
      <c r="H582">
        <v>3</v>
      </c>
      <c r="I582">
        <v>3</v>
      </c>
      <c r="J582">
        <v>0.22</v>
      </c>
      <c r="K582">
        <v>0.19700000000000001</v>
      </c>
      <c r="L582">
        <v>0.93</v>
      </c>
      <c r="M582">
        <v>0.32840000000000003</v>
      </c>
      <c r="N582">
        <v>6</v>
      </c>
      <c r="O582">
        <v>35</v>
      </c>
      <c r="P582">
        <v>41</v>
      </c>
    </row>
    <row r="583" spans="1:16" x14ac:dyDescent="0.25">
      <c r="A583">
        <v>582</v>
      </c>
      <c r="B583" s="4">
        <v>40569</v>
      </c>
      <c r="C583">
        <v>1</v>
      </c>
      <c r="D583">
        <v>0</v>
      </c>
      <c r="E583">
        <v>1</v>
      </c>
      <c r="F583">
        <v>12</v>
      </c>
      <c r="G583" t="b">
        <v>0</v>
      </c>
      <c r="H583">
        <v>3</v>
      </c>
      <c r="I583">
        <v>3</v>
      </c>
      <c r="J583">
        <v>0.22</v>
      </c>
      <c r="K583">
        <v>0.19700000000000001</v>
      </c>
      <c r="L583">
        <v>0.93</v>
      </c>
      <c r="M583">
        <v>0.32840000000000003</v>
      </c>
      <c r="N583">
        <v>7</v>
      </c>
      <c r="O583">
        <v>41</v>
      </c>
      <c r="P583">
        <v>48</v>
      </c>
    </row>
    <row r="584" spans="1:16" x14ac:dyDescent="0.25">
      <c r="A584">
        <v>583</v>
      </c>
      <c r="B584" s="4">
        <v>40569</v>
      </c>
      <c r="C584">
        <v>1</v>
      </c>
      <c r="D584">
        <v>0</v>
      </c>
      <c r="E584">
        <v>1</v>
      </c>
      <c r="F584">
        <v>13</v>
      </c>
      <c r="G584" t="b">
        <v>0</v>
      </c>
      <c r="H584">
        <v>3</v>
      </c>
      <c r="I584">
        <v>3</v>
      </c>
      <c r="J584">
        <v>0.22</v>
      </c>
      <c r="K584">
        <v>0.19700000000000001</v>
      </c>
      <c r="L584">
        <v>0.93</v>
      </c>
      <c r="M584">
        <v>0.32840000000000003</v>
      </c>
      <c r="N584">
        <v>4</v>
      </c>
      <c r="O584">
        <v>43</v>
      </c>
      <c r="P584">
        <v>47</v>
      </c>
    </row>
    <row r="585" spans="1:16" x14ac:dyDescent="0.25">
      <c r="A585">
        <v>584</v>
      </c>
      <c r="B585" s="4">
        <v>40569</v>
      </c>
      <c r="C585">
        <v>1</v>
      </c>
      <c r="D585">
        <v>0</v>
      </c>
      <c r="E585">
        <v>1</v>
      </c>
      <c r="F585">
        <v>14</v>
      </c>
      <c r="G585" t="b">
        <v>0</v>
      </c>
      <c r="H585">
        <v>3</v>
      </c>
      <c r="I585">
        <v>3</v>
      </c>
      <c r="J585">
        <v>0.22</v>
      </c>
      <c r="K585">
        <v>0.19700000000000001</v>
      </c>
      <c r="L585">
        <v>0.93</v>
      </c>
      <c r="M585">
        <v>0.35820000000000002</v>
      </c>
      <c r="N585">
        <v>0</v>
      </c>
      <c r="O585">
        <v>36</v>
      </c>
      <c r="P585">
        <v>36</v>
      </c>
    </row>
    <row r="586" spans="1:16" x14ac:dyDescent="0.25">
      <c r="A586">
        <v>585</v>
      </c>
      <c r="B586" s="4">
        <v>40569</v>
      </c>
      <c r="C586">
        <v>1</v>
      </c>
      <c r="D586">
        <v>0</v>
      </c>
      <c r="E586">
        <v>1</v>
      </c>
      <c r="F586">
        <v>15</v>
      </c>
      <c r="G586" t="b">
        <v>0</v>
      </c>
      <c r="H586">
        <v>3</v>
      </c>
      <c r="I586">
        <v>3</v>
      </c>
      <c r="J586">
        <v>0.22</v>
      </c>
      <c r="K586">
        <v>0.18179999999999999</v>
      </c>
      <c r="L586">
        <v>0.93</v>
      </c>
      <c r="M586">
        <v>0.4627</v>
      </c>
      <c r="N586">
        <v>1</v>
      </c>
      <c r="O586">
        <v>42</v>
      </c>
      <c r="P586">
        <v>43</v>
      </c>
    </row>
    <row r="587" spans="1:16" x14ac:dyDescent="0.25">
      <c r="A587">
        <v>586</v>
      </c>
      <c r="B587" s="4">
        <v>40569</v>
      </c>
      <c r="C587">
        <v>1</v>
      </c>
      <c r="D587">
        <v>0</v>
      </c>
      <c r="E587">
        <v>1</v>
      </c>
      <c r="F587">
        <v>16</v>
      </c>
      <c r="G587" t="b">
        <v>0</v>
      </c>
      <c r="H587">
        <v>3</v>
      </c>
      <c r="I587">
        <v>4</v>
      </c>
      <c r="J587">
        <v>0.22</v>
      </c>
      <c r="K587">
        <v>0.19700000000000001</v>
      </c>
      <c r="L587">
        <v>0.93</v>
      </c>
      <c r="M587">
        <v>0.32840000000000003</v>
      </c>
      <c r="N587">
        <v>1</v>
      </c>
      <c r="O587">
        <v>35</v>
      </c>
      <c r="P587">
        <v>36</v>
      </c>
    </row>
    <row r="588" spans="1:16" x14ac:dyDescent="0.25">
      <c r="A588">
        <v>587</v>
      </c>
      <c r="B588" s="4">
        <v>40569</v>
      </c>
      <c r="C588">
        <v>1</v>
      </c>
      <c r="D588">
        <v>0</v>
      </c>
      <c r="E588">
        <v>1</v>
      </c>
      <c r="F588">
        <v>17</v>
      </c>
      <c r="G588" t="b">
        <v>0</v>
      </c>
      <c r="H588">
        <v>3</v>
      </c>
      <c r="I588">
        <v>3</v>
      </c>
      <c r="J588">
        <v>0.2</v>
      </c>
      <c r="K588">
        <v>0.18179999999999999</v>
      </c>
      <c r="L588">
        <v>0.93</v>
      </c>
      <c r="M588">
        <v>0.35820000000000002</v>
      </c>
      <c r="N588">
        <v>0</v>
      </c>
      <c r="O588">
        <v>26</v>
      </c>
      <c r="P588">
        <v>26</v>
      </c>
    </row>
    <row r="589" spans="1:16" x14ac:dyDescent="0.25">
      <c r="A589">
        <v>588</v>
      </c>
      <c r="B589" s="4">
        <v>40570</v>
      </c>
      <c r="C589">
        <v>1</v>
      </c>
      <c r="D589">
        <v>0</v>
      </c>
      <c r="E589">
        <v>1</v>
      </c>
      <c r="F589">
        <v>16</v>
      </c>
      <c r="G589" t="b">
        <v>0</v>
      </c>
      <c r="H589">
        <v>4</v>
      </c>
      <c r="I589">
        <v>1</v>
      </c>
      <c r="J589">
        <v>0.22</v>
      </c>
      <c r="K589">
        <v>0.2273</v>
      </c>
      <c r="L589">
        <v>0.55000000000000004</v>
      </c>
      <c r="M589">
        <v>0.19400000000000001</v>
      </c>
      <c r="N589">
        <v>1</v>
      </c>
      <c r="O589">
        <v>23</v>
      </c>
      <c r="P589">
        <v>24</v>
      </c>
    </row>
    <row r="590" spans="1:16" x14ac:dyDescent="0.25">
      <c r="A590">
        <v>589</v>
      </c>
      <c r="B590" s="4">
        <v>40570</v>
      </c>
      <c r="C590">
        <v>1</v>
      </c>
      <c r="D590">
        <v>0</v>
      </c>
      <c r="E590">
        <v>1</v>
      </c>
      <c r="F590">
        <v>17</v>
      </c>
      <c r="G590" t="b">
        <v>0</v>
      </c>
      <c r="H590">
        <v>4</v>
      </c>
      <c r="I590">
        <v>1</v>
      </c>
      <c r="J590">
        <v>0.22</v>
      </c>
      <c r="K590">
        <v>0.2424</v>
      </c>
      <c r="L590">
        <v>0.55000000000000004</v>
      </c>
      <c r="M590">
        <v>0.1045</v>
      </c>
      <c r="N590">
        <v>2</v>
      </c>
      <c r="O590">
        <v>82</v>
      </c>
      <c r="P590">
        <v>84</v>
      </c>
    </row>
    <row r="591" spans="1:16" x14ac:dyDescent="0.25">
      <c r="A591">
        <v>590</v>
      </c>
      <c r="B591" s="4">
        <v>40570</v>
      </c>
      <c r="C591">
        <v>1</v>
      </c>
      <c r="D591">
        <v>0</v>
      </c>
      <c r="E591">
        <v>1</v>
      </c>
      <c r="F591">
        <v>18</v>
      </c>
      <c r="G591" t="b">
        <v>0</v>
      </c>
      <c r="H591">
        <v>4</v>
      </c>
      <c r="I591">
        <v>1</v>
      </c>
      <c r="J591">
        <v>0.2</v>
      </c>
      <c r="K591">
        <v>0.2273</v>
      </c>
      <c r="L591">
        <v>0.69</v>
      </c>
      <c r="M591">
        <v>8.9599999999999999E-2</v>
      </c>
      <c r="N591">
        <v>3</v>
      </c>
      <c r="O591">
        <v>101</v>
      </c>
      <c r="P591">
        <v>104</v>
      </c>
    </row>
    <row r="592" spans="1:16" x14ac:dyDescent="0.25">
      <c r="A592">
        <v>591</v>
      </c>
      <c r="B592" s="4">
        <v>40570</v>
      </c>
      <c r="C592">
        <v>1</v>
      </c>
      <c r="D592">
        <v>0</v>
      </c>
      <c r="E592">
        <v>1</v>
      </c>
      <c r="F592">
        <v>19</v>
      </c>
      <c r="G592" t="b">
        <v>0</v>
      </c>
      <c r="H592">
        <v>4</v>
      </c>
      <c r="I592">
        <v>1</v>
      </c>
      <c r="J592">
        <v>0.2</v>
      </c>
      <c r="K592">
        <v>0.2273</v>
      </c>
      <c r="L592">
        <v>0.69</v>
      </c>
      <c r="M592">
        <v>8.9599999999999999E-2</v>
      </c>
      <c r="N592">
        <v>3</v>
      </c>
      <c r="O592">
        <v>76</v>
      </c>
      <c r="P592">
        <v>79</v>
      </c>
    </row>
    <row r="593" spans="1:16" x14ac:dyDescent="0.25">
      <c r="A593">
        <v>592</v>
      </c>
      <c r="B593" s="4">
        <v>40570</v>
      </c>
      <c r="C593">
        <v>1</v>
      </c>
      <c r="D593">
        <v>0</v>
      </c>
      <c r="E593">
        <v>1</v>
      </c>
      <c r="F593">
        <v>20</v>
      </c>
      <c r="G593" t="b">
        <v>0</v>
      </c>
      <c r="H593">
        <v>4</v>
      </c>
      <c r="I593">
        <v>1</v>
      </c>
      <c r="J593">
        <v>0.18</v>
      </c>
      <c r="K593">
        <v>0.21210000000000001</v>
      </c>
      <c r="L593">
        <v>0.74</v>
      </c>
      <c r="M593">
        <v>8.9599999999999999E-2</v>
      </c>
      <c r="N593">
        <v>4</v>
      </c>
      <c r="O593">
        <v>55</v>
      </c>
      <c r="P593">
        <v>59</v>
      </c>
    </row>
    <row r="594" spans="1:16" x14ac:dyDescent="0.25">
      <c r="A594">
        <v>593</v>
      </c>
      <c r="B594" s="4">
        <v>40570</v>
      </c>
      <c r="C594">
        <v>1</v>
      </c>
      <c r="D594">
        <v>0</v>
      </c>
      <c r="E594">
        <v>1</v>
      </c>
      <c r="F594">
        <v>21</v>
      </c>
      <c r="G594" t="b">
        <v>0</v>
      </c>
      <c r="H594">
        <v>4</v>
      </c>
      <c r="I594">
        <v>1</v>
      </c>
      <c r="J594">
        <v>0.18</v>
      </c>
      <c r="K594">
        <v>0.21210000000000001</v>
      </c>
      <c r="L594">
        <v>0.74</v>
      </c>
      <c r="M594">
        <v>8.9599999999999999E-2</v>
      </c>
      <c r="N594">
        <v>2</v>
      </c>
      <c r="O594">
        <v>36</v>
      </c>
      <c r="P594">
        <v>38</v>
      </c>
    </row>
    <row r="595" spans="1:16" x14ac:dyDescent="0.25">
      <c r="A595">
        <v>594</v>
      </c>
      <c r="B595" s="4">
        <v>40570</v>
      </c>
      <c r="C595">
        <v>1</v>
      </c>
      <c r="D595">
        <v>0</v>
      </c>
      <c r="E595">
        <v>1</v>
      </c>
      <c r="F595">
        <v>22</v>
      </c>
      <c r="G595" t="b">
        <v>0</v>
      </c>
      <c r="H595">
        <v>4</v>
      </c>
      <c r="I595">
        <v>1</v>
      </c>
      <c r="J595">
        <v>0.18</v>
      </c>
      <c r="K595">
        <v>0.21210000000000001</v>
      </c>
      <c r="L595">
        <v>0.74</v>
      </c>
      <c r="M595">
        <v>8.9599999999999999E-2</v>
      </c>
      <c r="N595">
        <v>0</v>
      </c>
      <c r="O595">
        <v>27</v>
      </c>
      <c r="P595">
        <v>27</v>
      </c>
    </row>
    <row r="596" spans="1:16" x14ac:dyDescent="0.25">
      <c r="A596">
        <v>595</v>
      </c>
      <c r="B596" s="4">
        <v>40570</v>
      </c>
      <c r="C596">
        <v>1</v>
      </c>
      <c r="D596">
        <v>0</v>
      </c>
      <c r="E596">
        <v>1</v>
      </c>
      <c r="F596">
        <v>23</v>
      </c>
      <c r="G596" t="b">
        <v>0</v>
      </c>
      <c r="H596">
        <v>4</v>
      </c>
      <c r="I596">
        <v>1</v>
      </c>
      <c r="J596">
        <v>0.18</v>
      </c>
      <c r="K596">
        <v>0.19700000000000001</v>
      </c>
      <c r="L596">
        <v>0.8</v>
      </c>
      <c r="M596">
        <v>0.16420000000000001</v>
      </c>
      <c r="N596">
        <v>0</v>
      </c>
      <c r="O596">
        <v>16</v>
      </c>
      <c r="P596">
        <v>16</v>
      </c>
    </row>
    <row r="597" spans="1:16" x14ac:dyDescent="0.25">
      <c r="A597">
        <v>596</v>
      </c>
      <c r="B597" s="4">
        <v>40571</v>
      </c>
      <c r="C597">
        <v>1</v>
      </c>
      <c r="D597">
        <v>0</v>
      </c>
      <c r="E597">
        <v>1</v>
      </c>
      <c r="F597">
        <v>0</v>
      </c>
      <c r="G597" t="b">
        <v>0</v>
      </c>
      <c r="H597">
        <v>5</v>
      </c>
      <c r="I597">
        <v>2</v>
      </c>
      <c r="J597">
        <v>0.2</v>
      </c>
      <c r="K597">
        <v>0.21210000000000001</v>
      </c>
      <c r="L597">
        <v>0.75</v>
      </c>
      <c r="M597">
        <v>0.1343</v>
      </c>
      <c r="N597">
        <v>0</v>
      </c>
      <c r="O597">
        <v>9</v>
      </c>
      <c r="P597">
        <v>9</v>
      </c>
    </row>
    <row r="598" spans="1:16" x14ac:dyDescent="0.25">
      <c r="A598">
        <v>597</v>
      </c>
      <c r="B598" s="4">
        <v>40571</v>
      </c>
      <c r="C598">
        <v>1</v>
      </c>
      <c r="D598">
        <v>0</v>
      </c>
      <c r="E598">
        <v>1</v>
      </c>
      <c r="F598">
        <v>1</v>
      </c>
      <c r="G598" t="b">
        <v>0</v>
      </c>
      <c r="H598">
        <v>5</v>
      </c>
      <c r="I598">
        <v>2</v>
      </c>
      <c r="J598">
        <v>0.2</v>
      </c>
      <c r="K598">
        <v>0.21210000000000001</v>
      </c>
      <c r="L598">
        <v>0.75</v>
      </c>
      <c r="M598">
        <v>0.1343</v>
      </c>
      <c r="N598">
        <v>1</v>
      </c>
      <c r="O598">
        <v>2</v>
      </c>
      <c r="P598">
        <v>3</v>
      </c>
    </row>
    <row r="599" spans="1:16" x14ac:dyDescent="0.25">
      <c r="A599">
        <v>598</v>
      </c>
      <c r="B599" s="4">
        <v>40571</v>
      </c>
      <c r="C599">
        <v>1</v>
      </c>
      <c r="D599">
        <v>0</v>
      </c>
      <c r="E599">
        <v>1</v>
      </c>
      <c r="F599">
        <v>2</v>
      </c>
      <c r="G599" t="b">
        <v>0</v>
      </c>
      <c r="H599">
        <v>5</v>
      </c>
      <c r="I599">
        <v>2</v>
      </c>
      <c r="J599">
        <v>0.2</v>
      </c>
      <c r="K599">
        <v>0.21210000000000001</v>
      </c>
      <c r="L599">
        <v>0.75</v>
      </c>
      <c r="M599">
        <v>0.16420000000000001</v>
      </c>
      <c r="N599">
        <v>0</v>
      </c>
      <c r="O599">
        <v>2</v>
      </c>
      <c r="P599">
        <v>2</v>
      </c>
    </row>
    <row r="600" spans="1:16" x14ac:dyDescent="0.25">
      <c r="A600">
        <v>599</v>
      </c>
      <c r="B600" s="4">
        <v>40571</v>
      </c>
      <c r="C600">
        <v>1</v>
      </c>
      <c r="D600">
        <v>0</v>
      </c>
      <c r="E600">
        <v>1</v>
      </c>
      <c r="F600">
        <v>3</v>
      </c>
      <c r="G600" t="b">
        <v>0</v>
      </c>
      <c r="H600">
        <v>5</v>
      </c>
      <c r="I600">
        <v>2</v>
      </c>
      <c r="J600">
        <v>0.2</v>
      </c>
      <c r="K600">
        <v>0.2273</v>
      </c>
      <c r="L600">
        <v>0.75</v>
      </c>
      <c r="M600">
        <v>0.1045</v>
      </c>
      <c r="N600">
        <v>1</v>
      </c>
      <c r="O600">
        <v>0</v>
      </c>
      <c r="P600">
        <v>1</v>
      </c>
    </row>
    <row r="601" spans="1:16" x14ac:dyDescent="0.25">
      <c r="A601">
        <v>600</v>
      </c>
      <c r="B601" s="4">
        <v>40571</v>
      </c>
      <c r="C601">
        <v>1</v>
      </c>
      <c r="D601">
        <v>0</v>
      </c>
      <c r="E601">
        <v>1</v>
      </c>
      <c r="F601">
        <v>5</v>
      </c>
      <c r="G601" t="b">
        <v>0</v>
      </c>
      <c r="H601">
        <v>5</v>
      </c>
      <c r="I601">
        <v>2</v>
      </c>
      <c r="J601">
        <v>0.18</v>
      </c>
      <c r="K601">
        <v>0.21210000000000001</v>
      </c>
      <c r="L601">
        <v>0.8</v>
      </c>
      <c r="M601">
        <v>0.1045</v>
      </c>
      <c r="N601">
        <v>0</v>
      </c>
      <c r="O601">
        <v>4</v>
      </c>
      <c r="P601">
        <v>4</v>
      </c>
    </row>
    <row r="602" spans="1:16" x14ac:dyDescent="0.25">
      <c r="A602">
        <v>601</v>
      </c>
      <c r="B602" s="4">
        <v>40571</v>
      </c>
      <c r="C602">
        <v>1</v>
      </c>
      <c r="D602">
        <v>0</v>
      </c>
      <c r="E602">
        <v>1</v>
      </c>
      <c r="F602">
        <v>6</v>
      </c>
      <c r="G602" t="b">
        <v>0</v>
      </c>
      <c r="H602">
        <v>5</v>
      </c>
      <c r="I602">
        <v>2</v>
      </c>
      <c r="J602">
        <v>0.18</v>
      </c>
      <c r="K602">
        <v>0.19700000000000001</v>
      </c>
      <c r="L602">
        <v>0.8</v>
      </c>
      <c r="M602">
        <v>0.1343</v>
      </c>
      <c r="N602">
        <v>0</v>
      </c>
      <c r="O602">
        <v>16</v>
      </c>
      <c r="P602">
        <v>16</v>
      </c>
    </row>
    <row r="603" spans="1:16" x14ac:dyDescent="0.25">
      <c r="A603">
        <v>602</v>
      </c>
      <c r="B603" s="4">
        <v>40571</v>
      </c>
      <c r="C603">
        <v>1</v>
      </c>
      <c r="D603">
        <v>0</v>
      </c>
      <c r="E603">
        <v>1</v>
      </c>
      <c r="F603">
        <v>7</v>
      </c>
      <c r="G603" t="b">
        <v>0</v>
      </c>
      <c r="H603">
        <v>5</v>
      </c>
      <c r="I603">
        <v>2</v>
      </c>
      <c r="J603">
        <v>0.16</v>
      </c>
      <c r="K603">
        <v>0.19700000000000001</v>
      </c>
      <c r="L603">
        <v>0.86</v>
      </c>
      <c r="M603">
        <v>8.9599999999999999E-2</v>
      </c>
      <c r="N603">
        <v>2</v>
      </c>
      <c r="O603">
        <v>58</v>
      </c>
      <c r="P603">
        <v>60</v>
      </c>
    </row>
    <row r="604" spans="1:16" x14ac:dyDescent="0.25">
      <c r="A604">
        <v>603</v>
      </c>
      <c r="B604" s="4">
        <v>40571</v>
      </c>
      <c r="C604">
        <v>1</v>
      </c>
      <c r="D604">
        <v>0</v>
      </c>
      <c r="E604">
        <v>1</v>
      </c>
      <c r="F604">
        <v>8</v>
      </c>
      <c r="G604" t="b">
        <v>0</v>
      </c>
      <c r="H604">
        <v>5</v>
      </c>
      <c r="I604">
        <v>2</v>
      </c>
      <c r="J604">
        <v>0.16</v>
      </c>
      <c r="K604">
        <v>0.19700000000000001</v>
      </c>
      <c r="L604">
        <v>0.86</v>
      </c>
      <c r="M604">
        <v>8.9599999999999999E-2</v>
      </c>
      <c r="N604">
        <v>2</v>
      </c>
      <c r="O604">
        <v>155</v>
      </c>
      <c r="P604">
        <v>157</v>
      </c>
    </row>
    <row r="605" spans="1:16" x14ac:dyDescent="0.25">
      <c r="A605">
        <v>604</v>
      </c>
      <c r="B605" s="4">
        <v>40571</v>
      </c>
      <c r="C605">
        <v>1</v>
      </c>
      <c r="D605">
        <v>0</v>
      </c>
      <c r="E605">
        <v>1</v>
      </c>
      <c r="F605">
        <v>9</v>
      </c>
      <c r="G605" t="b">
        <v>0</v>
      </c>
      <c r="H605">
        <v>5</v>
      </c>
      <c r="I605">
        <v>3</v>
      </c>
      <c r="J605">
        <v>0.18</v>
      </c>
      <c r="K605">
        <v>0.21210000000000001</v>
      </c>
      <c r="L605">
        <v>0.86</v>
      </c>
      <c r="M605">
        <v>8.9599999999999999E-2</v>
      </c>
      <c r="N605">
        <v>6</v>
      </c>
      <c r="O605">
        <v>95</v>
      </c>
      <c r="P605">
        <v>101</v>
      </c>
    </row>
    <row r="606" spans="1:16" x14ac:dyDescent="0.25">
      <c r="A606">
        <v>605</v>
      </c>
      <c r="B606" s="4">
        <v>40571</v>
      </c>
      <c r="C606">
        <v>1</v>
      </c>
      <c r="D606">
        <v>0</v>
      </c>
      <c r="E606">
        <v>1</v>
      </c>
      <c r="F606">
        <v>10</v>
      </c>
      <c r="G606" t="b">
        <v>0</v>
      </c>
      <c r="H606">
        <v>5</v>
      </c>
      <c r="I606">
        <v>3</v>
      </c>
      <c r="J606">
        <v>0.18</v>
      </c>
      <c r="K606">
        <v>0.21210000000000001</v>
      </c>
      <c r="L606">
        <v>0.86</v>
      </c>
      <c r="M606">
        <v>0.1045</v>
      </c>
      <c r="N606">
        <v>0</v>
      </c>
      <c r="O606">
        <v>49</v>
      </c>
      <c r="P606">
        <v>49</v>
      </c>
    </row>
    <row r="607" spans="1:16" x14ac:dyDescent="0.25">
      <c r="A607">
        <v>606</v>
      </c>
      <c r="B607" s="4">
        <v>40571</v>
      </c>
      <c r="C607">
        <v>1</v>
      </c>
      <c r="D607">
        <v>0</v>
      </c>
      <c r="E607">
        <v>1</v>
      </c>
      <c r="F607">
        <v>11</v>
      </c>
      <c r="G607" t="b">
        <v>0</v>
      </c>
      <c r="H607">
        <v>5</v>
      </c>
      <c r="I607">
        <v>3</v>
      </c>
      <c r="J607">
        <v>0.18</v>
      </c>
      <c r="K607">
        <v>0.21210000000000001</v>
      </c>
      <c r="L607">
        <v>0.93</v>
      </c>
      <c r="M607">
        <v>0.1045</v>
      </c>
      <c r="N607">
        <v>0</v>
      </c>
      <c r="O607">
        <v>30</v>
      </c>
      <c r="P607">
        <v>30</v>
      </c>
    </row>
    <row r="608" spans="1:16" x14ac:dyDescent="0.25">
      <c r="A608">
        <v>607</v>
      </c>
      <c r="B608" s="4">
        <v>40571</v>
      </c>
      <c r="C608">
        <v>1</v>
      </c>
      <c r="D608">
        <v>0</v>
      </c>
      <c r="E608">
        <v>1</v>
      </c>
      <c r="F608">
        <v>12</v>
      </c>
      <c r="G608" t="b">
        <v>0</v>
      </c>
      <c r="H608">
        <v>5</v>
      </c>
      <c r="I608">
        <v>3</v>
      </c>
      <c r="J608">
        <v>0.18</v>
      </c>
      <c r="K608">
        <v>0.21210000000000001</v>
      </c>
      <c r="L608">
        <v>0.93</v>
      </c>
      <c r="M608">
        <v>0.1045</v>
      </c>
      <c r="N608">
        <v>1</v>
      </c>
      <c r="O608">
        <v>28</v>
      </c>
      <c r="P608">
        <v>29</v>
      </c>
    </row>
    <row r="609" spans="1:16" x14ac:dyDescent="0.25">
      <c r="A609">
        <v>608</v>
      </c>
      <c r="B609" s="4">
        <v>40571</v>
      </c>
      <c r="C609">
        <v>1</v>
      </c>
      <c r="D609">
        <v>0</v>
      </c>
      <c r="E609">
        <v>1</v>
      </c>
      <c r="F609">
        <v>13</v>
      </c>
      <c r="G609" t="b">
        <v>0</v>
      </c>
      <c r="H609">
        <v>5</v>
      </c>
      <c r="I609">
        <v>3</v>
      </c>
      <c r="J609">
        <v>0.18</v>
      </c>
      <c r="K609">
        <v>0.21210000000000001</v>
      </c>
      <c r="L609">
        <v>0.93</v>
      </c>
      <c r="M609">
        <v>0.1045</v>
      </c>
      <c r="N609">
        <v>0</v>
      </c>
      <c r="O609">
        <v>31</v>
      </c>
      <c r="P609">
        <v>31</v>
      </c>
    </row>
    <row r="610" spans="1:16" x14ac:dyDescent="0.25">
      <c r="A610">
        <v>609</v>
      </c>
      <c r="B610" s="4">
        <v>40571</v>
      </c>
      <c r="C610">
        <v>1</v>
      </c>
      <c r="D610">
        <v>0</v>
      </c>
      <c r="E610">
        <v>1</v>
      </c>
      <c r="F610">
        <v>14</v>
      </c>
      <c r="G610" t="b">
        <v>0</v>
      </c>
      <c r="H610">
        <v>5</v>
      </c>
      <c r="I610">
        <v>3</v>
      </c>
      <c r="J610">
        <v>0.22</v>
      </c>
      <c r="K610">
        <v>0.2727</v>
      </c>
      <c r="L610">
        <v>0.8</v>
      </c>
      <c r="M610">
        <v>0</v>
      </c>
      <c r="N610">
        <v>2</v>
      </c>
      <c r="O610">
        <v>36</v>
      </c>
      <c r="P610">
        <v>38</v>
      </c>
    </row>
    <row r="611" spans="1:16" x14ac:dyDescent="0.25">
      <c r="A611">
        <v>610</v>
      </c>
      <c r="B611" s="4">
        <v>40571</v>
      </c>
      <c r="C611">
        <v>1</v>
      </c>
      <c r="D611">
        <v>0</v>
      </c>
      <c r="E611">
        <v>1</v>
      </c>
      <c r="F611">
        <v>15</v>
      </c>
      <c r="G611" t="b">
        <v>0</v>
      </c>
      <c r="H611">
        <v>5</v>
      </c>
      <c r="I611">
        <v>2</v>
      </c>
      <c r="J611">
        <v>0.2</v>
      </c>
      <c r="K611">
        <v>0.2576</v>
      </c>
      <c r="L611">
        <v>0.86</v>
      </c>
      <c r="M611">
        <v>0</v>
      </c>
      <c r="N611">
        <v>1</v>
      </c>
      <c r="O611">
        <v>40</v>
      </c>
      <c r="P611">
        <v>41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E63B6-5EE5-4B0B-94AD-667955178D6C}">
  <sheetPr>
    <tabColor rgb="FFFF0000"/>
  </sheetPr>
  <dimension ref="A1:P391"/>
  <sheetViews>
    <sheetView topLeftCell="A67" workbookViewId="0">
      <selection activeCell="Q10" sqref="Q10"/>
    </sheetView>
  </sheetViews>
  <sheetFormatPr defaultRowHeight="12.5" x14ac:dyDescent="0.25"/>
  <cols>
    <col min="2" max="2" width="11.26953125" customWidth="1"/>
    <col min="3" max="3" width="9" customWidth="1"/>
    <col min="7" max="7" width="9" customWidth="1"/>
    <col min="8" max="8" width="10.26953125" customWidth="1"/>
    <col min="9" max="9" width="11.7265625" customWidth="1"/>
    <col min="13" max="13" width="12" customWidth="1"/>
    <col min="15" max="15" width="11.54296875" customWidth="1"/>
  </cols>
  <sheetData>
    <row r="1" spans="1:16"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row>
    <row r="2" spans="1:16" x14ac:dyDescent="0.25">
      <c r="A2" s="1">
        <v>620</v>
      </c>
      <c r="B2" s="2">
        <v>40572</v>
      </c>
      <c r="C2" s="1">
        <v>1</v>
      </c>
      <c r="D2" s="1">
        <v>0</v>
      </c>
      <c r="E2" s="1">
        <v>1</v>
      </c>
      <c r="F2" s="1">
        <v>1</v>
      </c>
      <c r="G2" s="1" t="b">
        <v>0</v>
      </c>
      <c r="H2" s="1">
        <v>6</v>
      </c>
      <c r="I2" s="1">
        <v>1</v>
      </c>
      <c r="J2" s="1">
        <v>0.22</v>
      </c>
      <c r="K2" s="1">
        <v>0.2273</v>
      </c>
      <c r="L2" s="1">
        <v>0.64</v>
      </c>
      <c r="M2" s="1">
        <v>0.19400000000000001</v>
      </c>
      <c r="N2" s="1">
        <v>0</v>
      </c>
      <c r="O2" s="1">
        <v>20</v>
      </c>
      <c r="P2" s="1">
        <v>20</v>
      </c>
    </row>
    <row r="3" spans="1:16" x14ac:dyDescent="0.25">
      <c r="A3" s="1">
        <v>621</v>
      </c>
      <c r="B3" s="2">
        <v>40572</v>
      </c>
      <c r="C3" s="1">
        <v>1</v>
      </c>
      <c r="D3" s="1">
        <v>0</v>
      </c>
      <c r="E3" s="1">
        <v>1</v>
      </c>
      <c r="F3" s="1">
        <v>2</v>
      </c>
      <c r="G3" s="1" t="b">
        <v>0</v>
      </c>
      <c r="H3" s="1">
        <v>6</v>
      </c>
      <c r="I3" s="1">
        <v>1</v>
      </c>
      <c r="J3" s="1">
        <v>0.22</v>
      </c>
      <c r="K3" s="1">
        <v>0.2273</v>
      </c>
      <c r="L3" s="1">
        <v>0.64</v>
      </c>
      <c r="M3" s="1">
        <v>0.16420000000000001</v>
      </c>
      <c r="N3" s="1">
        <v>0</v>
      </c>
      <c r="O3" s="1">
        <v>15</v>
      </c>
      <c r="P3" s="1">
        <v>15</v>
      </c>
    </row>
    <row r="4" spans="1:16" x14ac:dyDescent="0.25">
      <c r="A4" s="1">
        <v>622</v>
      </c>
      <c r="B4" s="2">
        <v>40572</v>
      </c>
      <c r="C4" s="1">
        <v>1</v>
      </c>
      <c r="D4" s="1">
        <v>0</v>
      </c>
      <c r="E4" s="1">
        <v>1</v>
      </c>
      <c r="F4" s="1">
        <v>3</v>
      </c>
      <c r="G4" s="1" t="b">
        <v>0</v>
      </c>
      <c r="H4" s="1">
        <v>6</v>
      </c>
      <c r="I4" s="1">
        <v>1</v>
      </c>
      <c r="J4" s="1">
        <v>0.2</v>
      </c>
      <c r="K4" s="1">
        <v>0.21210000000000001</v>
      </c>
      <c r="L4" s="1">
        <v>0.64</v>
      </c>
      <c r="M4" s="1">
        <v>0.1343</v>
      </c>
      <c r="N4" s="1">
        <v>3</v>
      </c>
      <c r="O4" s="1">
        <v>5</v>
      </c>
      <c r="P4" s="1">
        <v>8</v>
      </c>
    </row>
    <row r="5" spans="1:16" x14ac:dyDescent="0.25">
      <c r="A5" s="1">
        <v>623</v>
      </c>
      <c r="B5" s="2">
        <v>40572</v>
      </c>
      <c r="C5" s="1">
        <v>1</v>
      </c>
      <c r="D5" s="1">
        <v>0</v>
      </c>
      <c r="E5" s="1">
        <v>1</v>
      </c>
      <c r="F5" s="1">
        <v>4</v>
      </c>
      <c r="G5" s="1" t="b">
        <v>0</v>
      </c>
      <c r="H5" s="1">
        <v>6</v>
      </c>
      <c r="I5" s="1">
        <v>1</v>
      </c>
      <c r="J5" s="1">
        <v>0.16</v>
      </c>
      <c r="K5" s="1">
        <v>0.18179999999999999</v>
      </c>
      <c r="L5" s="1">
        <v>0.69</v>
      </c>
      <c r="M5" s="1">
        <v>0.1045</v>
      </c>
      <c r="N5" s="1">
        <v>1</v>
      </c>
      <c r="O5" s="1">
        <v>2</v>
      </c>
      <c r="P5" s="1">
        <v>3</v>
      </c>
    </row>
    <row r="6" spans="1:16" x14ac:dyDescent="0.25">
      <c r="A6" s="1">
        <v>624</v>
      </c>
      <c r="B6" s="2">
        <v>40572</v>
      </c>
      <c r="C6" s="1">
        <v>1</v>
      </c>
      <c r="D6" s="1">
        <v>0</v>
      </c>
      <c r="E6" s="1">
        <v>1</v>
      </c>
      <c r="F6" s="1">
        <v>6</v>
      </c>
      <c r="G6" s="1" t="b">
        <v>0</v>
      </c>
      <c r="H6" s="1">
        <v>6</v>
      </c>
      <c r="I6" s="1">
        <v>1</v>
      </c>
      <c r="J6" s="1">
        <v>0.16</v>
      </c>
      <c r="K6" s="1">
        <v>0.18179999999999999</v>
      </c>
      <c r="L6" s="1">
        <v>0.64</v>
      </c>
      <c r="M6" s="1">
        <v>0.1343</v>
      </c>
      <c r="N6" s="1">
        <v>0</v>
      </c>
      <c r="O6" s="1">
        <v>2</v>
      </c>
      <c r="P6" s="1">
        <v>2</v>
      </c>
    </row>
    <row r="7" spans="1:16" x14ac:dyDescent="0.25">
      <c r="A7" s="1">
        <v>625</v>
      </c>
      <c r="B7" s="2">
        <v>40572</v>
      </c>
      <c r="C7" s="1">
        <v>1</v>
      </c>
      <c r="D7" s="1">
        <v>0</v>
      </c>
      <c r="E7" s="1">
        <v>1</v>
      </c>
      <c r="F7" s="1">
        <v>7</v>
      </c>
      <c r="G7" s="1" t="b">
        <v>0</v>
      </c>
      <c r="H7" s="1">
        <v>6</v>
      </c>
      <c r="I7" s="1">
        <v>1</v>
      </c>
      <c r="J7" s="1">
        <v>0.16</v>
      </c>
      <c r="K7" s="1">
        <v>0.18179999999999999</v>
      </c>
      <c r="L7" s="1">
        <v>0.59</v>
      </c>
      <c r="M7" s="1">
        <v>0.1045</v>
      </c>
      <c r="N7" s="1">
        <v>1</v>
      </c>
      <c r="O7" s="1">
        <v>4</v>
      </c>
      <c r="P7" s="1">
        <v>5</v>
      </c>
    </row>
    <row r="8" spans="1:16" x14ac:dyDescent="0.25">
      <c r="A8" s="1">
        <v>626</v>
      </c>
      <c r="B8" s="2">
        <v>40572</v>
      </c>
      <c r="C8" s="1">
        <v>1</v>
      </c>
      <c r="D8" s="1">
        <v>0</v>
      </c>
      <c r="E8" s="1">
        <v>1</v>
      </c>
      <c r="F8" s="1">
        <v>8</v>
      </c>
      <c r="G8" s="1" t="b">
        <v>0</v>
      </c>
      <c r="H8" s="1">
        <v>6</v>
      </c>
      <c r="I8" s="1">
        <v>1</v>
      </c>
      <c r="J8" s="1">
        <v>0.18</v>
      </c>
      <c r="K8" s="1">
        <v>0.19700000000000001</v>
      </c>
      <c r="L8" s="1">
        <v>0.55000000000000004</v>
      </c>
      <c r="M8" s="1">
        <v>0.16420000000000001</v>
      </c>
      <c r="N8" s="1">
        <v>3</v>
      </c>
      <c r="O8" s="1">
        <v>31</v>
      </c>
      <c r="P8" s="1">
        <v>34</v>
      </c>
    </row>
    <row r="9" spans="1:16" x14ac:dyDescent="0.25">
      <c r="A9" s="1">
        <v>627</v>
      </c>
      <c r="B9" s="2">
        <v>40572</v>
      </c>
      <c r="C9" s="1">
        <v>1</v>
      </c>
      <c r="D9" s="1">
        <v>0</v>
      </c>
      <c r="E9" s="1">
        <v>1</v>
      </c>
      <c r="F9" s="1">
        <v>9</v>
      </c>
      <c r="G9" s="1" t="b">
        <v>0</v>
      </c>
      <c r="H9" s="1">
        <v>6</v>
      </c>
      <c r="I9" s="1">
        <v>1</v>
      </c>
      <c r="J9" s="1">
        <v>0.18</v>
      </c>
      <c r="K9" s="1">
        <v>0.21210000000000001</v>
      </c>
      <c r="L9" s="1">
        <v>0.59</v>
      </c>
      <c r="M9" s="1">
        <v>8.9599999999999999E-2</v>
      </c>
      <c r="N9" s="1">
        <v>0</v>
      </c>
      <c r="O9" s="1">
        <v>34</v>
      </c>
      <c r="P9" s="1">
        <v>34</v>
      </c>
    </row>
    <row r="10" spans="1:16" x14ac:dyDescent="0.25">
      <c r="A10" s="1">
        <v>628</v>
      </c>
      <c r="B10" s="2">
        <v>40572</v>
      </c>
      <c r="C10" s="1">
        <v>1</v>
      </c>
      <c r="D10" s="1">
        <v>0</v>
      </c>
      <c r="E10" s="1">
        <v>1</v>
      </c>
      <c r="F10" s="1">
        <v>10</v>
      </c>
      <c r="G10" s="1" t="b">
        <v>0</v>
      </c>
      <c r="H10" s="1">
        <v>6</v>
      </c>
      <c r="I10" s="1">
        <v>2</v>
      </c>
      <c r="J10" s="1">
        <v>0.18</v>
      </c>
      <c r="K10" s="1">
        <v>0.21210000000000001</v>
      </c>
      <c r="L10" s="1">
        <v>0.64</v>
      </c>
      <c r="M10" s="1">
        <v>0.1045</v>
      </c>
      <c r="N10" s="1">
        <v>4</v>
      </c>
      <c r="O10" s="1">
        <v>51</v>
      </c>
      <c r="P10" s="1">
        <v>55</v>
      </c>
    </row>
    <row r="11" spans="1:16" x14ac:dyDescent="0.25">
      <c r="A11" s="1">
        <v>629</v>
      </c>
      <c r="B11" s="2">
        <v>40572</v>
      </c>
      <c r="C11" s="1">
        <v>1</v>
      </c>
      <c r="D11" s="1">
        <v>0</v>
      </c>
      <c r="E11" s="1">
        <v>1</v>
      </c>
      <c r="F11" s="1">
        <v>11</v>
      </c>
      <c r="G11" s="1" t="b">
        <v>0</v>
      </c>
      <c r="H11" s="1">
        <v>6</v>
      </c>
      <c r="I11" s="1">
        <v>2</v>
      </c>
      <c r="J11" s="1">
        <v>0.18</v>
      </c>
      <c r="K11" s="1">
        <v>0.19700000000000001</v>
      </c>
      <c r="L11" s="1">
        <v>0.64</v>
      </c>
      <c r="M11" s="1">
        <v>0.1343</v>
      </c>
      <c r="N11" s="1">
        <v>4</v>
      </c>
      <c r="O11" s="1">
        <v>60</v>
      </c>
      <c r="P11" s="1">
        <v>64</v>
      </c>
    </row>
    <row r="12" spans="1:16" x14ac:dyDescent="0.25">
      <c r="A12" s="1">
        <v>630</v>
      </c>
      <c r="B12" s="2">
        <v>40572</v>
      </c>
      <c r="C12" s="1">
        <v>1</v>
      </c>
      <c r="D12" s="1">
        <v>0</v>
      </c>
      <c r="E12" s="1">
        <v>1</v>
      </c>
      <c r="F12" s="1">
        <v>12</v>
      </c>
      <c r="G12" s="1" t="b">
        <v>0</v>
      </c>
      <c r="H12" s="1">
        <v>6</v>
      </c>
      <c r="I12" s="1">
        <v>2</v>
      </c>
      <c r="J12" s="1">
        <v>0.2</v>
      </c>
      <c r="K12" s="1">
        <v>0.19700000000000001</v>
      </c>
      <c r="L12" s="1">
        <v>0.59</v>
      </c>
      <c r="M12" s="1">
        <v>0.19400000000000001</v>
      </c>
      <c r="N12" s="1">
        <v>12</v>
      </c>
      <c r="O12" s="1">
        <v>66</v>
      </c>
      <c r="P12" s="1">
        <v>78</v>
      </c>
    </row>
    <row r="13" spans="1:16" x14ac:dyDescent="0.25">
      <c r="A13" s="1">
        <v>631</v>
      </c>
      <c r="B13" s="2">
        <v>40572</v>
      </c>
      <c r="C13" s="1">
        <v>1</v>
      </c>
      <c r="D13" s="1">
        <v>0</v>
      </c>
      <c r="E13" s="1">
        <v>1</v>
      </c>
      <c r="F13" s="1">
        <v>13</v>
      </c>
      <c r="G13" s="1" t="b">
        <v>0</v>
      </c>
      <c r="H13" s="1">
        <v>6</v>
      </c>
      <c r="I13" s="1">
        <v>2</v>
      </c>
      <c r="J13" s="1">
        <v>0.22</v>
      </c>
      <c r="K13" s="1">
        <v>0.2273</v>
      </c>
      <c r="L13" s="1">
        <v>0.55000000000000004</v>
      </c>
      <c r="M13" s="1">
        <v>0.16420000000000001</v>
      </c>
      <c r="N13" s="1">
        <v>9</v>
      </c>
      <c r="O13" s="1">
        <v>56</v>
      </c>
      <c r="P13" s="1">
        <v>65</v>
      </c>
    </row>
    <row r="14" spans="1:16" x14ac:dyDescent="0.25">
      <c r="A14" s="1">
        <v>632</v>
      </c>
      <c r="B14" s="2">
        <v>40572</v>
      </c>
      <c r="C14" s="1">
        <v>1</v>
      </c>
      <c r="D14" s="1">
        <v>0</v>
      </c>
      <c r="E14" s="1">
        <v>1</v>
      </c>
      <c r="F14" s="1">
        <v>14</v>
      </c>
      <c r="G14" s="1" t="b">
        <v>0</v>
      </c>
      <c r="H14" s="1">
        <v>6</v>
      </c>
      <c r="I14" s="1">
        <v>2</v>
      </c>
      <c r="J14" s="1">
        <v>0.22</v>
      </c>
      <c r="K14" s="1">
        <v>0.2273</v>
      </c>
      <c r="L14" s="1">
        <v>0.6</v>
      </c>
      <c r="M14" s="1">
        <v>0.1343</v>
      </c>
      <c r="N14" s="1">
        <v>10</v>
      </c>
      <c r="O14" s="1">
        <v>89</v>
      </c>
      <c r="P14" s="1">
        <v>99</v>
      </c>
    </row>
    <row r="15" spans="1:16" x14ac:dyDescent="0.25">
      <c r="A15" s="1">
        <v>633</v>
      </c>
      <c r="B15" s="2">
        <v>40572</v>
      </c>
      <c r="C15" s="1">
        <v>1</v>
      </c>
      <c r="D15" s="1">
        <v>0</v>
      </c>
      <c r="E15" s="1">
        <v>1</v>
      </c>
      <c r="F15" s="1">
        <v>15</v>
      </c>
      <c r="G15" s="1" t="b">
        <v>0</v>
      </c>
      <c r="H15" s="1">
        <v>6</v>
      </c>
      <c r="I15" s="1">
        <v>1</v>
      </c>
      <c r="J15" s="1">
        <v>0.22</v>
      </c>
      <c r="K15" s="1">
        <v>0.21210000000000001</v>
      </c>
      <c r="L15" s="1">
        <v>0.69</v>
      </c>
      <c r="M15" s="1">
        <v>0.25369999999999998</v>
      </c>
      <c r="N15" s="1">
        <v>22</v>
      </c>
      <c r="O15" s="1">
        <v>98</v>
      </c>
      <c r="P15" s="1">
        <v>120</v>
      </c>
    </row>
    <row r="16" spans="1:16" x14ac:dyDescent="0.25">
      <c r="A16" s="1">
        <v>634</v>
      </c>
      <c r="B16" s="2">
        <v>40572</v>
      </c>
      <c r="C16" s="1">
        <v>1</v>
      </c>
      <c r="D16" s="1">
        <v>0</v>
      </c>
      <c r="E16" s="1">
        <v>1</v>
      </c>
      <c r="F16" s="1">
        <v>16</v>
      </c>
      <c r="G16" s="1" t="b">
        <v>0</v>
      </c>
      <c r="H16" s="1">
        <v>6</v>
      </c>
      <c r="I16" s="1">
        <v>1</v>
      </c>
      <c r="J16" s="1">
        <v>0.24</v>
      </c>
      <c r="K16" s="1">
        <v>0.2424</v>
      </c>
      <c r="L16" s="1">
        <v>0.6</v>
      </c>
      <c r="M16" s="1">
        <v>0.16420000000000001</v>
      </c>
      <c r="N16" s="1">
        <v>19</v>
      </c>
      <c r="O16" s="1">
        <v>88</v>
      </c>
      <c r="P16" s="1">
        <v>107</v>
      </c>
    </row>
    <row r="17" spans="1:16" x14ac:dyDescent="0.25">
      <c r="A17" s="1">
        <v>635</v>
      </c>
      <c r="B17" s="2">
        <v>40572</v>
      </c>
      <c r="C17" s="1">
        <v>1</v>
      </c>
      <c r="D17" s="1">
        <v>0</v>
      </c>
      <c r="E17" s="1">
        <v>1</v>
      </c>
      <c r="F17" s="1">
        <v>17</v>
      </c>
      <c r="G17" s="1" t="b">
        <v>0</v>
      </c>
      <c r="H17" s="1">
        <v>6</v>
      </c>
      <c r="I17" s="1">
        <v>1</v>
      </c>
      <c r="J17" s="1">
        <v>0.24</v>
      </c>
      <c r="K17" s="1">
        <v>0.28789999999999999</v>
      </c>
      <c r="L17" s="1">
        <v>0.6</v>
      </c>
      <c r="M17" s="1">
        <v>0</v>
      </c>
      <c r="N17" s="1">
        <v>9</v>
      </c>
      <c r="O17" s="1">
        <v>82</v>
      </c>
      <c r="P17" s="1">
        <v>91</v>
      </c>
    </row>
    <row r="18" spans="1:16" x14ac:dyDescent="0.25">
      <c r="A18" s="1">
        <v>636</v>
      </c>
      <c r="B18" s="2">
        <v>40572</v>
      </c>
      <c r="C18" s="1">
        <v>1</v>
      </c>
      <c r="D18" s="1">
        <v>0</v>
      </c>
      <c r="E18" s="1">
        <v>1</v>
      </c>
      <c r="F18" s="1">
        <v>18</v>
      </c>
      <c r="G18" s="1" t="b">
        <v>0</v>
      </c>
      <c r="H18" s="1">
        <v>6</v>
      </c>
      <c r="I18" s="1">
        <v>1</v>
      </c>
      <c r="J18" s="1">
        <v>0.22</v>
      </c>
      <c r="K18" s="1">
        <v>0.2273</v>
      </c>
      <c r="L18" s="1">
        <v>0.69</v>
      </c>
      <c r="M18" s="1">
        <v>0.1343</v>
      </c>
      <c r="N18" s="1">
        <v>9</v>
      </c>
      <c r="O18" s="1">
        <v>59</v>
      </c>
      <c r="P18" s="1">
        <v>68</v>
      </c>
    </row>
    <row r="19" spans="1:16" x14ac:dyDescent="0.25">
      <c r="A19" s="1">
        <v>637</v>
      </c>
      <c r="B19" s="2">
        <v>40572</v>
      </c>
      <c r="C19" s="1">
        <v>1</v>
      </c>
      <c r="D19" s="1">
        <v>0</v>
      </c>
      <c r="E19" s="1">
        <v>1</v>
      </c>
      <c r="F19" s="1">
        <v>19</v>
      </c>
      <c r="G19" s="1" t="b">
        <v>0</v>
      </c>
      <c r="H19" s="1">
        <v>6</v>
      </c>
      <c r="I19" s="1">
        <v>2</v>
      </c>
      <c r="J19" s="1">
        <v>0.22</v>
      </c>
      <c r="K19" s="1">
        <v>0.21210000000000001</v>
      </c>
      <c r="L19" s="1">
        <v>0.69</v>
      </c>
      <c r="M19" s="1">
        <v>0.25369999999999998</v>
      </c>
      <c r="N19" s="1">
        <v>6</v>
      </c>
      <c r="O19" s="1">
        <v>52</v>
      </c>
      <c r="P19" s="1">
        <v>58</v>
      </c>
    </row>
    <row r="20" spans="1:16" x14ac:dyDescent="0.25">
      <c r="A20" s="1">
        <v>638</v>
      </c>
      <c r="B20" s="2">
        <v>40572</v>
      </c>
      <c r="C20" s="1">
        <v>1</v>
      </c>
      <c r="D20" s="1">
        <v>0</v>
      </c>
      <c r="E20" s="1">
        <v>1</v>
      </c>
      <c r="F20" s="1">
        <v>20</v>
      </c>
      <c r="G20" s="1" t="b">
        <v>0</v>
      </c>
      <c r="H20" s="1">
        <v>6</v>
      </c>
      <c r="I20" s="1">
        <v>1</v>
      </c>
      <c r="J20" s="1">
        <v>0.18</v>
      </c>
      <c r="K20" s="1">
        <v>0.21210000000000001</v>
      </c>
      <c r="L20" s="1">
        <v>0.74</v>
      </c>
      <c r="M20" s="1">
        <v>8.9599999999999999E-2</v>
      </c>
      <c r="N20" s="1">
        <v>1</v>
      </c>
      <c r="O20" s="1">
        <v>42</v>
      </c>
      <c r="P20" s="1">
        <v>43</v>
      </c>
    </row>
    <row r="21" spans="1:16" x14ac:dyDescent="0.25">
      <c r="A21" s="1">
        <v>639</v>
      </c>
      <c r="B21" s="2">
        <v>40572</v>
      </c>
      <c r="C21" s="1">
        <v>1</v>
      </c>
      <c r="D21" s="1">
        <v>0</v>
      </c>
      <c r="E21" s="1">
        <v>1</v>
      </c>
      <c r="F21" s="1">
        <v>21</v>
      </c>
      <c r="G21" s="1" t="b">
        <v>0</v>
      </c>
      <c r="H21" s="1">
        <v>6</v>
      </c>
      <c r="I21" s="1">
        <v>1</v>
      </c>
      <c r="J21" s="1">
        <v>0.18</v>
      </c>
      <c r="K21" s="1">
        <v>0.21210000000000001</v>
      </c>
      <c r="L21" s="1">
        <v>0.74</v>
      </c>
      <c r="M21" s="1">
        <v>8.9599999999999999E-2</v>
      </c>
      <c r="N21" s="1">
        <v>1</v>
      </c>
      <c r="O21" s="1">
        <v>35</v>
      </c>
      <c r="P21" s="1">
        <v>36</v>
      </c>
    </row>
    <row r="22" spans="1:16" x14ac:dyDescent="0.25">
      <c r="A22" s="1">
        <v>640</v>
      </c>
      <c r="B22" s="2">
        <v>40572</v>
      </c>
      <c r="C22" s="1">
        <v>1</v>
      </c>
      <c r="D22" s="1">
        <v>0</v>
      </c>
      <c r="E22" s="1">
        <v>1</v>
      </c>
      <c r="F22" s="1">
        <v>22</v>
      </c>
      <c r="G22" s="1" t="b">
        <v>0</v>
      </c>
      <c r="H22" s="1">
        <v>6</v>
      </c>
      <c r="I22" s="1">
        <v>1</v>
      </c>
      <c r="J22" s="1">
        <v>0.16</v>
      </c>
      <c r="K22" s="1">
        <v>0.19700000000000001</v>
      </c>
      <c r="L22" s="1">
        <v>0.8</v>
      </c>
      <c r="M22" s="1">
        <v>8.9599999999999999E-2</v>
      </c>
      <c r="N22" s="1">
        <v>4</v>
      </c>
      <c r="O22" s="1">
        <v>28</v>
      </c>
      <c r="P22" s="1">
        <v>32</v>
      </c>
    </row>
    <row r="23" spans="1:16" x14ac:dyDescent="0.25">
      <c r="A23" s="1">
        <v>641</v>
      </c>
      <c r="B23" s="2">
        <v>40572</v>
      </c>
      <c r="C23" s="1">
        <v>1</v>
      </c>
      <c r="D23" s="1">
        <v>0</v>
      </c>
      <c r="E23" s="1">
        <v>1</v>
      </c>
      <c r="F23" s="1">
        <v>23</v>
      </c>
      <c r="G23" s="1" t="b">
        <v>0</v>
      </c>
      <c r="H23" s="1">
        <v>6</v>
      </c>
      <c r="I23" s="1">
        <v>1</v>
      </c>
      <c r="J23" s="1">
        <v>0.16</v>
      </c>
      <c r="K23" s="1">
        <v>0.19700000000000001</v>
      </c>
      <c r="L23" s="1">
        <v>0.8</v>
      </c>
      <c r="M23" s="1">
        <v>8.9599999999999999E-2</v>
      </c>
      <c r="N23" s="1">
        <v>3</v>
      </c>
      <c r="O23" s="1">
        <v>30</v>
      </c>
      <c r="P23" s="1">
        <v>33</v>
      </c>
    </row>
    <row r="24" spans="1:16" x14ac:dyDescent="0.25">
      <c r="A24" s="1">
        <v>642</v>
      </c>
      <c r="B24" s="2">
        <v>40573</v>
      </c>
      <c r="C24" s="1">
        <v>1</v>
      </c>
      <c r="D24" s="1">
        <v>0</v>
      </c>
      <c r="E24" s="1">
        <v>1</v>
      </c>
      <c r="F24" s="1">
        <v>0</v>
      </c>
      <c r="G24" s="1" t="b">
        <v>0</v>
      </c>
      <c r="H24" s="1">
        <v>0</v>
      </c>
      <c r="I24" s="1">
        <v>1</v>
      </c>
      <c r="J24" s="1">
        <v>0.16</v>
      </c>
      <c r="K24" s="1">
        <v>0.18179999999999999</v>
      </c>
      <c r="L24" s="1">
        <v>0.8</v>
      </c>
      <c r="M24" s="1">
        <v>0.1045</v>
      </c>
      <c r="N24" s="1">
        <v>0</v>
      </c>
      <c r="O24" s="1">
        <v>33</v>
      </c>
      <c r="P24" s="1">
        <v>33</v>
      </c>
    </row>
    <row r="25" spans="1:16" x14ac:dyDescent="0.25">
      <c r="A25" s="1">
        <v>643</v>
      </c>
      <c r="B25" s="2">
        <v>40573</v>
      </c>
      <c r="C25" s="1">
        <v>1</v>
      </c>
      <c r="D25" s="1">
        <v>0</v>
      </c>
      <c r="E25" s="1">
        <v>1</v>
      </c>
      <c r="F25" s="1">
        <v>1</v>
      </c>
      <c r="G25" s="1" t="b">
        <v>0</v>
      </c>
      <c r="H25" s="1">
        <v>0</v>
      </c>
      <c r="I25" s="1">
        <v>1</v>
      </c>
      <c r="J25" s="1">
        <v>0.14000000000000001</v>
      </c>
      <c r="K25" s="1">
        <v>0.21210000000000001</v>
      </c>
      <c r="L25" s="1">
        <v>0.8</v>
      </c>
      <c r="M25" s="1">
        <v>0</v>
      </c>
      <c r="N25" s="1">
        <v>7</v>
      </c>
      <c r="O25" s="1">
        <v>22</v>
      </c>
      <c r="P25" s="1">
        <v>29</v>
      </c>
    </row>
    <row r="26" spans="1:16" x14ac:dyDescent="0.25">
      <c r="A26" s="1">
        <v>644</v>
      </c>
      <c r="B26" s="2">
        <v>40573</v>
      </c>
      <c r="C26" s="1">
        <v>1</v>
      </c>
      <c r="D26" s="1">
        <v>0</v>
      </c>
      <c r="E26" s="1">
        <v>1</v>
      </c>
      <c r="F26" s="1">
        <v>2</v>
      </c>
      <c r="G26" s="1" t="b">
        <v>0</v>
      </c>
      <c r="H26" s="1">
        <v>0</v>
      </c>
      <c r="I26" s="1">
        <v>1</v>
      </c>
      <c r="J26" s="1">
        <v>0.16</v>
      </c>
      <c r="K26" s="1">
        <v>0.2273</v>
      </c>
      <c r="L26" s="1">
        <v>0.8</v>
      </c>
      <c r="M26" s="1">
        <v>0</v>
      </c>
      <c r="N26" s="1">
        <v>1</v>
      </c>
      <c r="O26" s="1">
        <v>10</v>
      </c>
      <c r="P26" s="1">
        <v>11</v>
      </c>
    </row>
    <row r="27" spans="1:16" x14ac:dyDescent="0.25">
      <c r="A27" s="1">
        <v>645</v>
      </c>
      <c r="B27" s="2">
        <v>40573</v>
      </c>
      <c r="C27" s="1">
        <v>1</v>
      </c>
      <c r="D27" s="1">
        <v>0</v>
      </c>
      <c r="E27" s="1">
        <v>1</v>
      </c>
      <c r="F27" s="1">
        <v>3</v>
      </c>
      <c r="G27" s="1" t="b">
        <v>0</v>
      </c>
      <c r="H27" s="1">
        <v>0</v>
      </c>
      <c r="I27" s="1">
        <v>1</v>
      </c>
      <c r="J27" s="1">
        <v>0.14000000000000001</v>
      </c>
      <c r="K27" s="1">
        <v>0.21210000000000001</v>
      </c>
      <c r="L27" s="1">
        <v>0.93</v>
      </c>
      <c r="M27" s="1">
        <v>0</v>
      </c>
      <c r="N27" s="1">
        <v>1</v>
      </c>
      <c r="O27" s="1">
        <v>7</v>
      </c>
      <c r="P27" s="1">
        <v>8</v>
      </c>
    </row>
    <row r="28" spans="1:16" x14ac:dyDescent="0.25">
      <c r="A28" s="1">
        <v>646</v>
      </c>
      <c r="B28" s="2">
        <v>40573</v>
      </c>
      <c r="C28" s="1">
        <v>1</v>
      </c>
      <c r="D28" s="1">
        <v>0</v>
      </c>
      <c r="E28" s="1">
        <v>1</v>
      </c>
      <c r="F28" s="1">
        <v>4</v>
      </c>
      <c r="G28" s="1" t="b">
        <v>0</v>
      </c>
      <c r="H28" s="1">
        <v>0</v>
      </c>
      <c r="I28" s="1">
        <v>1</v>
      </c>
      <c r="J28" s="1">
        <v>0.14000000000000001</v>
      </c>
      <c r="K28" s="1">
        <v>0.21210000000000001</v>
      </c>
      <c r="L28" s="1">
        <v>0.93</v>
      </c>
      <c r="M28" s="1">
        <v>0</v>
      </c>
      <c r="N28" s="1">
        <v>0</v>
      </c>
      <c r="O28" s="1">
        <v>1</v>
      </c>
      <c r="P28" s="1">
        <v>1</v>
      </c>
    </row>
    <row r="29" spans="1:16" x14ac:dyDescent="0.25">
      <c r="A29" s="1">
        <v>647</v>
      </c>
      <c r="B29" s="2">
        <v>40573</v>
      </c>
      <c r="C29" s="1">
        <v>1</v>
      </c>
      <c r="D29" s="1">
        <v>0</v>
      </c>
      <c r="E29" s="1">
        <v>1</v>
      </c>
      <c r="F29" s="1">
        <v>5</v>
      </c>
      <c r="G29" s="1" t="b">
        <v>0</v>
      </c>
      <c r="H29" s="1">
        <v>0</v>
      </c>
      <c r="I29" s="1">
        <v>1</v>
      </c>
      <c r="J29" s="1">
        <v>0.14000000000000001</v>
      </c>
      <c r="K29" s="1">
        <v>0.21210000000000001</v>
      </c>
      <c r="L29" s="1">
        <v>0.86</v>
      </c>
      <c r="M29" s="1">
        <v>0</v>
      </c>
      <c r="N29" s="1">
        <v>0</v>
      </c>
      <c r="O29" s="1">
        <v>3</v>
      </c>
      <c r="P29" s="1">
        <v>3</v>
      </c>
    </row>
    <row r="30" spans="1:16" x14ac:dyDescent="0.25">
      <c r="A30" s="1">
        <v>648</v>
      </c>
      <c r="B30" s="2">
        <v>40573</v>
      </c>
      <c r="C30" s="1">
        <v>1</v>
      </c>
      <c r="D30" s="1">
        <v>0</v>
      </c>
      <c r="E30" s="1">
        <v>1</v>
      </c>
      <c r="F30" s="1">
        <v>7</v>
      </c>
      <c r="G30" s="1" t="b">
        <v>0</v>
      </c>
      <c r="H30" s="1">
        <v>0</v>
      </c>
      <c r="I30" s="1">
        <v>1</v>
      </c>
      <c r="J30" s="1">
        <v>0.14000000000000001</v>
      </c>
      <c r="K30" s="1">
        <v>0.21210000000000001</v>
      </c>
      <c r="L30" s="1">
        <v>0.86</v>
      </c>
      <c r="M30" s="1">
        <v>0</v>
      </c>
      <c r="N30" s="1">
        <v>0</v>
      </c>
      <c r="O30" s="1">
        <v>3</v>
      </c>
      <c r="P30" s="1">
        <v>3</v>
      </c>
    </row>
    <row r="31" spans="1:16" x14ac:dyDescent="0.25">
      <c r="A31" s="1">
        <v>649</v>
      </c>
      <c r="B31" s="2">
        <v>40573</v>
      </c>
      <c r="C31" s="1">
        <v>1</v>
      </c>
      <c r="D31" s="1">
        <v>0</v>
      </c>
      <c r="E31" s="1">
        <v>1</v>
      </c>
      <c r="F31" s="1">
        <v>8</v>
      </c>
      <c r="G31" s="1" t="b">
        <v>0</v>
      </c>
      <c r="H31" s="1">
        <v>0</v>
      </c>
      <c r="I31" s="1">
        <v>2</v>
      </c>
      <c r="J31" s="1">
        <v>0.14000000000000001</v>
      </c>
      <c r="K31" s="1">
        <v>0.21210000000000001</v>
      </c>
      <c r="L31" s="1">
        <v>0.86</v>
      </c>
      <c r="M31" s="1">
        <v>0</v>
      </c>
      <c r="N31" s="1">
        <v>1</v>
      </c>
      <c r="O31" s="1">
        <v>11</v>
      </c>
      <c r="P31" s="1">
        <v>12</v>
      </c>
    </row>
    <row r="32" spans="1:16" x14ac:dyDescent="0.25">
      <c r="A32" s="1">
        <v>650</v>
      </c>
      <c r="B32" s="2">
        <v>40573</v>
      </c>
      <c r="C32" s="1">
        <v>1</v>
      </c>
      <c r="D32" s="1">
        <v>0</v>
      </c>
      <c r="E32" s="1">
        <v>1</v>
      </c>
      <c r="F32" s="1">
        <v>9</v>
      </c>
      <c r="G32" s="1" t="b">
        <v>0</v>
      </c>
      <c r="H32" s="1">
        <v>0</v>
      </c>
      <c r="I32" s="1">
        <v>2</v>
      </c>
      <c r="J32" s="1">
        <v>0.16</v>
      </c>
      <c r="K32" s="1">
        <v>0.2273</v>
      </c>
      <c r="L32" s="1">
        <v>0.8</v>
      </c>
      <c r="M32" s="1">
        <v>0</v>
      </c>
      <c r="N32" s="1">
        <v>4</v>
      </c>
      <c r="O32" s="1">
        <v>34</v>
      </c>
      <c r="P32" s="1">
        <v>38</v>
      </c>
    </row>
    <row r="33" spans="1:16" x14ac:dyDescent="0.25">
      <c r="A33" s="1">
        <v>651</v>
      </c>
      <c r="B33" s="2">
        <v>40573</v>
      </c>
      <c r="C33" s="1">
        <v>1</v>
      </c>
      <c r="D33" s="1">
        <v>0</v>
      </c>
      <c r="E33" s="1">
        <v>1</v>
      </c>
      <c r="F33" s="1">
        <v>10</v>
      </c>
      <c r="G33" s="1" t="b">
        <v>0</v>
      </c>
      <c r="H33" s="1">
        <v>0</v>
      </c>
      <c r="I33" s="1">
        <v>2</v>
      </c>
      <c r="J33" s="1">
        <v>0.18</v>
      </c>
      <c r="K33" s="1">
        <v>0.2424</v>
      </c>
      <c r="L33" s="1">
        <v>0.8</v>
      </c>
      <c r="M33" s="1">
        <v>0</v>
      </c>
      <c r="N33" s="1">
        <v>7</v>
      </c>
      <c r="O33" s="1">
        <v>57</v>
      </c>
      <c r="P33" s="1">
        <v>64</v>
      </c>
    </row>
    <row r="34" spans="1:16" x14ac:dyDescent="0.25">
      <c r="A34" s="1">
        <v>652</v>
      </c>
      <c r="B34" s="2">
        <v>40573</v>
      </c>
      <c r="C34" s="1">
        <v>1</v>
      </c>
      <c r="D34" s="1">
        <v>0</v>
      </c>
      <c r="E34" s="1">
        <v>1</v>
      </c>
      <c r="F34" s="1">
        <v>11</v>
      </c>
      <c r="G34" s="1" t="b">
        <v>0</v>
      </c>
      <c r="H34" s="1">
        <v>0</v>
      </c>
      <c r="I34" s="1">
        <v>1</v>
      </c>
      <c r="J34" s="1">
        <v>0.22</v>
      </c>
      <c r="K34" s="1">
        <v>0.2727</v>
      </c>
      <c r="L34" s="1">
        <v>0.75</v>
      </c>
      <c r="M34" s="1">
        <v>0</v>
      </c>
      <c r="N34" s="1">
        <v>9</v>
      </c>
      <c r="O34" s="1">
        <v>50</v>
      </c>
      <c r="P34" s="1">
        <v>59</v>
      </c>
    </row>
    <row r="35" spans="1:16" x14ac:dyDescent="0.25">
      <c r="A35" s="1">
        <v>653</v>
      </c>
      <c r="B35" s="2">
        <v>40573</v>
      </c>
      <c r="C35" s="1">
        <v>1</v>
      </c>
      <c r="D35" s="1">
        <v>0</v>
      </c>
      <c r="E35" s="1">
        <v>1</v>
      </c>
      <c r="F35" s="1">
        <v>12</v>
      </c>
      <c r="G35" s="1" t="b">
        <v>0</v>
      </c>
      <c r="H35" s="1">
        <v>0</v>
      </c>
      <c r="I35" s="1">
        <v>1</v>
      </c>
      <c r="J35" s="1">
        <v>0.3</v>
      </c>
      <c r="K35" s="1">
        <v>0.31819999999999998</v>
      </c>
      <c r="L35" s="1">
        <v>0.52</v>
      </c>
      <c r="M35" s="1">
        <v>0.1045</v>
      </c>
      <c r="N35" s="1">
        <v>10</v>
      </c>
      <c r="O35" s="1">
        <v>87</v>
      </c>
      <c r="P35" s="1">
        <v>97</v>
      </c>
    </row>
    <row r="36" spans="1:16" x14ac:dyDescent="0.25">
      <c r="A36" s="1">
        <v>654</v>
      </c>
      <c r="B36" s="2">
        <v>40573</v>
      </c>
      <c r="C36" s="1">
        <v>1</v>
      </c>
      <c r="D36" s="1">
        <v>0</v>
      </c>
      <c r="E36" s="1">
        <v>1</v>
      </c>
      <c r="F36" s="1">
        <v>13</v>
      </c>
      <c r="G36" s="1" t="b">
        <v>0</v>
      </c>
      <c r="H36" s="1">
        <v>0</v>
      </c>
      <c r="I36" s="1">
        <v>1</v>
      </c>
      <c r="J36" s="1">
        <v>0.28000000000000003</v>
      </c>
      <c r="K36" s="1">
        <v>0.28789999999999999</v>
      </c>
      <c r="L36" s="1">
        <v>0.61</v>
      </c>
      <c r="M36" s="1">
        <v>0.1045</v>
      </c>
      <c r="N36" s="1">
        <v>13</v>
      </c>
      <c r="O36" s="1">
        <v>71</v>
      </c>
      <c r="P36" s="1">
        <v>84</v>
      </c>
    </row>
    <row r="37" spans="1:16" x14ac:dyDescent="0.25">
      <c r="A37" s="1">
        <v>655</v>
      </c>
      <c r="B37" s="2">
        <v>40573</v>
      </c>
      <c r="C37" s="1">
        <v>1</v>
      </c>
      <c r="D37" s="1">
        <v>0</v>
      </c>
      <c r="E37" s="1">
        <v>1</v>
      </c>
      <c r="F37" s="1">
        <v>14</v>
      </c>
      <c r="G37" s="1" t="b">
        <v>0</v>
      </c>
      <c r="H37" s="1">
        <v>0</v>
      </c>
      <c r="I37" s="1">
        <v>1</v>
      </c>
      <c r="J37" s="1">
        <v>0.28000000000000003</v>
      </c>
      <c r="K37" s="1">
        <v>0.30299999999999999</v>
      </c>
      <c r="L37" s="1">
        <v>0.61</v>
      </c>
      <c r="M37" s="1">
        <v>8.9599999999999999E-2</v>
      </c>
      <c r="N37" s="1">
        <v>18</v>
      </c>
      <c r="O37" s="1">
        <v>104</v>
      </c>
      <c r="P37" s="1">
        <v>122</v>
      </c>
    </row>
    <row r="38" spans="1:16" x14ac:dyDescent="0.25">
      <c r="A38" s="1">
        <v>656</v>
      </c>
      <c r="B38" s="2">
        <v>40573</v>
      </c>
      <c r="C38" s="1">
        <v>1</v>
      </c>
      <c r="D38" s="1">
        <v>0</v>
      </c>
      <c r="E38" s="1">
        <v>1</v>
      </c>
      <c r="F38" s="1">
        <v>15</v>
      </c>
      <c r="G38" s="1" t="b">
        <v>0</v>
      </c>
      <c r="H38" s="1">
        <v>0</v>
      </c>
      <c r="I38" s="1">
        <v>1</v>
      </c>
      <c r="J38" s="1">
        <v>0.3</v>
      </c>
      <c r="K38" s="1">
        <v>0.33329999999999999</v>
      </c>
      <c r="L38" s="1">
        <v>0.56000000000000005</v>
      </c>
      <c r="M38" s="1">
        <v>0</v>
      </c>
      <c r="N38" s="1">
        <v>14</v>
      </c>
      <c r="O38" s="1">
        <v>95</v>
      </c>
      <c r="P38" s="1">
        <v>109</v>
      </c>
    </row>
    <row r="39" spans="1:16" x14ac:dyDescent="0.25">
      <c r="A39" s="1">
        <v>657</v>
      </c>
      <c r="B39" s="2">
        <v>40573</v>
      </c>
      <c r="C39" s="1">
        <v>1</v>
      </c>
      <c r="D39" s="1">
        <v>0</v>
      </c>
      <c r="E39" s="1">
        <v>1</v>
      </c>
      <c r="F39" s="1">
        <v>16</v>
      </c>
      <c r="G39" s="1" t="b">
        <v>0</v>
      </c>
      <c r="H39" s="1">
        <v>0</v>
      </c>
      <c r="I39" s="1">
        <v>1</v>
      </c>
      <c r="J39" s="1">
        <v>0.3</v>
      </c>
      <c r="K39" s="1">
        <v>0.33329999999999999</v>
      </c>
      <c r="L39" s="1">
        <v>0.56000000000000005</v>
      </c>
      <c r="M39" s="1">
        <v>0</v>
      </c>
      <c r="N39" s="1">
        <v>19</v>
      </c>
      <c r="O39" s="1">
        <v>104</v>
      </c>
      <c r="P39" s="1">
        <v>123</v>
      </c>
    </row>
    <row r="40" spans="1:16" x14ac:dyDescent="0.25">
      <c r="A40" s="1">
        <v>658</v>
      </c>
      <c r="B40" s="2">
        <v>40573</v>
      </c>
      <c r="C40" s="1">
        <v>1</v>
      </c>
      <c r="D40" s="1">
        <v>0</v>
      </c>
      <c r="E40" s="1">
        <v>1</v>
      </c>
      <c r="F40" s="1">
        <v>17</v>
      </c>
      <c r="G40" s="1" t="b">
        <v>0</v>
      </c>
      <c r="H40" s="1">
        <v>0</v>
      </c>
      <c r="I40" s="1">
        <v>1</v>
      </c>
      <c r="J40" s="1">
        <v>0.3</v>
      </c>
      <c r="K40" s="1">
        <v>0.28789999999999999</v>
      </c>
      <c r="L40" s="1">
        <v>0.56000000000000005</v>
      </c>
      <c r="M40" s="1">
        <v>0.19400000000000001</v>
      </c>
      <c r="N40" s="1">
        <v>6</v>
      </c>
      <c r="O40" s="1">
        <v>71</v>
      </c>
      <c r="P40" s="1">
        <v>77</v>
      </c>
    </row>
    <row r="41" spans="1:16" x14ac:dyDescent="0.25">
      <c r="A41" s="1">
        <v>659</v>
      </c>
      <c r="B41" s="2">
        <v>40573</v>
      </c>
      <c r="C41" s="1">
        <v>1</v>
      </c>
      <c r="D41" s="1">
        <v>0</v>
      </c>
      <c r="E41" s="1">
        <v>1</v>
      </c>
      <c r="F41" s="1">
        <v>18</v>
      </c>
      <c r="G41" s="1" t="b">
        <v>0</v>
      </c>
      <c r="H41" s="1">
        <v>0</v>
      </c>
      <c r="I41" s="1">
        <v>1</v>
      </c>
      <c r="J41" s="1">
        <v>0.26</v>
      </c>
      <c r="K41" s="1">
        <v>0.2576</v>
      </c>
      <c r="L41" s="1">
        <v>0.65</v>
      </c>
      <c r="M41" s="1">
        <v>0.16420000000000001</v>
      </c>
      <c r="N41" s="1">
        <v>8</v>
      </c>
      <c r="O41" s="1">
        <v>57</v>
      </c>
      <c r="P41" s="1">
        <v>65</v>
      </c>
    </row>
    <row r="42" spans="1:16" x14ac:dyDescent="0.25">
      <c r="A42" s="1">
        <v>660</v>
      </c>
      <c r="B42" s="2">
        <v>40573</v>
      </c>
      <c r="C42" s="1">
        <v>1</v>
      </c>
      <c r="D42" s="1">
        <v>0</v>
      </c>
      <c r="E42" s="1">
        <v>1</v>
      </c>
      <c r="F42" s="1">
        <v>19</v>
      </c>
      <c r="G42" s="1" t="b">
        <v>0</v>
      </c>
      <c r="H42" s="1">
        <v>0</v>
      </c>
      <c r="I42" s="1">
        <v>1</v>
      </c>
      <c r="J42" s="1">
        <v>0.26</v>
      </c>
      <c r="K42" s="1">
        <v>0.2576</v>
      </c>
      <c r="L42" s="1">
        <v>0.65</v>
      </c>
      <c r="M42" s="1">
        <v>0.19400000000000001</v>
      </c>
      <c r="N42" s="1">
        <v>9</v>
      </c>
      <c r="O42" s="1">
        <v>46</v>
      </c>
      <c r="P42" s="1">
        <v>55</v>
      </c>
    </row>
    <row r="43" spans="1:16" x14ac:dyDescent="0.25">
      <c r="A43" s="1">
        <v>661</v>
      </c>
      <c r="B43" s="2">
        <v>40573</v>
      </c>
      <c r="C43" s="1">
        <v>1</v>
      </c>
      <c r="D43" s="1">
        <v>0</v>
      </c>
      <c r="E43" s="1">
        <v>1</v>
      </c>
      <c r="F43" s="1">
        <v>20</v>
      </c>
      <c r="G43" s="1" t="b">
        <v>0</v>
      </c>
      <c r="H43" s="1">
        <v>0</v>
      </c>
      <c r="I43" s="1">
        <v>2</v>
      </c>
      <c r="J43" s="1">
        <v>0.26</v>
      </c>
      <c r="K43" s="1">
        <v>0.2727</v>
      </c>
      <c r="L43" s="1">
        <v>0.65</v>
      </c>
      <c r="M43" s="1">
        <v>0.1045</v>
      </c>
      <c r="N43" s="1">
        <v>3</v>
      </c>
      <c r="O43" s="1">
        <v>30</v>
      </c>
      <c r="P43" s="1">
        <v>33</v>
      </c>
    </row>
    <row r="44" spans="1:16" x14ac:dyDescent="0.25">
      <c r="A44" s="1">
        <v>662</v>
      </c>
      <c r="B44" s="2">
        <v>40573</v>
      </c>
      <c r="C44" s="1">
        <v>1</v>
      </c>
      <c r="D44" s="1">
        <v>0</v>
      </c>
      <c r="E44" s="1">
        <v>1</v>
      </c>
      <c r="F44" s="1">
        <v>21</v>
      </c>
      <c r="G44" s="1" t="b">
        <v>0</v>
      </c>
      <c r="H44" s="1">
        <v>0</v>
      </c>
      <c r="I44" s="1">
        <v>2</v>
      </c>
      <c r="J44" s="1">
        <v>0.24</v>
      </c>
      <c r="K44" s="1">
        <v>0.2424</v>
      </c>
      <c r="L44" s="1">
        <v>0.7</v>
      </c>
      <c r="M44" s="1">
        <v>0.16420000000000001</v>
      </c>
      <c r="N44" s="1">
        <v>3</v>
      </c>
      <c r="O44" s="1">
        <v>25</v>
      </c>
      <c r="P44" s="1">
        <v>28</v>
      </c>
    </row>
    <row r="45" spans="1:16" x14ac:dyDescent="0.25">
      <c r="A45" s="1">
        <v>663</v>
      </c>
      <c r="B45" s="2">
        <v>40573</v>
      </c>
      <c r="C45" s="1">
        <v>1</v>
      </c>
      <c r="D45" s="1">
        <v>0</v>
      </c>
      <c r="E45" s="1">
        <v>1</v>
      </c>
      <c r="F45" s="1">
        <v>22</v>
      </c>
      <c r="G45" s="1" t="b">
        <v>0</v>
      </c>
      <c r="H45" s="1">
        <v>0</v>
      </c>
      <c r="I45" s="1">
        <v>2</v>
      </c>
      <c r="J45" s="1">
        <v>0.24</v>
      </c>
      <c r="K45" s="1">
        <v>0.2273</v>
      </c>
      <c r="L45" s="1">
        <v>0.7</v>
      </c>
      <c r="M45" s="1">
        <v>0.19400000000000001</v>
      </c>
      <c r="N45" s="1">
        <v>2</v>
      </c>
      <c r="O45" s="1">
        <v>19</v>
      </c>
      <c r="P45" s="1">
        <v>21</v>
      </c>
    </row>
    <row r="46" spans="1:16" x14ac:dyDescent="0.25">
      <c r="A46" s="1">
        <v>664</v>
      </c>
      <c r="B46" s="2">
        <v>40573</v>
      </c>
      <c r="C46" s="1">
        <v>1</v>
      </c>
      <c r="D46" s="1">
        <v>0</v>
      </c>
      <c r="E46" s="1">
        <v>1</v>
      </c>
      <c r="F46" s="1">
        <v>23</v>
      </c>
      <c r="G46" s="1" t="b">
        <v>0</v>
      </c>
      <c r="H46" s="1">
        <v>0</v>
      </c>
      <c r="I46" s="1">
        <v>2</v>
      </c>
      <c r="J46" s="1">
        <v>0.24</v>
      </c>
      <c r="K46" s="1">
        <v>0.21210000000000001</v>
      </c>
      <c r="L46" s="1">
        <v>0.65</v>
      </c>
      <c r="M46" s="1">
        <v>0.28360000000000002</v>
      </c>
      <c r="N46" s="1">
        <v>5</v>
      </c>
      <c r="O46" s="1">
        <v>16</v>
      </c>
      <c r="P46" s="1">
        <v>21</v>
      </c>
    </row>
    <row r="47" spans="1:16" x14ac:dyDescent="0.25">
      <c r="A47" s="1">
        <v>665</v>
      </c>
      <c r="B47" s="2">
        <v>40574</v>
      </c>
      <c r="C47" s="1">
        <v>1</v>
      </c>
      <c r="D47" s="1">
        <v>0</v>
      </c>
      <c r="E47" s="1">
        <v>1</v>
      </c>
      <c r="F47" s="1">
        <v>0</v>
      </c>
      <c r="G47" s="1" t="b">
        <v>0</v>
      </c>
      <c r="H47" s="1">
        <v>1</v>
      </c>
      <c r="I47" s="1">
        <v>2</v>
      </c>
      <c r="J47" s="1">
        <v>0.24</v>
      </c>
      <c r="K47" s="1">
        <v>0.2273</v>
      </c>
      <c r="L47" s="1">
        <v>0.65</v>
      </c>
      <c r="M47" s="1">
        <v>0.22389999999999999</v>
      </c>
      <c r="N47" s="1">
        <v>1</v>
      </c>
      <c r="O47" s="1">
        <v>6</v>
      </c>
      <c r="P47" s="1">
        <v>7</v>
      </c>
    </row>
    <row r="48" spans="1:16" x14ac:dyDescent="0.25">
      <c r="A48" s="1">
        <v>666</v>
      </c>
      <c r="B48" s="2">
        <v>40574</v>
      </c>
      <c r="C48" s="1">
        <v>1</v>
      </c>
      <c r="D48" s="1">
        <v>0</v>
      </c>
      <c r="E48" s="1">
        <v>1</v>
      </c>
      <c r="F48" s="1">
        <v>1</v>
      </c>
      <c r="G48" s="1" t="b">
        <v>0</v>
      </c>
      <c r="H48" s="1">
        <v>1</v>
      </c>
      <c r="I48" s="1">
        <v>1</v>
      </c>
      <c r="J48" s="1">
        <v>0.22</v>
      </c>
      <c r="K48" s="1">
        <v>0.21210000000000001</v>
      </c>
      <c r="L48" s="1">
        <v>0.64</v>
      </c>
      <c r="M48" s="1">
        <v>0.25369999999999998</v>
      </c>
      <c r="N48" s="1">
        <v>2</v>
      </c>
      <c r="O48" s="1">
        <v>5</v>
      </c>
      <c r="P48" s="1">
        <v>7</v>
      </c>
    </row>
    <row r="49" spans="1:16" x14ac:dyDescent="0.25">
      <c r="A49" s="1">
        <v>667</v>
      </c>
      <c r="B49" s="2">
        <v>40574</v>
      </c>
      <c r="C49" s="1">
        <v>1</v>
      </c>
      <c r="D49" s="1">
        <v>0</v>
      </c>
      <c r="E49" s="1">
        <v>1</v>
      </c>
      <c r="F49" s="1">
        <v>2</v>
      </c>
      <c r="G49" s="1" t="b">
        <v>0</v>
      </c>
      <c r="H49" s="1">
        <v>1</v>
      </c>
      <c r="I49" s="1">
        <v>1</v>
      </c>
      <c r="J49" s="1">
        <v>0.22</v>
      </c>
      <c r="K49" s="1">
        <v>0.2273</v>
      </c>
      <c r="L49" s="1">
        <v>0.64</v>
      </c>
      <c r="M49" s="1">
        <v>0.19400000000000001</v>
      </c>
      <c r="N49" s="1">
        <v>0</v>
      </c>
      <c r="O49" s="1">
        <v>1</v>
      </c>
      <c r="P49" s="1">
        <v>1</v>
      </c>
    </row>
    <row r="50" spans="1:16" x14ac:dyDescent="0.25">
      <c r="A50" s="1">
        <v>668</v>
      </c>
      <c r="B50" s="2">
        <v>40574</v>
      </c>
      <c r="C50" s="1">
        <v>1</v>
      </c>
      <c r="D50" s="1">
        <v>0</v>
      </c>
      <c r="E50" s="1">
        <v>1</v>
      </c>
      <c r="F50" s="1">
        <v>3</v>
      </c>
      <c r="G50" s="1" t="b">
        <v>0</v>
      </c>
      <c r="H50" s="1">
        <v>1</v>
      </c>
      <c r="I50" s="1">
        <v>1</v>
      </c>
      <c r="J50" s="1">
        <v>0.22</v>
      </c>
      <c r="K50" s="1">
        <v>0.2273</v>
      </c>
      <c r="L50" s="1">
        <v>0.64</v>
      </c>
      <c r="M50" s="1">
        <v>0.19400000000000001</v>
      </c>
      <c r="N50" s="1">
        <v>0</v>
      </c>
      <c r="O50" s="1">
        <v>2</v>
      </c>
      <c r="P50" s="1">
        <v>2</v>
      </c>
    </row>
    <row r="51" spans="1:16" x14ac:dyDescent="0.25">
      <c r="A51" s="1">
        <v>669</v>
      </c>
      <c r="B51" s="2">
        <v>40574</v>
      </c>
      <c r="C51" s="1">
        <v>1</v>
      </c>
      <c r="D51" s="1">
        <v>0</v>
      </c>
      <c r="E51" s="1">
        <v>1</v>
      </c>
      <c r="F51" s="1">
        <v>4</v>
      </c>
      <c r="G51" s="1" t="b">
        <v>0</v>
      </c>
      <c r="H51" s="1">
        <v>1</v>
      </c>
      <c r="I51" s="1">
        <v>1</v>
      </c>
      <c r="J51" s="1">
        <v>0.2</v>
      </c>
      <c r="K51" s="1">
        <v>0.19700000000000001</v>
      </c>
      <c r="L51" s="1">
        <v>0.59</v>
      </c>
      <c r="M51" s="1">
        <v>0.22389999999999999</v>
      </c>
      <c r="N51" s="1">
        <v>0</v>
      </c>
      <c r="O51" s="1">
        <v>2</v>
      </c>
      <c r="P51" s="1">
        <v>2</v>
      </c>
    </row>
    <row r="52" spans="1:16" x14ac:dyDescent="0.25">
      <c r="A52" s="1">
        <v>670</v>
      </c>
      <c r="B52" s="2">
        <v>40574</v>
      </c>
      <c r="C52" s="1">
        <v>1</v>
      </c>
      <c r="D52" s="1">
        <v>0</v>
      </c>
      <c r="E52" s="1">
        <v>1</v>
      </c>
      <c r="F52" s="1">
        <v>5</v>
      </c>
      <c r="G52" s="1" t="b">
        <v>0</v>
      </c>
      <c r="H52" s="1">
        <v>1</v>
      </c>
      <c r="I52" s="1">
        <v>1</v>
      </c>
      <c r="J52" s="1">
        <v>0.18</v>
      </c>
      <c r="K52" s="1">
        <v>0.16669999999999999</v>
      </c>
      <c r="L52" s="1">
        <v>0.64</v>
      </c>
      <c r="M52" s="1">
        <v>0.28360000000000002</v>
      </c>
      <c r="N52" s="1">
        <v>0</v>
      </c>
      <c r="O52" s="1">
        <v>8</v>
      </c>
      <c r="P52" s="1">
        <v>8</v>
      </c>
    </row>
    <row r="53" spans="1:16" x14ac:dyDescent="0.25">
      <c r="A53" s="1">
        <v>671</v>
      </c>
      <c r="B53" s="2">
        <v>40574</v>
      </c>
      <c r="C53" s="1">
        <v>1</v>
      </c>
      <c r="D53" s="1">
        <v>0</v>
      </c>
      <c r="E53" s="1">
        <v>1</v>
      </c>
      <c r="F53" s="1">
        <v>6</v>
      </c>
      <c r="G53" s="1" t="b">
        <v>0</v>
      </c>
      <c r="H53" s="1">
        <v>1</v>
      </c>
      <c r="I53" s="1">
        <v>1</v>
      </c>
      <c r="J53" s="1">
        <v>0.16</v>
      </c>
      <c r="K53" s="1">
        <v>0.13639999999999999</v>
      </c>
      <c r="L53" s="1">
        <v>0.69</v>
      </c>
      <c r="M53" s="1">
        <v>0.32840000000000003</v>
      </c>
      <c r="N53" s="1">
        <v>0</v>
      </c>
      <c r="O53" s="1">
        <v>37</v>
      </c>
      <c r="P53" s="1">
        <v>37</v>
      </c>
    </row>
    <row r="54" spans="1:16" x14ac:dyDescent="0.25">
      <c r="A54" s="1">
        <v>672</v>
      </c>
      <c r="B54" s="2">
        <v>40574</v>
      </c>
      <c r="C54" s="1">
        <v>1</v>
      </c>
      <c r="D54" s="1">
        <v>0</v>
      </c>
      <c r="E54" s="1">
        <v>1</v>
      </c>
      <c r="F54" s="1">
        <v>7</v>
      </c>
      <c r="G54" s="1" t="b">
        <v>0</v>
      </c>
      <c r="H54" s="1">
        <v>1</v>
      </c>
      <c r="I54" s="1">
        <v>2</v>
      </c>
      <c r="J54" s="1">
        <v>0.16</v>
      </c>
      <c r="K54" s="1">
        <v>0.13639999999999999</v>
      </c>
      <c r="L54" s="1">
        <v>0.64</v>
      </c>
      <c r="M54" s="1">
        <v>0.28360000000000002</v>
      </c>
      <c r="N54" s="1">
        <v>1</v>
      </c>
      <c r="O54" s="1">
        <v>71</v>
      </c>
      <c r="P54" s="1">
        <v>72</v>
      </c>
    </row>
    <row r="55" spans="1:16" x14ac:dyDescent="0.25">
      <c r="A55" s="1">
        <v>673</v>
      </c>
      <c r="B55" s="2">
        <v>40574</v>
      </c>
      <c r="C55" s="1">
        <v>1</v>
      </c>
      <c r="D55" s="1">
        <v>0</v>
      </c>
      <c r="E55" s="1">
        <v>1</v>
      </c>
      <c r="F55" s="1">
        <v>8</v>
      </c>
      <c r="G55" s="1" t="b">
        <v>0</v>
      </c>
      <c r="H55" s="1">
        <v>1</v>
      </c>
      <c r="I55" s="1">
        <v>2</v>
      </c>
      <c r="J55" s="1">
        <v>0.16</v>
      </c>
      <c r="K55" s="1">
        <v>0.13639999999999999</v>
      </c>
      <c r="L55" s="1">
        <v>0.59</v>
      </c>
      <c r="M55" s="1">
        <v>0.28360000000000002</v>
      </c>
      <c r="N55" s="1">
        <v>3</v>
      </c>
      <c r="O55" s="1">
        <v>182</v>
      </c>
      <c r="P55" s="1">
        <v>185</v>
      </c>
    </row>
    <row r="56" spans="1:16" x14ac:dyDescent="0.25">
      <c r="A56" s="1">
        <v>674</v>
      </c>
      <c r="B56" s="2">
        <v>40574</v>
      </c>
      <c r="C56" s="1">
        <v>1</v>
      </c>
      <c r="D56" s="1">
        <v>0</v>
      </c>
      <c r="E56" s="1">
        <v>1</v>
      </c>
      <c r="F56" s="1">
        <v>9</v>
      </c>
      <c r="G56" s="1" t="b">
        <v>0</v>
      </c>
      <c r="H56" s="1">
        <v>1</v>
      </c>
      <c r="I56" s="1">
        <v>2</v>
      </c>
      <c r="J56" s="1">
        <v>0.16</v>
      </c>
      <c r="K56" s="1">
        <v>0.13639999999999999</v>
      </c>
      <c r="L56" s="1">
        <v>0.59</v>
      </c>
      <c r="M56" s="1">
        <v>0.29849999999999999</v>
      </c>
      <c r="N56" s="1">
        <v>0</v>
      </c>
      <c r="O56" s="1">
        <v>112</v>
      </c>
      <c r="P56" s="1">
        <v>112</v>
      </c>
    </row>
    <row r="57" spans="1:16" x14ac:dyDescent="0.25">
      <c r="A57" s="1">
        <v>675</v>
      </c>
      <c r="B57" s="2">
        <v>40574</v>
      </c>
      <c r="C57" s="1">
        <v>1</v>
      </c>
      <c r="D57" s="1">
        <v>0</v>
      </c>
      <c r="E57" s="1">
        <v>1</v>
      </c>
      <c r="F57" s="1">
        <v>10</v>
      </c>
      <c r="G57" s="1" t="b">
        <v>0</v>
      </c>
      <c r="H57" s="1">
        <v>1</v>
      </c>
      <c r="I57" s="1">
        <v>2</v>
      </c>
      <c r="J57" s="1">
        <v>0.16</v>
      </c>
      <c r="K57" s="1">
        <v>0.1515</v>
      </c>
      <c r="L57" s="1">
        <v>0.59</v>
      </c>
      <c r="M57" s="1">
        <v>0.19400000000000001</v>
      </c>
      <c r="N57" s="1">
        <v>1</v>
      </c>
      <c r="O57" s="1">
        <v>68</v>
      </c>
      <c r="P57" s="1">
        <v>69</v>
      </c>
    </row>
    <row r="58" spans="1:16" x14ac:dyDescent="0.25">
      <c r="A58" s="1">
        <v>676</v>
      </c>
      <c r="B58" s="2">
        <v>40574</v>
      </c>
      <c r="C58" s="1">
        <v>1</v>
      </c>
      <c r="D58" s="1">
        <v>0</v>
      </c>
      <c r="E58" s="1">
        <v>1</v>
      </c>
      <c r="F58" s="1">
        <v>11</v>
      </c>
      <c r="G58" s="1" t="b">
        <v>0</v>
      </c>
      <c r="H58" s="1">
        <v>1</v>
      </c>
      <c r="I58" s="1">
        <v>2</v>
      </c>
      <c r="J58" s="1">
        <v>0.16</v>
      </c>
      <c r="K58" s="1">
        <v>0.1515</v>
      </c>
      <c r="L58" s="1">
        <v>0.59</v>
      </c>
      <c r="M58" s="1">
        <v>0.19400000000000001</v>
      </c>
      <c r="N58" s="1">
        <v>2</v>
      </c>
      <c r="O58" s="1">
        <v>46</v>
      </c>
      <c r="P58" s="1">
        <v>48</v>
      </c>
    </row>
    <row r="59" spans="1:16" x14ac:dyDescent="0.25">
      <c r="A59" s="1">
        <v>677</v>
      </c>
      <c r="B59" s="2">
        <v>40574</v>
      </c>
      <c r="C59" s="1">
        <v>1</v>
      </c>
      <c r="D59" s="1">
        <v>0</v>
      </c>
      <c r="E59" s="1">
        <v>1</v>
      </c>
      <c r="F59" s="1">
        <v>12</v>
      </c>
      <c r="G59" s="1" t="b">
        <v>0</v>
      </c>
      <c r="H59" s="1">
        <v>1</v>
      </c>
      <c r="I59" s="1">
        <v>2</v>
      </c>
      <c r="J59" s="1">
        <v>0.18</v>
      </c>
      <c r="K59" s="1">
        <v>0.21210000000000001</v>
      </c>
      <c r="L59" s="1">
        <v>0.55000000000000004</v>
      </c>
      <c r="M59" s="1">
        <v>0.1045</v>
      </c>
      <c r="N59" s="1">
        <v>6</v>
      </c>
      <c r="O59" s="1">
        <v>62</v>
      </c>
      <c r="P59" s="1">
        <v>68</v>
      </c>
    </row>
    <row r="60" spans="1:16" x14ac:dyDescent="0.25">
      <c r="A60" s="1">
        <v>678</v>
      </c>
      <c r="B60" s="2">
        <v>40574</v>
      </c>
      <c r="C60" s="1">
        <v>1</v>
      </c>
      <c r="D60" s="1">
        <v>0</v>
      </c>
      <c r="E60" s="1">
        <v>1</v>
      </c>
      <c r="F60" s="1">
        <v>13</v>
      </c>
      <c r="G60" s="1" t="b">
        <v>0</v>
      </c>
      <c r="H60" s="1">
        <v>1</v>
      </c>
      <c r="I60" s="1">
        <v>2</v>
      </c>
      <c r="J60" s="1">
        <v>0.16</v>
      </c>
      <c r="K60" s="1">
        <v>0.2273</v>
      </c>
      <c r="L60" s="1">
        <v>0.59</v>
      </c>
      <c r="M60" s="1">
        <v>0</v>
      </c>
      <c r="N60" s="1">
        <v>2</v>
      </c>
      <c r="O60" s="1">
        <v>52</v>
      </c>
      <c r="P60" s="1">
        <v>54</v>
      </c>
    </row>
    <row r="61" spans="1:16" x14ac:dyDescent="0.25">
      <c r="A61" s="1">
        <v>679</v>
      </c>
      <c r="B61" s="2">
        <v>40574</v>
      </c>
      <c r="C61" s="1">
        <v>1</v>
      </c>
      <c r="D61" s="1">
        <v>0</v>
      </c>
      <c r="E61" s="1">
        <v>1</v>
      </c>
      <c r="F61" s="1">
        <v>14</v>
      </c>
      <c r="G61" s="1" t="b">
        <v>0</v>
      </c>
      <c r="H61" s="1">
        <v>1</v>
      </c>
      <c r="I61" s="1">
        <v>2</v>
      </c>
      <c r="J61" s="1">
        <v>0.18</v>
      </c>
      <c r="K61" s="1">
        <v>0.19700000000000001</v>
      </c>
      <c r="L61" s="1">
        <v>0.55000000000000004</v>
      </c>
      <c r="M61" s="1">
        <v>0.1343</v>
      </c>
      <c r="N61" s="1">
        <v>1</v>
      </c>
      <c r="O61" s="1">
        <v>85</v>
      </c>
      <c r="P61" s="1">
        <v>86</v>
      </c>
    </row>
    <row r="62" spans="1:16" x14ac:dyDescent="0.25">
      <c r="A62" s="1">
        <v>680</v>
      </c>
      <c r="B62" s="2">
        <v>40574</v>
      </c>
      <c r="C62" s="1">
        <v>1</v>
      </c>
      <c r="D62" s="1">
        <v>0</v>
      </c>
      <c r="E62" s="1">
        <v>1</v>
      </c>
      <c r="F62" s="1">
        <v>15</v>
      </c>
      <c r="G62" s="1" t="b">
        <v>0</v>
      </c>
      <c r="H62" s="1">
        <v>1</v>
      </c>
      <c r="I62" s="1">
        <v>2</v>
      </c>
      <c r="J62" s="1">
        <v>0.16</v>
      </c>
      <c r="K62" s="1">
        <v>0.18179999999999999</v>
      </c>
      <c r="L62" s="1">
        <v>0.59</v>
      </c>
      <c r="M62" s="1">
        <v>0.1343</v>
      </c>
      <c r="N62" s="1">
        <v>3</v>
      </c>
      <c r="O62" s="1">
        <v>41</v>
      </c>
      <c r="P62" s="1">
        <v>44</v>
      </c>
    </row>
    <row r="63" spans="1:16" x14ac:dyDescent="0.25">
      <c r="A63" s="1">
        <v>681</v>
      </c>
      <c r="B63" s="2">
        <v>40574</v>
      </c>
      <c r="C63" s="1">
        <v>1</v>
      </c>
      <c r="D63" s="1">
        <v>0</v>
      </c>
      <c r="E63" s="1">
        <v>1</v>
      </c>
      <c r="F63" s="1">
        <v>16</v>
      </c>
      <c r="G63" s="1" t="b">
        <v>0</v>
      </c>
      <c r="H63" s="1">
        <v>1</v>
      </c>
      <c r="I63" s="1">
        <v>2</v>
      </c>
      <c r="J63" s="1">
        <v>0.16</v>
      </c>
      <c r="K63" s="1">
        <v>0.18179999999999999</v>
      </c>
      <c r="L63" s="1">
        <v>0.56000000000000005</v>
      </c>
      <c r="M63" s="1">
        <v>0.19400000000000001</v>
      </c>
      <c r="N63" s="1">
        <v>3</v>
      </c>
      <c r="O63" s="1">
        <v>83</v>
      </c>
      <c r="P63" s="1">
        <v>86</v>
      </c>
    </row>
    <row r="64" spans="1:16" x14ac:dyDescent="0.25">
      <c r="A64" s="1">
        <v>682</v>
      </c>
      <c r="B64" s="2">
        <v>40574</v>
      </c>
      <c r="C64" s="1">
        <v>1</v>
      </c>
      <c r="D64" s="1">
        <v>0</v>
      </c>
      <c r="E64" s="1">
        <v>1</v>
      </c>
      <c r="F64" s="1">
        <v>17</v>
      </c>
      <c r="G64" s="1" t="b">
        <v>0</v>
      </c>
      <c r="H64" s="1">
        <v>1</v>
      </c>
      <c r="I64" s="1">
        <v>2</v>
      </c>
      <c r="J64" s="1">
        <v>0.16</v>
      </c>
      <c r="K64" s="1">
        <v>0.1515</v>
      </c>
      <c r="L64" s="1">
        <v>0.59</v>
      </c>
      <c r="M64" s="1">
        <v>0.19400000000000001</v>
      </c>
      <c r="N64" s="1">
        <v>6</v>
      </c>
      <c r="O64" s="1">
        <v>155</v>
      </c>
      <c r="P64" s="1">
        <v>161</v>
      </c>
    </row>
    <row r="65" spans="1:16" x14ac:dyDescent="0.25">
      <c r="A65" s="1">
        <v>683</v>
      </c>
      <c r="B65" s="2">
        <v>40574</v>
      </c>
      <c r="C65" s="1">
        <v>1</v>
      </c>
      <c r="D65" s="1">
        <v>0</v>
      </c>
      <c r="E65" s="1">
        <v>1</v>
      </c>
      <c r="F65" s="1">
        <v>18</v>
      </c>
      <c r="G65" s="1" t="b">
        <v>0</v>
      </c>
      <c r="H65" s="1">
        <v>1</v>
      </c>
      <c r="I65" s="1">
        <v>2</v>
      </c>
      <c r="J65" s="1">
        <v>0.16</v>
      </c>
      <c r="K65" s="1">
        <v>0.1515</v>
      </c>
      <c r="L65" s="1">
        <v>0.55000000000000004</v>
      </c>
      <c r="M65" s="1">
        <v>0.22389999999999999</v>
      </c>
      <c r="N65" s="1">
        <v>3</v>
      </c>
      <c r="O65" s="1">
        <v>153</v>
      </c>
      <c r="P65" s="1">
        <v>156</v>
      </c>
    </row>
    <row r="66" spans="1:16" x14ac:dyDescent="0.25">
      <c r="A66" s="1">
        <v>684</v>
      </c>
      <c r="B66" s="2">
        <v>40574</v>
      </c>
      <c r="C66" s="1">
        <v>1</v>
      </c>
      <c r="D66" s="1">
        <v>0</v>
      </c>
      <c r="E66" s="1">
        <v>1</v>
      </c>
      <c r="F66" s="1">
        <v>19</v>
      </c>
      <c r="G66" s="1" t="b">
        <v>0</v>
      </c>
      <c r="H66" s="1">
        <v>1</v>
      </c>
      <c r="I66" s="1">
        <v>1</v>
      </c>
      <c r="J66" s="1">
        <v>0.3</v>
      </c>
      <c r="K66" s="1">
        <v>0.31819999999999998</v>
      </c>
      <c r="L66" s="1">
        <v>0.61</v>
      </c>
      <c r="M66" s="1">
        <v>0.1045</v>
      </c>
      <c r="N66" s="1">
        <v>3</v>
      </c>
      <c r="O66" s="1">
        <v>108</v>
      </c>
      <c r="P66" s="1">
        <v>111</v>
      </c>
    </row>
    <row r="67" spans="1:16" x14ac:dyDescent="0.25">
      <c r="A67" s="1">
        <v>685</v>
      </c>
      <c r="B67" s="2">
        <v>40574</v>
      </c>
      <c r="C67" s="1">
        <v>1</v>
      </c>
      <c r="D67" s="1">
        <v>0</v>
      </c>
      <c r="E67" s="1">
        <v>1</v>
      </c>
      <c r="F67" s="1">
        <v>20</v>
      </c>
      <c r="G67" s="1" t="b">
        <v>0</v>
      </c>
      <c r="H67" s="1">
        <v>1</v>
      </c>
      <c r="I67" s="1">
        <v>3</v>
      </c>
      <c r="J67" s="1">
        <v>0.16</v>
      </c>
      <c r="K67" s="1">
        <v>0.16669999999999999</v>
      </c>
      <c r="L67" s="1">
        <v>0.59</v>
      </c>
      <c r="M67" s="1">
        <v>0.16420000000000001</v>
      </c>
      <c r="N67" s="1">
        <v>0</v>
      </c>
      <c r="O67" s="1">
        <v>78</v>
      </c>
      <c r="P67" s="1">
        <v>78</v>
      </c>
    </row>
    <row r="68" spans="1:16" x14ac:dyDescent="0.25">
      <c r="A68" s="1">
        <v>686</v>
      </c>
      <c r="B68" s="2">
        <v>40574</v>
      </c>
      <c r="C68" s="1">
        <v>1</v>
      </c>
      <c r="D68" s="1">
        <v>0</v>
      </c>
      <c r="E68" s="1">
        <v>1</v>
      </c>
      <c r="F68" s="1">
        <v>21</v>
      </c>
      <c r="G68" s="1" t="b">
        <v>0</v>
      </c>
      <c r="H68" s="1">
        <v>1</v>
      </c>
      <c r="I68" s="1">
        <v>3</v>
      </c>
      <c r="J68" s="1">
        <v>0.16</v>
      </c>
      <c r="K68" s="1">
        <v>0.19700000000000001</v>
      </c>
      <c r="L68" s="1">
        <v>0.59</v>
      </c>
      <c r="M68" s="1">
        <v>8.9599999999999999E-2</v>
      </c>
      <c r="N68" s="1">
        <v>3</v>
      </c>
      <c r="O68" s="1">
        <v>53</v>
      </c>
      <c r="P68" s="1">
        <v>56</v>
      </c>
    </row>
    <row r="69" spans="1:16" x14ac:dyDescent="0.25">
      <c r="A69" s="1">
        <v>687</v>
      </c>
      <c r="B69" s="2">
        <v>40574</v>
      </c>
      <c r="C69" s="1">
        <v>1</v>
      </c>
      <c r="D69" s="1">
        <v>0</v>
      </c>
      <c r="E69" s="1">
        <v>1</v>
      </c>
      <c r="F69" s="1">
        <v>22</v>
      </c>
      <c r="G69" s="1" t="b">
        <v>0</v>
      </c>
      <c r="H69" s="1">
        <v>1</v>
      </c>
      <c r="I69" s="1">
        <v>2</v>
      </c>
      <c r="J69" s="1">
        <v>0.16</v>
      </c>
      <c r="K69" s="1">
        <v>0.18179999999999999</v>
      </c>
      <c r="L69" s="1">
        <v>0.59</v>
      </c>
      <c r="M69" s="1">
        <v>0.1045</v>
      </c>
      <c r="N69" s="1">
        <v>0</v>
      </c>
      <c r="O69" s="1">
        <v>34</v>
      </c>
      <c r="P69" s="1">
        <v>34</v>
      </c>
    </row>
    <row r="70" spans="1:16" x14ac:dyDescent="0.25">
      <c r="A70" s="1">
        <v>688</v>
      </c>
      <c r="B70" s="2">
        <v>40574</v>
      </c>
      <c r="C70" s="1">
        <v>1</v>
      </c>
      <c r="D70" s="1">
        <v>0</v>
      </c>
      <c r="E70" s="1">
        <v>1</v>
      </c>
      <c r="F70" s="1">
        <v>23</v>
      </c>
      <c r="G70" s="1" t="b">
        <v>0</v>
      </c>
      <c r="H70" s="1">
        <v>1</v>
      </c>
      <c r="I70" s="1">
        <v>2</v>
      </c>
      <c r="J70" s="1">
        <v>0.16</v>
      </c>
      <c r="K70" s="1">
        <v>0.19700000000000001</v>
      </c>
      <c r="L70" s="1">
        <v>0.64</v>
      </c>
      <c r="M70" s="1">
        <v>8.9599999999999999E-2</v>
      </c>
      <c r="N70" s="1">
        <v>2</v>
      </c>
      <c r="O70" s="1">
        <v>15</v>
      </c>
      <c r="P70" s="1">
        <v>17</v>
      </c>
    </row>
    <row r="71" spans="1:16" x14ac:dyDescent="0.25">
      <c r="A71" s="1">
        <v>689</v>
      </c>
      <c r="B71" s="2">
        <v>40575</v>
      </c>
      <c r="C71" s="1">
        <v>1</v>
      </c>
      <c r="D71" s="1">
        <v>0</v>
      </c>
      <c r="E71" s="1">
        <v>2</v>
      </c>
      <c r="F71" s="1">
        <v>0</v>
      </c>
      <c r="G71" s="1" t="b">
        <v>0</v>
      </c>
      <c r="H71" s="1">
        <v>2</v>
      </c>
      <c r="I71" s="1">
        <v>2</v>
      </c>
      <c r="J71" s="1">
        <v>0.16</v>
      </c>
      <c r="K71" s="1">
        <v>0.18179999999999999</v>
      </c>
      <c r="L71" s="1">
        <v>0.64</v>
      </c>
      <c r="M71" s="1">
        <v>0.1045</v>
      </c>
      <c r="N71" s="1">
        <v>2</v>
      </c>
      <c r="O71" s="1">
        <v>6</v>
      </c>
      <c r="P71" s="1">
        <v>8</v>
      </c>
    </row>
    <row r="72" spans="1:16" x14ac:dyDescent="0.25">
      <c r="A72" s="1">
        <v>690</v>
      </c>
      <c r="B72" s="2">
        <v>40575</v>
      </c>
      <c r="C72" s="1">
        <v>1</v>
      </c>
      <c r="D72" s="1">
        <v>0</v>
      </c>
      <c r="E72" s="1">
        <v>2</v>
      </c>
      <c r="F72" s="1">
        <v>1</v>
      </c>
      <c r="G72" s="1" t="b">
        <v>0</v>
      </c>
      <c r="H72" s="1">
        <v>2</v>
      </c>
      <c r="I72" s="1">
        <v>2</v>
      </c>
      <c r="J72" s="1">
        <v>0.16</v>
      </c>
      <c r="K72" s="1">
        <v>0.18179999999999999</v>
      </c>
      <c r="L72" s="1">
        <v>0.69</v>
      </c>
      <c r="M72" s="1">
        <v>0.1045</v>
      </c>
      <c r="N72" s="1">
        <v>0</v>
      </c>
      <c r="O72" s="1">
        <v>3</v>
      </c>
      <c r="P72" s="1">
        <v>3</v>
      </c>
    </row>
    <row r="73" spans="1:16" x14ac:dyDescent="0.25">
      <c r="A73" s="1">
        <v>691</v>
      </c>
      <c r="B73" s="2">
        <v>40575</v>
      </c>
      <c r="C73" s="1">
        <v>1</v>
      </c>
      <c r="D73" s="1">
        <v>0</v>
      </c>
      <c r="E73" s="1">
        <v>2</v>
      </c>
      <c r="F73" s="1">
        <v>2</v>
      </c>
      <c r="G73" s="1" t="b">
        <v>0</v>
      </c>
      <c r="H73" s="1">
        <v>2</v>
      </c>
      <c r="I73" s="1">
        <v>2</v>
      </c>
      <c r="J73" s="1">
        <v>0.16</v>
      </c>
      <c r="K73" s="1">
        <v>0.2273</v>
      </c>
      <c r="L73" s="1">
        <v>0.69</v>
      </c>
      <c r="M73" s="1">
        <v>0</v>
      </c>
      <c r="N73" s="1">
        <v>0</v>
      </c>
      <c r="O73" s="1">
        <v>2</v>
      </c>
      <c r="P73" s="1">
        <v>2</v>
      </c>
    </row>
    <row r="74" spans="1:16" x14ac:dyDescent="0.25">
      <c r="A74" s="1">
        <v>692</v>
      </c>
      <c r="B74" s="2">
        <v>40575</v>
      </c>
      <c r="C74" s="1">
        <v>1</v>
      </c>
      <c r="D74" s="1">
        <v>0</v>
      </c>
      <c r="E74" s="1">
        <v>2</v>
      </c>
      <c r="F74" s="1">
        <v>3</v>
      </c>
      <c r="G74" s="1" t="b">
        <v>0</v>
      </c>
      <c r="H74" s="1">
        <v>2</v>
      </c>
      <c r="I74" s="1">
        <v>2</v>
      </c>
      <c r="J74" s="1">
        <v>0.16</v>
      </c>
      <c r="K74" s="1">
        <v>0.2273</v>
      </c>
      <c r="L74" s="1">
        <v>0.69</v>
      </c>
      <c r="M74" s="1">
        <v>0</v>
      </c>
      <c r="N74" s="1">
        <v>0</v>
      </c>
      <c r="O74" s="1">
        <v>2</v>
      </c>
      <c r="P74" s="1">
        <v>2</v>
      </c>
    </row>
    <row r="75" spans="1:16" x14ac:dyDescent="0.25">
      <c r="A75" s="1">
        <v>693</v>
      </c>
      <c r="B75" s="2">
        <v>40575</v>
      </c>
      <c r="C75" s="1">
        <v>1</v>
      </c>
      <c r="D75" s="1">
        <v>0</v>
      </c>
      <c r="E75" s="1">
        <v>2</v>
      </c>
      <c r="F75" s="1">
        <v>5</v>
      </c>
      <c r="G75" s="1" t="b">
        <v>0</v>
      </c>
      <c r="H75" s="1">
        <v>2</v>
      </c>
      <c r="I75" s="1">
        <v>3</v>
      </c>
      <c r="J75" s="1">
        <v>0.14000000000000001</v>
      </c>
      <c r="K75" s="1">
        <v>0.21210000000000001</v>
      </c>
      <c r="L75" s="1">
        <v>0.93</v>
      </c>
      <c r="M75" s="1">
        <v>0</v>
      </c>
      <c r="N75" s="1">
        <v>0</v>
      </c>
      <c r="O75" s="1">
        <v>3</v>
      </c>
      <c r="P75" s="1">
        <v>3</v>
      </c>
    </row>
    <row r="76" spans="1:16" x14ac:dyDescent="0.25">
      <c r="A76" s="1">
        <v>694</v>
      </c>
      <c r="B76" s="2">
        <v>40575</v>
      </c>
      <c r="C76" s="1">
        <v>1</v>
      </c>
      <c r="D76" s="1">
        <v>0</v>
      </c>
      <c r="E76" s="1">
        <v>2</v>
      </c>
      <c r="F76" s="1">
        <v>6</v>
      </c>
      <c r="G76" s="1" t="b">
        <v>0</v>
      </c>
      <c r="H76" s="1">
        <v>2</v>
      </c>
      <c r="I76" s="1">
        <v>3</v>
      </c>
      <c r="J76" s="1">
        <v>0.14000000000000001</v>
      </c>
      <c r="K76" s="1">
        <v>0.21210000000000001</v>
      </c>
      <c r="L76" s="1">
        <v>0.93</v>
      </c>
      <c r="M76" s="1">
        <v>0</v>
      </c>
      <c r="N76" s="1">
        <v>0</v>
      </c>
      <c r="O76" s="1">
        <v>22</v>
      </c>
      <c r="P76" s="1">
        <v>22</v>
      </c>
    </row>
    <row r="77" spans="1:16" x14ac:dyDescent="0.25">
      <c r="A77" s="1">
        <v>695</v>
      </c>
      <c r="B77" s="2">
        <v>40575</v>
      </c>
      <c r="C77" s="1">
        <v>1</v>
      </c>
      <c r="D77" s="1">
        <v>0</v>
      </c>
      <c r="E77" s="1">
        <v>2</v>
      </c>
      <c r="F77" s="1">
        <v>7</v>
      </c>
      <c r="G77" s="1" t="b">
        <v>0</v>
      </c>
      <c r="H77" s="1">
        <v>2</v>
      </c>
      <c r="I77" s="1">
        <v>3</v>
      </c>
      <c r="J77" s="1">
        <v>0.16</v>
      </c>
      <c r="K77" s="1">
        <v>0.2273</v>
      </c>
      <c r="L77" s="1">
        <v>0.93</v>
      </c>
      <c r="M77" s="1">
        <v>0</v>
      </c>
      <c r="N77" s="1">
        <v>0</v>
      </c>
      <c r="O77" s="1">
        <v>52</v>
      </c>
      <c r="P77" s="1">
        <v>52</v>
      </c>
    </row>
    <row r="78" spans="1:16" x14ac:dyDescent="0.25">
      <c r="A78" s="1">
        <v>696</v>
      </c>
      <c r="B78" s="2">
        <v>40575</v>
      </c>
      <c r="C78" s="1">
        <v>1</v>
      </c>
      <c r="D78" s="1">
        <v>0</v>
      </c>
      <c r="E78" s="1">
        <v>2</v>
      </c>
      <c r="F78" s="1">
        <v>8</v>
      </c>
      <c r="G78" s="1" t="b">
        <v>0</v>
      </c>
      <c r="H78" s="1">
        <v>2</v>
      </c>
      <c r="I78" s="1">
        <v>3</v>
      </c>
      <c r="J78" s="1">
        <v>0.16</v>
      </c>
      <c r="K78" s="1">
        <v>0.2273</v>
      </c>
      <c r="L78" s="1">
        <v>0.93</v>
      </c>
      <c r="M78" s="1">
        <v>0</v>
      </c>
      <c r="N78" s="1">
        <v>3</v>
      </c>
      <c r="O78" s="1">
        <v>132</v>
      </c>
      <c r="P78" s="1">
        <v>135</v>
      </c>
    </row>
    <row r="79" spans="1:16" x14ac:dyDescent="0.25">
      <c r="A79" s="1">
        <v>697</v>
      </c>
      <c r="B79" s="2">
        <v>40575</v>
      </c>
      <c r="C79" s="1">
        <v>1</v>
      </c>
      <c r="D79" s="1">
        <v>0</v>
      </c>
      <c r="E79" s="1">
        <v>2</v>
      </c>
      <c r="F79" s="1">
        <v>9</v>
      </c>
      <c r="G79" s="1" t="b">
        <v>0</v>
      </c>
      <c r="H79" s="1">
        <v>2</v>
      </c>
      <c r="I79" s="1">
        <v>2</v>
      </c>
      <c r="J79" s="1">
        <v>0.16</v>
      </c>
      <c r="K79" s="1">
        <v>0.2273</v>
      </c>
      <c r="L79" s="1">
        <v>0.93</v>
      </c>
      <c r="M79" s="1">
        <v>0</v>
      </c>
      <c r="N79" s="1">
        <v>2</v>
      </c>
      <c r="O79" s="1">
        <v>114</v>
      </c>
      <c r="P79" s="1">
        <v>116</v>
      </c>
    </row>
    <row r="80" spans="1:16" x14ac:dyDescent="0.25">
      <c r="A80" s="1">
        <v>698</v>
      </c>
      <c r="B80" s="2">
        <v>40575</v>
      </c>
      <c r="C80" s="1">
        <v>1</v>
      </c>
      <c r="D80" s="1">
        <v>0</v>
      </c>
      <c r="E80" s="1">
        <v>2</v>
      </c>
      <c r="F80" s="1">
        <v>10</v>
      </c>
      <c r="G80" s="1" t="b">
        <v>0</v>
      </c>
      <c r="H80" s="1">
        <v>2</v>
      </c>
      <c r="I80" s="1">
        <v>2</v>
      </c>
      <c r="J80" s="1">
        <v>0.16</v>
      </c>
      <c r="K80" s="1">
        <v>0.2273</v>
      </c>
      <c r="L80" s="1">
        <v>0.93</v>
      </c>
      <c r="M80" s="1">
        <v>0</v>
      </c>
      <c r="N80" s="1">
        <v>0</v>
      </c>
      <c r="O80" s="1">
        <v>47</v>
      </c>
      <c r="P80" s="1">
        <v>47</v>
      </c>
    </row>
    <row r="81" spans="1:16" x14ac:dyDescent="0.25">
      <c r="A81" s="1">
        <v>699</v>
      </c>
      <c r="B81" s="2">
        <v>40575</v>
      </c>
      <c r="C81" s="1">
        <v>1</v>
      </c>
      <c r="D81" s="1">
        <v>0</v>
      </c>
      <c r="E81" s="1">
        <v>2</v>
      </c>
      <c r="F81" s="1">
        <v>11</v>
      </c>
      <c r="G81" s="1" t="b">
        <v>0</v>
      </c>
      <c r="H81" s="1">
        <v>2</v>
      </c>
      <c r="I81" s="1">
        <v>2</v>
      </c>
      <c r="J81" s="1">
        <v>0.18</v>
      </c>
      <c r="K81" s="1">
        <v>0.2424</v>
      </c>
      <c r="L81" s="1">
        <v>0.86</v>
      </c>
      <c r="M81" s="1">
        <v>0</v>
      </c>
      <c r="N81" s="1">
        <v>2</v>
      </c>
      <c r="O81" s="1">
        <v>49</v>
      </c>
      <c r="P81" s="1">
        <v>51</v>
      </c>
    </row>
    <row r="82" spans="1:16" x14ac:dyDescent="0.25">
      <c r="A82" s="1">
        <v>700</v>
      </c>
      <c r="B82" s="2">
        <v>40575</v>
      </c>
      <c r="C82" s="1">
        <v>1</v>
      </c>
      <c r="D82" s="1">
        <v>0</v>
      </c>
      <c r="E82" s="1">
        <v>2</v>
      </c>
      <c r="F82" s="1">
        <v>12</v>
      </c>
      <c r="G82" s="1" t="b">
        <v>0</v>
      </c>
      <c r="H82" s="1">
        <v>2</v>
      </c>
      <c r="I82" s="1">
        <v>2</v>
      </c>
      <c r="J82" s="1">
        <v>0.2</v>
      </c>
      <c r="K82" s="1">
        <v>0.2576</v>
      </c>
      <c r="L82" s="1">
        <v>0.86</v>
      </c>
      <c r="M82" s="1">
        <v>0</v>
      </c>
      <c r="N82" s="1">
        <v>2</v>
      </c>
      <c r="O82" s="1">
        <v>53</v>
      </c>
      <c r="P82" s="1">
        <v>55</v>
      </c>
    </row>
    <row r="83" spans="1:16" x14ac:dyDescent="0.25">
      <c r="A83" s="1">
        <v>701</v>
      </c>
      <c r="B83" s="2">
        <v>40575</v>
      </c>
      <c r="C83" s="1">
        <v>1</v>
      </c>
      <c r="D83" s="1">
        <v>0</v>
      </c>
      <c r="E83" s="1">
        <v>2</v>
      </c>
      <c r="F83" s="1">
        <v>13</v>
      </c>
      <c r="G83" s="1" t="b">
        <v>0</v>
      </c>
      <c r="H83" s="1">
        <v>2</v>
      </c>
      <c r="I83" s="1">
        <v>2</v>
      </c>
      <c r="J83" s="1">
        <v>0.2</v>
      </c>
      <c r="K83" s="1">
        <v>0.2576</v>
      </c>
      <c r="L83" s="1">
        <v>0.86</v>
      </c>
      <c r="M83" s="1">
        <v>0</v>
      </c>
      <c r="N83" s="1">
        <v>3</v>
      </c>
      <c r="O83" s="1">
        <v>49</v>
      </c>
      <c r="P83" s="1">
        <v>52</v>
      </c>
    </row>
    <row r="84" spans="1:16" x14ac:dyDescent="0.25">
      <c r="A84" s="1">
        <v>702</v>
      </c>
      <c r="B84" s="2">
        <v>40575</v>
      </c>
      <c r="C84" s="1">
        <v>1</v>
      </c>
      <c r="D84" s="1">
        <v>0</v>
      </c>
      <c r="E84" s="1">
        <v>2</v>
      </c>
      <c r="F84" s="1">
        <v>14</v>
      </c>
      <c r="G84" s="1" t="b">
        <v>0</v>
      </c>
      <c r="H84" s="1">
        <v>2</v>
      </c>
      <c r="I84" s="1">
        <v>2</v>
      </c>
      <c r="J84" s="1">
        <v>0.22</v>
      </c>
      <c r="K84" s="1">
        <v>0.2576</v>
      </c>
      <c r="L84" s="1">
        <v>0.8</v>
      </c>
      <c r="M84" s="1">
        <v>8.9599999999999999E-2</v>
      </c>
      <c r="N84" s="1">
        <v>5</v>
      </c>
      <c r="O84" s="1">
        <v>49</v>
      </c>
      <c r="P84" s="1">
        <v>54</v>
      </c>
    </row>
    <row r="85" spans="1:16" x14ac:dyDescent="0.25">
      <c r="A85" s="1">
        <v>703</v>
      </c>
      <c r="B85" s="2">
        <v>40575</v>
      </c>
      <c r="C85" s="1">
        <v>1</v>
      </c>
      <c r="D85" s="1">
        <v>0</v>
      </c>
      <c r="E85" s="1">
        <v>2</v>
      </c>
      <c r="F85" s="1">
        <v>15</v>
      </c>
      <c r="G85" s="1" t="b">
        <v>0</v>
      </c>
      <c r="H85" s="1">
        <v>2</v>
      </c>
      <c r="I85" s="1">
        <v>2</v>
      </c>
      <c r="J85" s="1">
        <v>0.24</v>
      </c>
      <c r="K85" s="1">
        <v>0.28789999999999999</v>
      </c>
      <c r="L85" s="1">
        <v>0.75</v>
      </c>
      <c r="M85" s="1">
        <v>0</v>
      </c>
      <c r="N85" s="1">
        <v>7</v>
      </c>
      <c r="O85" s="1">
        <v>45</v>
      </c>
      <c r="P85" s="1">
        <v>52</v>
      </c>
    </row>
    <row r="86" spans="1:16" x14ac:dyDescent="0.25">
      <c r="A86" s="1">
        <v>704</v>
      </c>
      <c r="B86" s="2">
        <v>40575</v>
      </c>
      <c r="C86" s="1">
        <v>1</v>
      </c>
      <c r="D86" s="1">
        <v>0</v>
      </c>
      <c r="E86" s="1">
        <v>2</v>
      </c>
      <c r="F86" s="1">
        <v>16</v>
      </c>
      <c r="G86" s="1" t="b">
        <v>0</v>
      </c>
      <c r="H86" s="1">
        <v>2</v>
      </c>
      <c r="I86" s="1">
        <v>2</v>
      </c>
      <c r="J86" s="1">
        <v>0.24</v>
      </c>
      <c r="K86" s="1">
        <v>0.2424</v>
      </c>
      <c r="L86" s="1">
        <v>0.75</v>
      </c>
      <c r="M86" s="1">
        <v>0.1343</v>
      </c>
      <c r="N86" s="1">
        <v>3</v>
      </c>
      <c r="O86" s="1">
        <v>61</v>
      </c>
      <c r="P86" s="1">
        <v>64</v>
      </c>
    </row>
    <row r="87" spans="1:16" x14ac:dyDescent="0.25">
      <c r="A87" s="1">
        <v>705</v>
      </c>
      <c r="B87" s="2">
        <v>40575</v>
      </c>
      <c r="C87" s="1">
        <v>1</v>
      </c>
      <c r="D87" s="1">
        <v>0</v>
      </c>
      <c r="E87" s="1">
        <v>2</v>
      </c>
      <c r="F87" s="1">
        <v>17</v>
      </c>
      <c r="G87" s="1" t="b">
        <v>0</v>
      </c>
      <c r="H87" s="1">
        <v>2</v>
      </c>
      <c r="I87" s="1">
        <v>2</v>
      </c>
      <c r="J87" s="1">
        <v>0.24</v>
      </c>
      <c r="K87" s="1">
        <v>0.28789999999999999</v>
      </c>
      <c r="L87" s="1">
        <v>0.75</v>
      </c>
      <c r="M87" s="1">
        <v>0</v>
      </c>
      <c r="N87" s="1">
        <v>4</v>
      </c>
      <c r="O87" s="1">
        <v>172</v>
      </c>
      <c r="P87" s="1">
        <v>176</v>
      </c>
    </row>
    <row r="88" spans="1:16" x14ac:dyDescent="0.25">
      <c r="A88" s="1">
        <v>706</v>
      </c>
      <c r="B88" s="2">
        <v>40575</v>
      </c>
      <c r="C88" s="1">
        <v>1</v>
      </c>
      <c r="D88" s="1">
        <v>0</v>
      </c>
      <c r="E88" s="1">
        <v>2</v>
      </c>
      <c r="F88" s="1">
        <v>18</v>
      </c>
      <c r="G88" s="1" t="b">
        <v>0</v>
      </c>
      <c r="H88" s="1">
        <v>2</v>
      </c>
      <c r="I88" s="1">
        <v>2</v>
      </c>
      <c r="J88" s="1">
        <v>0.24</v>
      </c>
      <c r="K88" s="1">
        <v>0.2576</v>
      </c>
      <c r="L88" s="1">
        <v>0.81</v>
      </c>
      <c r="M88" s="1">
        <v>0.1045</v>
      </c>
      <c r="N88" s="1">
        <v>3</v>
      </c>
      <c r="O88" s="1">
        <v>165</v>
      </c>
      <c r="P88" s="1">
        <v>168</v>
      </c>
    </row>
    <row r="89" spans="1:16" x14ac:dyDescent="0.25">
      <c r="A89" s="1">
        <v>707</v>
      </c>
      <c r="B89" s="2">
        <v>40575</v>
      </c>
      <c r="C89" s="1">
        <v>1</v>
      </c>
      <c r="D89" s="1">
        <v>0</v>
      </c>
      <c r="E89" s="1">
        <v>2</v>
      </c>
      <c r="F89" s="1">
        <v>19</v>
      </c>
      <c r="G89" s="1" t="b">
        <v>0</v>
      </c>
      <c r="H89" s="1">
        <v>2</v>
      </c>
      <c r="I89" s="1">
        <v>2</v>
      </c>
      <c r="J89" s="1">
        <v>0.24</v>
      </c>
      <c r="K89" s="1">
        <v>0.2424</v>
      </c>
      <c r="L89" s="1">
        <v>0.81</v>
      </c>
      <c r="M89" s="1">
        <v>0.1343</v>
      </c>
      <c r="N89" s="1">
        <v>3</v>
      </c>
      <c r="O89" s="1">
        <v>105</v>
      </c>
      <c r="P89" s="1">
        <v>108</v>
      </c>
    </row>
    <row r="90" spans="1:16" x14ac:dyDescent="0.25">
      <c r="A90" s="1">
        <v>708</v>
      </c>
      <c r="B90" s="2">
        <v>40575</v>
      </c>
      <c r="C90" s="1">
        <v>1</v>
      </c>
      <c r="D90" s="1">
        <v>0</v>
      </c>
      <c r="E90" s="1">
        <v>2</v>
      </c>
      <c r="F90" s="1">
        <v>20</v>
      </c>
      <c r="G90" s="1" t="b">
        <v>0</v>
      </c>
      <c r="H90" s="1">
        <v>2</v>
      </c>
      <c r="I90" s="1">
        <v>2</v>
      </c>
      <c r="J90" s="1">
        <v>0.22</v>
      </c>
      <c r="K90" s="1">
        <v>0.2273</v>
      </c>
      <c r="L90" s="1">
        <v>0.87</v>
      </c>
      <c r="M90" s="1">
        <v>0.1343</v>
      </c>
      <c r="N90" s="1">
        <v>5</v>
      </c>
      <c r="O90" s="1">
        <v>69</v>
      </c>
      <c r="P90" s="1">
        <v>74</v>
      </c>
    </row>
    <row r="91" spans="1:16" x14ac:dyDescent="0.25">
      <c r="A91" s="1">
        <v>709</v>
      </c>
      <c r="B91" s="2">
        <v>40575</v>
      </c>
      <c r="C91" s="1">
        <v>1</v>
      </c>
      <c r="D91" s="1">
        <v>0</v>
      </c>
      <c r="E91" s="1">
        <v>2</v>
      </c>
      <c r="F91" s="1">
        <v>21</v>
      </c>
      <c r="G91" s="1" t="b">
        <v>0</v>
      </c>
      <c r="H91" s="1">
        <v>2</v>
      </c>
      <c r="I91" s="1">
        <v>2</v>
      </c>
      <c r="J91" s="1">
        <v>0.22</v>
      </c>
      <c r="K91" s="1">
        <v>0.2273</v>
      </c>
      <c r="L91" s="1">
        <v>0.87</v>
      </c>
      <c r="M91" s="1">
        <v>0.1343</v>
      </c>
      <c r="N91" s="1">
        <v>0</v>
      </c>
      <c r="O91" s="1">
        <v>64</v>
      </c>
      <c r="P91" s="1">
        <v>64</v>
      </c>
    </row>
    <row r="92" spans="1:16" x14ac:dyDescent="0.25">
      <c r="A92" s="1">
        <v>710</v>
      </c>
      <c r="B92" s="2">
        <v>40575</v>
      </c>
      <c r="C92" s="1">
        <v>1</v>
      </c>
      <c r="D92" s="1">
        <v>0</v>
      </c>
      <c r="E92" s="1">
        <v>2</v>
      </c>
      <c r="F92" s="1">
        <v>22</v>
      </c>
      <c r="G92" s="1" t="b">
        <v>0</v>
      </c>
      <c r="H92" s="1">
        <v>2</v>
      </c>
      <c r="I92" s="1">
        <v>2</v>
      </c>
      <c r="J92" s="1">
        <v>0.22</v>
      </c>
      <c r="K92" s="1">
        <v>0.2576</v>
      </c>
      <c r="L92" s="1">
        <v>0.87</v>
      </c>
      <c r="M92" s="1">
        <v>8.9599999999999999E-2</v>
      </c>
      <c r="N92" s="1">
        <v>2</v>
      </c>
      <c r="O92" s="1">
        <v>34</v>
      </c>
      <c r="P92" s="1">
        <v>36</v>
      </c>
    </row>
    <row r="93" spans="1:16" x14ac:dyDescent="0.25">
      <c r="A93" s="1">
        <v>711</v>
      </c>
      <c r="B93" s="2">
        <v>40575</v>
      </c>
      <c r="C93" s="1">
        <v>1</v>
      </c>
      <c r="D93" s="1">
        <v>0</v>
      </c>
      <c r="E93" s="1">
        <v>2</v>
      </c>
      <c r="F93" s="1">
        <v>23</v>
      </c>
      <c r="G93" s="1" t="b">
        <v>0</v>
      </c>
      <c r="H93" s="1">
        <v>2</v>
      </c>
      <c r="I93" s="1">
        <v>3</v>
      </c>
      <c r="J93" s="1">
        <v>0.2</v>
      </c>
      <c r="K93" s="1">
        <v>0.19700000000000001</v>
      </c>
      <c r="L93" s="1">
        <v>0.93</v>
      </c>
      <c r="M93" s="1">
        <v>0.19400000000000001</v>
      </c>
      <c r="N93" s="1">
        <v>1</v>
      </c>
      <c r="O93" s="1">
        <v>15</v>
      </c>
      <c r="P93" s="1">
        <v>16</v>
      </c>
    </row>
    <row r="94" spans="1:16" x14ac:dyDescent="0.25">
      <c r="A94" s="1">
        <v>712</v>
      </c>
      <c r="B94" s="2">
        <v>40576</v>
      </c>
      <c r="C94" s="1">
        <v>1</v>
      </c>
      <c r="D94" s="1">
        <v>0</v>
      </c>
      <c r="E94" s="1">
        <v>2</v>
      </c>
      <c r="F94" s="1">
        <v>0</v>
      </c>
      <c r="G94" s="1" t="b">
        <v>0</v>
      </c>
      <c r="H94" s="1">
        <v>3</v>
      </c>
      <c r="I94" s="1">
        <v>3</v>
      </c>
      <c r="J94" s="1">
        <v>0.22</v>
      </c>
      <c r="K94" s="1">
        <v>0.2424</v>
      </c>
      <c r="L94" s="1">
        <v>0.93</v>
      </c>
      <c r="M94" s="1">
        <v>0.1045</v>
      </c>
      <c r="N94" s="1">
        <v>0</v>
      </c>
      <c r="O94" s="1">
        <v>2</v>
      </c>
      <c r="P94" s="1">
        <v>2</v>
      </c>
    </row>
    <row r="95" spans="1:16" x14ac:dyDescent="0.25">
      <c r="A95" s="1">
        <v>713</v>
      </c>
      <c r="B95" s="2">
        <v>40576</v>
      </c>
      <c r="C95" s="1">
        <v>1</v>
      </c>
      <c r="D95" s="1">
        <v>0</v>
      </c>
      <c r="E95" s="1">
        <v>2</v>
      </c>
      <c r="F95" s="1">
        <v>1</v>
      </c>
      <c r="G95" s="1" t="b">
        <v>0</v>
      </c>
      <c r="H95" s="1">
        <v>3</v>
      </c>
      <c r="I95" s="1">
        <v>3</v>
      </c>
      <c r="J95" s="1">
        <v>0.22</v>
      </c>
      <c r="K95" s="1">
        <v>0.2273</v>
      </c>
      <c r="L95" s="1">
        <v>0.93</v>
      </c>
      <c r="M95" s="1">
        <v>0.19400000000000001</v>
      </c>
      <c r="N95" s="1">
        <v>0</v>
      </c>
      <c r="O95" s="1">
        <v>3</v>
      </c>
      <c r="P95" s="1">
        <v>3</v>
      </c>
    </row>
    <row r="96" spans="1:16" x14ac:dyDescent="0.25">
      <c r="A96" s="1">
        <v>714</v>
      </c>
      <c r="B96" s="2">
        <v>40576</v>
      </c>
      <c r="C96" s="1">
        <v>1</v>
      </c>
      <c r="D96" s="1">
        <v>0</v>
      </c>
      <c r="E96" s="1">
        <v>2</v>
      </c>
      <c r="F96" s="1">
        <v>2</v>
      </c>
      <c r="G96" s="1" t="b">
        <v>0</v>
      </c>
      <c r="H96" s="1">
        <v>3</v>
      </c>
      <c r="I96" s="1">
        <v>3</v>
      </c>
      <c r="J96" s="1">
        <v>0.22</v>
      </c>
      <c r="K96" s="1">
        <v>0.2273</v>
      </c>
      <c r="L96" s="1">
        <v>0.93</v>
      </c>
      <c r="M96" s="1">
        <v>0.1343</v>
      </c>
      <c r="N96" s="1">
        <v>4</v>
      </c>
      <c r="O96" s="1">
        <v>0</v>
      </c>
      <c r="P96" s="1">
        <v>4</v>
      </c>
    </row>
    <row r="97" spans="1:16" x14ac:dyDescent="0.25">
      <c r="A97" s="1">
        <v>715</v>
      </c>
      <c r="B97" s="2">
        <v>40576</v>
      </c>
      <c r="C97" s="1">
        <v>1</v>
      </c>
      <c r="D97" s="1">
        <v>0</v>
      </c>
      <c r="E97" s="1">
        <v>2</v>
      </c>
      <c r="F97" s="1">
        <v>3</v>
      </c>
      <c r="G97" s="1" t="b">
        <v>0</v>
      </c>
      <c r="H97" s="1">
        <v>3</v>
      </c>
      <c r="I97" s="1">
        <v>3</v>
      </c>
      <c r="J97" s="1">
        <v>0.22</v>
      </c>
      <c r="K97" s="1">
        <v>0.2273</v>
      </c>
      <c r="L97" s="1">
        <v>0.93</v>
      </c>
      <c r="M97" s="1">
        <v>0.1343</v>
      </c>
      <c r="N97" s="1">
        <v>0</v>
      </c>
      <c r="O97" s="1">
        <v>1</v>
      </c>
      <c r="P97" s="1">
        <v>1</v>
      </c>
    </row>
    <row r="98" spans="1:16" x14ac:dyDescent="0.25">
      <c r="A98" s="1">
        <v>716</v>
      </c>
      <c r="B98" s="2">
        <v>40576</v>
      </c>
      <c r="C98" s="1">
        <v>1</v>
      </c>
      <c r="D98" s="1">
        <v>0</v>
      </c>
      <c r="E98" s="1">
        <v>2</v>
      </c>
      <c r="F98" s="1">
        <v>4</v>
      </c>
      <c r="G98" s="1" t="b">
        <v>0</v>
      </c>
      <c r="H98" s="1">
        <v>3</v>
      </c>
      <c r="I98" s="1">
        <v>3</v>
      </c>
      <c r="J98" s="1">
        <v>0.22</v>
      </c>
      <c r="K98" s="1">
        <v>0.21210000000000001</v>
      </c>
      <c r="L98" s="1">
        <v>0.93</v>
      </c>
      <c r="M98" s="1">
        <v>0.28360000000000002</v>
      </c>
      <c r="N98" s="1">
        <v>0</v>
      </c>
      <c r="O98" s="1">
        <v>1</v>
      </c>
      <c r="P98" s="1">
        <v>1</v>
      </c>
    </row>
    <row r="99" spans="1:16" x14ac:dyDescent="0.25">
      <c r="A99" s="1">
        <v>717</v>
      </c>
      <c r="B99" s="2">
        <v>40576</v>
      </c>
      <c r="C99" s="1">
        <v>1</v>
      </c>
      <c r="D99" s="1">
        <v>0</v>
      </c>
      <c r="E99" s="1">
        <v>2</v>
      </c>
      <c r="F99" s="1">
        <v>5</v>
      </c>
      <c r="G99" s="1" t="b">
        <v>0</v>
      </c>
      <c r="H99" s="1">
        <v>3</v>
      </c>
      <c r="I99" s="1">
        <v>3</v>
      </c>
      <c r="J99" s="1">
        <v>0.22</v>
      </c>
      <c r="K99" s="1">
        <v>0.2424</v>
      </c>
      <c r="L99" s="1">
        <v>0.93</v>
      </c>
      <c r="M99" s="1">
        <v>0.1045</v>
      </c>
      <c r="N99" s="1">
        <v>0</v>
      </c>
      <c r="O99" s="1">
        <v>3</v>
      </c>
      <c r="P99" s="1">
        <v>3</v>
      </c>
    </row>
    <row r="100" spans="1:16" x14ac:dyDescent="0.25">
      <c r="A100" s="1">
        <v>718</v>
      </c>
      <c r="B100" s="2">
        <v>40576</v>
      </c>
      <c r="C100" s="1">
        <v>1</v>
      </c>
      <c r="D100" s="1">
        <v>0</v>
      </c>
      <c r="E100" s="1">
        <v>2</v>
      </c>
      <c r="F100" s="1">
        <v>6</v>
      </c>
      <c r="G100" s="1" t="b">
        <v>0</v>
      </c>
      <c r="H100" s="1">
        <v>3</v>
      </c>
      <c r="I100" s="1">
        <v>3</v>
      </c>
      <c r="J100" s="1">
        <v>0.22</v>
      </c>
      <c r="K100" s="1">
        <v>0.2424</v>
      </c>
      <c r="L100" s="1">
        <v>0.93</v>
      </c>
      <c r="M100" s="1">
        <v>0.1045</v>
      </c>
      <c r="N100" s="1">
        <v>1</v>
      </c>
      <c r="O100" s="1">
        <v>17</v>
      </c>
      <c r="P100" s="1">
        <v>18</v>
      </c>
    </row>
    <row r="101" spans="1:16" x14ac:dyDescent="0.25">
      <c r="A101" s="1">
        <v>719</v>
      </c>
      <c r="B101" s="2">
        <v>40576</v>
      </c>
      <c r="C101" s="1">
        <v>1</v>
      </c>
      <c r="D101" s="1">
        <v>0</v>
      </c>
      <c r="E101" s="1">
        <v>2</v>
      </c>
      <c r="F101" s="1">
        <v>7</v>
      </c>
      <c r="G101" s="1" t="b">
        <v>0</v>
      </c>
      <c r="H101" s="1">
        <v>3</v>
      </c>
      <c r="I101" s="1">
        <v>3</v>
      </c>
      <c r="J101" s="1">
        <v>0.22</v>
      </c>
      <c r="K101" s="1">
        <v>0.21210000000000001</v>
      </c>
      <c r="L101" s="1">
        <v>0.93</v>
      </c>
      <c r="M101" s="1">
        <v>0.22389999999999999</v>
      </c>
      <c r="N101" s="1">
        <v>1</v>
      </c>
      <c r="O101" s="1">
        <v>48</v>
      </c>
      <c r="P101" s="1">
        <v>49</v>
      </c>
    </row>
    <row r="102" spans="1:16" x14ac:dyDescent="0.25">
      <c r="A102" s="1">
        <v>720</v>
      </c>
      <c r="B102" s="2">
        <v>40576</v>
      </c>
      <c r="C102" s="1">
        <v>1</v>
      </c>
      <c r="D102" s="1">
        <v>0</v>
      </c>
      <c r="E102" s="1">
        <v>2</v>
      </c>
      <c r="F102" s="1">
        <v>8</v>
      </c>
      <c r="G102" s="1" t="b">
        <v>0</v>
      </c>
      <c r="H102" s="1">
        <v>3</v>
      </c>
      <c r="I102" s="1">
        <v>3</v>
      </c>
      <c r="J102" s="1">
        <v>0.22</v>
      </c>
      <c r="K102" s="1">
        <v>0.21210000000000001</v>
      </c>
      <c r="L102" s="1">
        <v>0.93</v>
      </c>
      <c r="M102" s="1">
        <v>0.22389999999999999</v>
      </c>
      <c r="N102" s="1">
        <v>1</v>
      </c>
      <c r="O102" s="1">
        <v>154</v>
      </c>
      <c r="P102" s="1">
        <v>155</v>
      </c>
    </row>
    <row r="103" spans="1:16" x14ac:dyDescent="0.25">
      <c r="A103" s="1">
        <v>721</v>
      </c>
      <c r="B103" s="2">
        <v>40576</v>
      </c>
      <c r="C103" s="1">
        <v>1</v>
      </c>
      <c r="D103" s="1">
        <v>0</v>
      </c>
      <c r="E103" s="1">
        <v>2</v>
      </c>
      <c r="F103" s="1">
        <v>9</v>
      </c>
      <c r="G103" s="1" t="b">
        <v>0</v>
      </c>
      <c r="H103" s="1">
        <v>3</v>
      </c>
      <c r="I103" s="1">
        <v>2</v>
      </c>
      <c r="J103" s="1">
        <v>0.24</v>
      </c>
      <c r="K103" s="1">
        <v>0.2576</v>
      </c>
      <c r="L103" s="1">
        <v>0.93</v>
      </c>
      <c r="M103" s="1">
        <v>8.9599999999999999E-2</v>
      </c>
      <c r="N103" s="1">
        <v>4</v>
      </c>
      <c r="O103" s="1">
        <v>119</v>
      </c>
      <c r="P103" s="1">
        <v>123</v>
      </c>
    </row>
    <row r="104" spans="1:16" x14ac:dyDescent="0.25">
      <c r="A104" s="1">
        <v>722</v>
      </c>
      <c r="B104" s="2">
        <v>40576</v>
      </c>
      <c r="C104" s="1">
        <v>1</v>
      </c>
      <c r="D104" s="1">
        <v>0</v>
      </c>
      <c r="E104" s="1">
        <v>2</v>
      </c>
      <c r="F104" s="1">
        <v>10</v>
      </c>
      <c r="G104" s="1" t="b">
        <v>0</v>
      </c>
      <c r="H104" s="1">
        <v>3</v>
      </c>
      <c r="I104" s="1">
        <v>2</v>
      </c>
      <c r="J104" s="1">
        <v>0.22</v>
      </c>
      <c r="K104" s="1">
        <v>0.2727</v>
      </c>
      <c r="L104" s="1">
        <v>1</v>
      </c>
      <c r="M104" s="1">
        <v>0</v>
      </c>
      <c r="N104" s="1">
        <v>2</v>
      </c>
      <c r="O104" s="1">
        <v>59</v>
      </c>
      <c r="P104" s="1">
        <v>61</v>
      </c>
    </row>
    <row r="105" spans="1:16" x14ac:dyDescent="0.25">
      <c r="A105" s="1">
        <v>723</v>
      </c>
      <c r="B105" s="2">
        <v>40576</v>
      </c>
      <c r="C105" s="1">
        <v>1</v>
      </c>
      <c r="D105" s="1">
        <v>0</v>
      </c>
      <c r="E105" s="1">
        <v>2</v>
      </c>
      <c r="F105" s="1">
        <v>11</v>
      </c>
      <c r="G105" s="1" t="b">
        <v>0</v>
      </c>
      <c r="H105" s="1">
        <v>3</v>
      </c>
      <c r="I105" s="1">
        <v>2</v>
      </c>
      <c r="J105" s="1">
        <v>0.24</v>
      </c>
      <c r="K105" s="1">
        <v>0.2273</v>
      </c>
      <c r="L105" s="1">
        <v>0.93</v>
      </c>
      <c r="M105" s="1">
        <v>0.19400000000000001</v>
      </c>
      <c r="N105" s="1">
        <v>5</v>
      </c>
      <c r="O105" s="1">
        <v>47</v>
      </c>
      <c r="P105" s="1">
        <v>52</v>
      </c>
    </row>
    <row r="106" spans="1:16" x14ac:dyDescent="0.25">
      <c r="A106" s="1">
        <v>724</v>
      </c>
      <c r="B106" s="2">
        <v>40576</v>
      </c>
      <c r="C106" s="1">
        <v>1</v>
      </c>
      <c r="D106" s="1">
        <v>0</v>
      </c>
      <c r="E106" s="1">
        <v>2</v>
      </c>
      <c r="F106" s="1">
        <v>12</v>
      </c>
      <c r="G106" s="1" t="b">
        <v>0</v>
      </c>
      <c r="H106" s="1">
        <v>3</v>
      </c>
      <c r="I106" s="1">
        <v>2</v>
      </c>
      <c r="J106" s="1">
        <v>0.24</v>
      </c>
      <c r="K106" s="1">
        <v>0.2273</v>
      </c>
      <c r="L106" s="1">
        <v>0.93</v>
      </c>
      <c r="M106" s="1">
        <v>0.22389999999999999</v>
      </c>
      <c r="N106" s="1">
        <v>3</v>
      </c>
      <c r="O106" s="1">
        <v>61</v>
      </c>
      <c r="P106" s="1">
        <v>64</v>
      </c>
    </row>
    <row r="107" spans="1:16" x14ac:dyDescent="0.25">
      <c r="A107" s="1">
        <v>725</v>
      </c>
      <c r="B107" s="2">
        <v>40576</v>
      </c>
      <c r="C107" s="1">
        <v>1</v>
      </c>
      <c r="D107" s="1">
        <v>0</v>
      </c>
      <c r="E107" s="1">
        <v>2</v>
      </c>
      <c r="F107" s="1">
        <v>13</v>
      </c>
      <c r="G107" s="1" t="b">
        <v>0</v>
      </c>
      <c r="H107" s="1">
        <v>3</v>
      </c>
      <c r="I107" s="1">
        <v>1</v>
      </c>
      <c r="J107" s="1">
        <v>0.34</v>
      </c>
      <c r="K107" s="1">
        <v>0.33329999999999999</v>
      </c>
      <c r="L107" s="1">
        <v>0.93</v>
      </c>
      <c r="M107" s="1">
        <v>0.16420000000000001</v>
      </c>
      <c r="N107" s="1">
        <v>1</v>
      </c>
      <c r="O107" s="1">
        <v>74</v>
      </c>
      <c r="P107" s="1">
        <v>75</v>
      </c>
    </row>
    <row r="108" spans="1:16" x14ac:dyDescent="0.25">
      <c r="A108" s="1">
        <v>726</v>
      </c>
      <c r="B108" s="2">
        <v>40576</v>
      </c>
      <c r="C108" s="1">
        <v>1</v>
      </c>
      <c r="D108" s="1">
        <v>0</v>
      </c>
      <c r="E108" s="1">
        <v>2</v>
      </c>
      <c r="F108" s="1">
        <v>14</v>
      </c>
      <c r="G108" s="1" t="b">
        <v>0</v>
      </c>
      <c r="H108" s="1">
        <v>3</v>
      </c>
      <c r="I108" s="1">
        <v>1</v>
      </c>
      <c r="J108" s="1">
        <v>0.38</v>
      </c>
      <c r="K108" s="1">
        <v>0.39389999999999997</v>
      </c>
      <c r="L108" s="1">
        <v>0.82</v>
      </c>
      <c r="M108" s="1">
        <v>0.3881</v>
      </c>
      <c r="N108" s="1">
        <v>2</v>
      </c>
      <c r="O108" s="1">
        <v>61</v>
      </c>
      <c r="P108" s="1">
        <v>63</v>
      </c>
    </row>
    <row r="109" spans="1:16" x14ac:dyDescent="0.25">
      <c r="A109" s="1">
        <v>727</v>
      </c>
      <c r="B109" s="2">
        <v>40576</v>
      </c>
      <c r="C109" s="1">
        <v>1</v>
      </c>
      <c r="D109" s="1">
        <v>0</v>
      </c>
      <c r="E109" s="1">
        <v>2</v>
      </c>
      <c r="F109" s="1">
        <v>15</v>
      </c>
      <c r="G109" s="1" t="b">
        <v>0</v>
      </c>
      <c r="H109" s="1">
        <v>3</v>
      </c>
      <c r="I109" s="1">
        <v>1</v>
      </c>
      <c r="J109" s="1">
        <v>0.38</v>
      </c>
      <c r="K109" s="1">
        <v>0.39389999999999997</v>
      </c>
      <c r="L109" s="1">
        <v>0.76</v>
      </c>
      <c r="M109" s="1">
        <v>0.32840000000000003</v>
      </c>
      <c r="N109" s="1">
        <v>10</v>
      </c>
      <c r="O109" s="1">
        <v>66</v>
      </c>
      <c r="P109" s="1">
        <v>76</v>
      </c>
    </row>
    <row r="110" spans="1:16" x14ac:dyDescent="0.25">
      <c r="A110" s="1">
        <v>728</v>
      </c>
      <c r="B110" s="2">
        <v>40576</v>
      </c>
      <c r="C110" s="1">
        <v>1</v>
      </c>
      <c r="D110" s="1">
        <v>0</v>
      </c>
      <c r="E110" s="1">
        <v>2</v>
      </c>
      <c r="F110" s="1">
        <v>16</v>
      </c>
      <c r="G110" s="1" t="b">
        <v>0</v>
      </c>
      <c r="H110" s="1">
        <v>3</v>
      </c>
      <c r="I110" s="1">
        <v>1</v>
      </c>
      <c r="J110" s="1">
        <v>0.36</v>
      </c>
      <c r="K110" s="1">
        <v>0.33329999999999999</v>
      </c>
      <c r="L110" s="1">
        <v>0.71</v>
      </c>
      <c r="M110" s="1">
        <v>0.29849999999999999</v>
      </c>
      <c r="N110" s="1">
        <v>8</v>
      </c>
      <c r="O110" s="1">
        <v>95</v>
      </c>
      <c r="P110" s="1">
        <v>103</v>
      </c>
    </row>
    <row r="111" spans="1:16" x14ac:dyDescent="0.25">
      <c r="A111" s="1">
        <v>729</v>
      </c>
      <c r="B111" s="2">
        <v>40576</v>
      </c>
      <c r="C111" s="1">
        <v>1</v>
      </c>
      <c r="D111" s="1">
        <v>0</v>
      </c>
      <c r="E111" s="1">
        <v>2</v>
      </c>
      <c r="F111" s="1">
        <v>17</v>
      </c>
      <c r="G111" s="1" t="b">
        <v>0</v>
      </c>
      <c r="H111" s="1">
        <v>3</v>
      </c>
      <c r="I111" s="1">
        <v>1</v>
      </c>
      <c r="J111" s="1">
        <v>0.36</v>
      </c>
      <c r="K111" s="1">
        <v>0.31819999999999998</v>
      </c>
      <c r="L111" s="1">
        <v>0.53</v>
      </c>
      <c r="M111" s="1">
        <v>0.52239999999999998</v>
      </c>
      <c r="N111" s="1">
        <v>7</v>
      </c>
      <c r="O111" s="1">
        <v>183</v>
      </c>
      <c r="P111" s="1">
        <v>190</v>
      </c>
    </row>
    <row r="112" spans="1:16" x14ac:dyDescent="0.25">
      <c r="A112" s="1">
        <v>730</v>
      </c>
      <c r="B112" s="2">
        <v>40576</v>
      </c>
      <c r="C112" s="1">
        <v>1</v>
      </c>
      <c r="D112" s="1">
        <v>0</v>
      </c>
      <c r="E112" s="1">
        <v>2</v>
      </c>
      <c r="F112" s="1">
        <v>18</v>
      </c>
      <c r="G112" s="1" t="b">
        <v>0</v>
      </c>
      <c r="H112" s="1">
        <v>3</v>
      </c>
      <c r="I112" s="1">
        <v>1</v>
      </c>
      <c r="J112" s="1">
        <v>0.34</v>
      </c>
      <c r="K112" s="1">
        <v>0.28789999999999999</v>
      </c>
      <c r="L112" s="1">
        <v>0.42</v>
      </c>
      <c r="M112" s="1">
        <v>0.55220000000000002</v>
      </c>
      <c r="N112" s="1">
        <v>7</v>
      </c>
      <c r="O112" s="1">
        <v>175</v>
      </c>
      <c r="P112" s="1">
        <v>182</v>
      </c>
    </row>
    <row r="113" spans="1:16" x14ac:dyDescent="0.25">
      <c r="A113" s="1">
        <v>731</v>
      </c>
      <c r="B113" s="2">
        <v>40576</v>
      </c>
      <c r="C113" s="1">
        <v>1</v>
      </c>
      <c r="D113" s="1">
        <v>0</v>
      </c>
      <c r="E113" s="1">
        <v>2</v>
      </c>
      <c r="F113" s="1">
        <v>19</v>
      </c>
      <c r="G113" s="1" t="b">
        <v>0</v>
      </c>
      <c r="H113" s="1">
        <v>3</v>
      </c>
      <c r="I113" s="1">
        <v>1</v>
      </c>
      <c r="J113" s="1">
        <v>0.28000000000000003</v>
      </c>
      <c r="K113" s="1">
        <v>0.2424</v>
      </c>
      <c r="L113" s="1">
        <v>0.45</v>
      </c>
      <c r="M113" s="1">
        <v>0.49249999999999999</v>
      </c>
      <c r="N113" s="1">
        <v>3</v>
      </c>
      <c r="O113" s="1">
        <v>88</v>
      </c>
      <c r="P113" s="1">
        <v>91</v>
      </c>
    </row>
    <row r="114" spans="1:16" x14ac:dyDescent="0.25">
      <c r="A114" s="1">
        <v>732</v>
      </c>
      <c r="B114" s="2">
        <v>40576</v>
      </c>
      <c r="C114" s="1">
        <v>1</v>
      </c>
      <c r="D114" s="1">
        <v>0</v>
      </c>
      <c r="E114" s="1">
        <v>2</v>
      </c>
      <c r="F114" s="1">
        <v>20</v>
      </c>
      <c r="G114" s="1" t="b">
        <v>0</v>
      </c>
      <c r="H114" s="1">
        <v>3</v>
      </c>
      <c r="I114" s="1">
        <v>1</v>
      </c>
      <c r="J114" s="1">
        <v>0.24</v>
      </c>
      <c r="K114" s="1">
        <v>0.19700000000000001</v>
      </c>
      <c r="L114" s="1">
        <v>0.48</v>
      </c>
      <c r="M114" s="1">
        <v>0.55220000000000002</v>
      </c>
      <c r="N114" s="1">
        <v>4</v>
      </c>
      <c r="O114" s="1">
        <v>71</v>
      </c>
      <c r="P114" s="1">
        <v>75</v>
      </c>
    </row>
    <row r="115" spans="1:16" x14ac:dyDescent="0.25">
      <c r="A115" s="1">
        <v>733</v>
      </c>
      <c r="B115" s="2">
        <v>40576</v>
      </c>
      <c r="C115" s="1">
        <v>1</v>
      </c>
      <c r="D115" s="1">
        <v>0</v>
      </c>
      <c r="E115" s="1">
        <v>2</v>
      </c>
      <c r="F115" s="1">
        <v>21</v>
      </c>
      <c r="G115" s="1" t="b">
        <v>0</v>
      </c>
      <c r="H115" s="1">
        <v>3</v>
      </c>
      <c r="I115" s="1">
        <v>1</v>
      </c>
      <c r="J115" s="1">
        <v>0.22</v>
      </c>
      <c r="K115" s="1">
        <v>0.19700000000000001</v>
      </c>
      <c r="L115" s="1">
        <v>0.47</v>
      </c>
      <c r="M115" s="1">
        <v>0.32840000000000003</v>
      </c>
      <c r="N115" s="1">
        <v>1</v>
      </c>
      <c r="O115" s="1">
        <v>62</v>
      </c>
      <c r="P115" s="1">
        <v>63</v>
      </c>
    </row>
    <row r="116" spans="1:16" x14ac:dyDescent="0.25">
      <c r="A116" s="1">
        <v>734</v>
      </c>
      <c r="B116" s="2">
        <v>40576</v>
      </c>
      <c r="C116" s="1">
        <v>1</v>
      </c>
      <c r="D116" s="1">
        <v>0</v>
      </c>
      <c r="E116" s="1">
        <v>2</v>
      </c>
      <c r="F116" s="1">
        <v>22</v>
      </c>
      <c r="G116" s="1" t="b">
        <v>0</v>
      </c>
      <c r="H116" s="1">
        <v>3</v>
      </c>
      <c r="I116" s="1">
        <v>1</v>
      </c>
      <c r="J116" s="1">
        <v>0.22</v>
      </c>
      <c r="K116" s="1">
        <v>0.21210000000000001</v>
      </c>
      <c r="L116" s="1">
        <v>0.44</v>
      </c>
      <c r="M116" s="1">
        <v>0.25369999999999998</v>
      </c>
      <c r="N116" s="1">
        <v>5</v>
      </c>
      <c r="O116" s="1">
        <v>35</v>
      </c>
      <c r="P116" s="1">
        <v>40</v>
      </c>
    </row>
    <row r="117" spans="1:16" x14ac:dyDescent="0.25">
      <c r="A117" s="1">
        <v>735</v>
      </c>
      <c r="B117" s="2">
        <v>40576</v>
      </c>
      <c r="C117" s="1">
        <v>1</v>
      </c>
      <c r="D117" s="1">
        <v>0</v>
      </c>
      <c r="E117" s="1">
        <v>2</v>
      </c>
      <c r="F117" s="1">
        <v>23</v>
      </c>
      <c r="G117" s="1" t="b">
        <v>0</v>
      </c>
      <c r="H117" s="1">
        <v>3</v>
      </c>
      <c r="I117" s="1">
        <v>1</v>
      </c>
      <c r="J117" s="1">
        <v>0.2</v>
      </c>
      <c r="K117" s="1">
        <v>0.16669999999999999</v>
      </c>
      <c r="L117" s="1">
        <v>0.44</v>
      </c>
      <c r="M117" s="1">
        <v>0.44779999999999998</v>
      </c>
      <c r="N117" s="1">
        <v>3</v>
      </c>
      <c r="O117" s="1">
        <v>29</v>
      </c>
      <c r="P117" s="1">
        <v>32</v>
      </c>
    </row>
    <row r="118" spans="1:16" x14ac:dyDescent="0.25">
      <c r="A118" s="1">
        <v>736</v>
      </c>
      <c r="B118" s="2">
        <v>40577</v>
      </c>
      <c r="C118" s="1">
        <v>1</v>
      </c>
      <c r="D118" s="1">
        <v>0</v>
      </c>
      <c r="E118" s="1">
        <v>2</v>
      </c>
      <c r="F118" s="1">
        <v>0</v>
      </c>
      <c r="G118" s="1" t="b">
        <v>0</v>
      </c>
      <c r="H118" s="1">
        <v>4</v>
      </c>
      <c r="I118" s="1">
        <v>1</v>
      </c>
      <c r="J118" s="1">
        <v>0.2</v>
      </c>
      <c r="K118" s="1">
        <v>0.16669999999999999</v>
      </c>
      <c r="L118" s="1">
        <v>0.4</v>
      </c>
      <c r="M118" s="1">
        <v>0.44779999999999998</v>
      </c>
      <c r="N118" s="1">
        <v>1</v>
      </c>
      <c r="O118" s="1">
        <v>11</v>
      </c>
      <c r="P118" s="1">
        <v>12</v>
      </c>
    </row>
    <row r="119" spans="1:16" x14ac:dyDescent="0.25">
      <c r="A119" s="1">
        <v>737</v>
      </c>
      <c r="B119" s="2">
        <v>40577</v>
      </c>
      <c r="C119" s="1">
        <v>1</v>
      </c>
      <c r="D119" s="1">
        <v>0</v>
      </c>
      <c r="E119" s="1">
        <v>2</v>
      </c>
      <c r="F119" s="1">
        <v>1</v>
      </c>
      <c r="G119" s="1" t="b">
        <v>0</v>
      </c>
      <c r="H119" s="1">
        <v>4</v>
      </c>
      <c r="I119" s="1">
        <v>1</v>
      </c>
      <c r="J119" s="1">
        <v>0.2</v>
      </c>
      <c r="K119" s="1">
        <v>0.1515</v>
      </c>
      <c r="L119" s="1">
        <v>0.44</v>
      </c>
      <c r="M119" s="1">
        <v>0.52239999999999998</v>
      </c>
      <c r="N119" s="1">
        <v>0</v>
      </c>
      <c r="O119" s="1">
        <v>5</v>
      </c>
      <c r="P119" s="1">
        <v>5</v>
      </c>
    </row>
    <row r="120" spans="1:16" x14ac:dyDescent="0.25">
      <c r="A120" s="1">
        <v>738</v>
      </c>
      <c r="B120" s="2">
        <v>40577</v>
      </c>
      <c r="C120" s="1">
        <v>1</v>
      </c>
      <c r="D120" s="1">
        <v>0</v>
      </c>
      <c r="E120" s="1">
        <v>2</v>
      </c>
      <c r="F120" s="1">
        <v>2</v>
      </c>
      <c r="G120" s="1" t="b">
        <v>0</v>
      </c>
      <c r="H120" s="1">
        <v>4</v>
      </c>
      <c r="I120" s="1">
        <v>1</v>
      </c>
      <c r="J120" s="1">
        <v>0.18</v>
      </c>
      <c r="K120" s="1">
        <v>0.16669999999999999</v>
      </c>
      <c r="L120" s="1">
        <v>0.43</v>
      </c>
      <c r="M120" s="1">
        <v>0.25369999999999998</v>
      </c>
      <c r="N120" s="1">
        <v>0</v>
      </c>
      <c r="O120" s="1">
        <v>2</v>
      </c>
      <c r="P120" s="1">
        <v>2</v>
      </c>
    </row>
    <row r="121" spans="1:16" x14ac:dyDescent="0.25">
      <c r="A121" s="1">
        <v>739</v>
      </c>
      <c r="B121" s="2">
        <v>40577</v>
      </c>
      <c r="C121" s="1">
        <v>1</v>
      </c>
      <c r="D121" s="1">
        <v>0</v>
      </c>
      <c r="E121" s="1">
        <v>2</v>
      </c>
      <c r="F121" s="1">
        <v>3</v>
      </c>
      <c r="G121" s="1" t="b">
        <v>0</v>
      </c>
      <c r="H121" s="1">
        <v>4</v>
      </c>
      <c r="I121" s="1">
        <v>1</v>
      </c>
      <c r="J121" s="1">
        <v>0.18</v>
      </c>
      <c r="K121" s="1">
        <v>0.16669999999999999</v>
      </c>
      <c r="L121" s="1">
        <v>0.43</v>
      </c>
      <c r="M121" s="1">
        <v>0.25369999999999998</v>
      </c>
      <c r="N121" s="1">
        <v>0</v>
      </c>
      <c r="O121" s="1">
        <v>1</v>
      </c>
      <c r="P121" s="1">
        <v>1</v>
      </c>
    </row>
    <row r="122" spans="1:16" x14ac:dyDescent="0.25">
      <c r="A122" s="1">
        <v>740</v>
      </c>
      <c r="B122" s="2">
        <v>40577</v>
      </c>
      <c r="C122" s="1">
        <v>1</v>
      </c>
      <c r="D122" s="1">
        <v>0</v>
      </c>
      <c r="E122" s="1">
        <v>2</v>
      </c>
      <c r="F122" s="1">
        <v>5</v>
      </c>
      <c r="G122" s="1" t="b">
        <v>0</v>
      </c>
      <c r="H122" s="1">
        <v>4</v>
      </c>
      <c r="I122" s="1">
        <v>1</v>
      </c>
      <c r="J122" s="1">
        <v>0.16</v>
      </c>
      <c r="K122" s="1">
        <v>0.13639999999999999</v>
      </c>
      <c r="L122" s="1">
        <v>0.5</v>
      </c>
      <c r="M122" s="1">
        <v>0.29849999999999999</v>
      </c>
      <c r="N122" s="1">
        <v>0</v>
      </c>
      <c r="O122" s="1">
        <v>2</v>
      </c>
      <c r="P122" s="1">
        <v>2</v>
      </c>
    </row>
    <row r="123" spans="1:16" x14ac:dyDescent="0.25">
      <c r="A123" s="1">
        <v>741</v>
      </c>
      <c r="B123" s="2">
        <v>40577</v>
      </c>
      <c r="C123" s="1">
        <v>1</v>
      </c>
      <c r="D123" s="1">
        <v>0</v>
      </c>
      <c r="E123" s="1">
        <v>2</v>
      </c>
      <c r="F123" s="1">
        <v>6</v>
      </c>
      <c r="G123" s="1" t="b">
        <v>0</v>
      </c>
      <c r="H123" s="1">
        <v>4</v>
      </c>
      <c r="I123" s="1">
        <v>1</v>
      </c>
      <c r="J123" s="1">
        <v>0.16</v>
      </c>
      <c r="K123" s="1">
        <v>0.13639999999999999</v>
      </c>
      <c r="L123" s="1">
        <v>0.43</v>
      </c>
      <c r="M123" s="1">
        <v>0.35820000000000002</v>
      </c>
      <c r="N123" s="1">
        <v>0</v>
      </c>
      <c r="O123" s="1">
        <v>39</v>
      </c>
      <c r="P123" s="1">
        <v>39</v>
      </c>
    </row>
    <row r="124" spans="1:16" x14ac:dyDescent="0.25">
      <c r="A124" s="1">
        <v>742</v>
      </c>
      <c r="B124" s="2">
        <v>40577</v>
      </c>
      <c r="C124" s="1">
        <v>1</v>
      </c>
      <c r="D124" s="1">
        <v>0</v>
      </c>
      <c r="E124" s="1">
        <v>2</v>
      </c>
      <c r="F124" s="1">
        <v>7</v>
      </c>
      <c r="G124" s="1" t="b">
        <v>0</v>
      </c>
      <c r="H124" s="1">
        <v>4</v>
      </c>
      <c r="I124" s="1">
        <v>1</v>
      </c>
      <c r="J124" s="1">
        <v>0.14000000000000001</v>
      </c>
      <c r="K124" s="1">
        <v>0.1212</v>
      </c>
      <c r="L124" s="1">
        <v>0.5</v>
      </c>
      <c r="M124" s="1">
        <v>0.32840000000000003</v>
      </c>
      <c r="N124" s="1">
        <v>1</v>
      </c>
      <c r="O124" s="1">
        <v>86</v>
      </c>
      <c r="P124" s="1">
        <v>87</v>
      </c>
    </row>
    <row r="125" spans="1:16" x14ac:dyDescent="0.25">
      <c r="A125" s="1">
        <v>743</v>
      </c>
      <c r="B125" s="2">
        <v>40577</v>
      </c>
      <c r="C125" s="1">
        <v>1</v>
      </c>
      <c r="D125" s="1">
        <v>0</v>
      </c>
      <c r="E125" s="1">
        <v>2</v>
      </c>
      <c r="F125" s="1">
        <v>8</v>
      </c>
      <c r="G125" s="1" t="b">
        <v>0</v>
      </c>
      <c r="H125" s="1">
        <v>4</v>
      </c>
      <c r="I125" s="1">
        <v>1</v>
      </c>
      <c r="J125" s="1">
        <v>0.14000000000000001</v>
      </c>
      <c r="K125" s="1">
        <v>0.1212</v>
      </c>
      <c r="L125" s="1">
        <v>0.5</v>
      </c>
      <c r="M125" s="1">
        <v>0.35820000000000002</v>
      </c>
      <c r="N125" s="1">
        <v>4</v>
      </c>
      <c r="O125" s="1">
        <v>184</v>
      </c>
      <c r="P125" s="1">
        <v>188</v>
      </c>
    </row>
    <row r="126" spans="1:16" x14ac:dyDescent="0.25">
      <c r="A126" s="1">
        <v>744</v>
      </c>
      <c r="B126" s="2">
        <v>40577</v>
      </c>
      <c r="C126" s="1">
        <v>1</v>
      </c>
      <c r="D126" s="1">
        <v>0</v>
      </c>
      <c r="E126" s="1">
        <v>2</v>
      </c>
      <c r="F126" s="1">
        <v>9</v>
      </c>
      <c r="G126" s="1" t="b">
        <v>0</v>
      </c>
      <c r="H126" s="1">
        <v>4</v>
      </c>
      <c r="I126" s="1">
        <v>1</v>
      </c>
      <c r="J126" s="1">
        <v>0.16</v>
      </c>
      <c r="K126" s="1">
        <v>0.13639999999999999</v>
      </c>
      <c r="L126" s="1">
        <v>0.47</v>
      </c>
      <c r="M126" s="1">
        <v>0.29849999999999999</v>
      </c>
      <c r="N126" s="1">
        <v>6</v>
      </c>
      <c r="O126" s="1">
        <v>127</v>
      </c>
      <c r="P126" s="1">
        <v>133</v>
      </c>
    </row>
    <row r="127" spans="1:16" x14ac:dyDescent="0.25">
      <c r="A127" s="1">
        <v>745</v>
      </c>
      <c r="B127" s="2">
        <v>40577</v>
      </c>
      <c r="C127" s="1">
        <v>1</v>
      </c>
      <c r="D127" s="1">
        <v>0</v>
      </c>
      <c r="E127" s="1">
        <v>2</v>
      </c>
      <c r="F127" s="1">
        <v>10</v>
      </c>
      <c r="G127" s="1" t="b">
        <v>0</v>
      </c>
      <c r="H127" s="1">
        <v>4</v>
      </c>
      <c r="I127" s="1">
        <v>1</v>
      </c>
      <c r="J127" s="1">
        <v>0.18</v>
      </c>
      <c r="K127" s="1">
        <v>0.1515</v>
      </c>
      <c r="L127" s="1">
        <v>0.43</v>
      </c>
      <c r="M127" s="1">
        <v>0.32840000000000003</v>
      </c>
      <c r="N127" s="1">
        <v>2</v>
      </c>
      <c r="O127" s="1">
        <v>50</v>
      </c>
      <c r="P127" s="1">
        <v>52</v>
      </c>
    </row>
    <row r="128" spans="1:16" x14ac:dyDescent="0.25">
      <c r="A128" s="1">
        <v>746</v>
      </c>
      <c r="B128" s="2">
        <v>40577</v>
      </c>
      <c r="C128" s="1">
        <v>1</v>
      </c>
      <c r="D128" s="1">
        <v>0</v>
      </c>
      <c r="E128" s="1">
        <v>2</v>
      </c>
      <c r="F128" s="1">
        <v>11</v>
      </c>
      <c r="G128" s="1" t="b">
        <v>0</v>
      </c>
      <c r="H128" s="1">
        <v>4</v>
      </c>
      <c r="I128" s="1">
        <v>1</v>
      </c>
      <c r="J128" s="1">
        <v>0.18</v>
      </c>
      <c r="K128" s="1">
        <v>0.13639999999999999</v>
      </c>
      <c r="L128" s="1">
        <v>0.43</v>
      </c>
      <c r="M128" s="1">
        <v>0.44779999999999998</v>
      </c>
      <c r="N128" s="1">
        <v>9</v>
      </c>
      <c r="O128" s="1">
        <v>55</v>
      </c>
      <c r="P128" s="1">
        <v>64</v>
      </c>
    </row>
    <row r="129" spans="1:16" x14ac:dyDescent="0.25">
      <c r="A129" s="1">
        <v>747</v>
      </c>
      <c r="B129" s="2">
        <v>40577</v>
      </c>
      <c r="C129" s="1">
        <v>1</v>
      </c>
      <c r="D129" s="1">
        <v>0</v>
      </c>
      <c r="E129" s="1">
        <v>2</v>
      </c>
      <c r="F129" s="1">
        <v>12</v>
      </c>
      <c r="G129" s="1" t="b">
        <v>0</v>
      </c>
      <c r="H129" s="1">
        <v>4</v>
      </c>
      <c r="I129" s="1">
        <v>1</v>
      </c>
      <c r="J129" s="1">
        <v>0.2</v>
      </c>
      <c r="K129" s="1">
        <v>0.18179999999999999</v>
      </c>
      <c r="L129" s="1">
        <v>0.4</v>
      </c>
      <c r="M129" s="1">
        <v>0.35820000000000002</v>
      </c>
      <c r="N129" s="1">
        <v>2</v>
      </c>
      <c r="O129" s="1">
        <v>67</v>
      </c>
      <c r="P129" s="1">
        <v>69</v>
      </c>
    </row>
    <row r="130" spans="1:16" x14ac:dyDescent="0.25">
      <c r="A130" s="1">
        <v>748</v>
      </c>
      <c r="B130" s="2">
        <v>40577</v>
      </c>
      <c r="C130" s="1">
        <v>1</v>
      </c>
      <c r="D130" s="1">
        <v>0</v>
      </c>
      <c r="E130" s="1">
        <v>2</v>
      </c>
      <c r="F130" s="1">
        <v>13</v>
      </c>
      <c r="G130" s="1" t="b">
        <v>0</v>
      </c>
      <c r="H130" s="1">
        <v>4</v>
      </c>
      <c r="I130" s="1">
        <v>1</v>
      </c>
      <c r="J130" s="1">
        <v>0.2</v>
      </c>
      <c r="K130" s="1">
        <v>0.16669999999999999</v>
      </c>
      <c r="L130" s="1">
        <v>0.4</v>
      </c>
      <c r="M130" s="1">
        <v>0.41789999999999999</v>
      </c>
      <c r="N130" s="1">
        <v>4</v>
      </c>
      <c r="O130" s="1">
        <v>47</v>
      </c>
      <c r="P130" s="1">
        <v>51</v>
      </c>
    </row>
    <row r="131" spans="1:16" x14ac:dyDescent="0.25">
      <c r="A131" s="1">
        <v>749</v>
      </c>
      <c r="B131" s="2">
        <v>40577</v>
      </c>
      <c r="C131" s="1">
        <v>1</v>
      </c>
      <c r="D131" s="1">
        <v>0</v>
      </c>
      <c r="E131" s="1">
        <v>2</v>
      </c>
      <c r="F131" s="1">
        <v>14</v>
      </c>
      <c r="G131" s="1" t="b">
        <v>0</v>
      </c>
      <c r="H131" s="1">
        <v>4</v>
      </c>
      <c r="I131" s="1">
        <v>1</v>
      </c>
      <c r="J131" s="1">
        <v>0.22</v>
      </c>
      <c r="K131" s="1">
        <v>0.19700000000000001</v>
      </c>
      <c r="L131" s="1">
        <v>0.37</v>
      </c>
      <c r="M131" s="1">
        <v>0.3881</v>
      </c>
      <c r="N131" s="1">
        <v>4</v>
      </c>
      <c r="O131" s="1">
        <v>43</v>
      </c>
      <c r="P131" s="1">
        <v>47</v>
      </c>
    </row>
    <row r="132" spans="1:16" x14ac:dyDescent="0.25">
      <c r="A132" s="1">
        <v>750</v>
      </c>
      <c r="B132" s="2">
        <v>40577</v>
      </c>
      <c r="C132" s="1">
        <v>1</v>
      </c>
      <c r="D132" s="1">
        <v>0</v>
      </c>
      <c r="E132" s="1">
        <v>2</v>
      </c>
      <c r="F132" s="1">
        <v>15</v>
      </c>
      <c r="G132" s="1" t="b">
        <v>0</v>
      </c>
      <c r="H132" s="1">
        <v>4</v>
      </c>
      <c r="I132" s="1">
        <v>1</v>
      </c>
      <c r="J132" s="1">
        <v>0.22</v>
      </c>
      <c r="K132" s="1">
        <v>0.19700000000000001</v>
      </c>
      <c r="L132" s="1">
        <v>0.37</v>
      </c>
      <c r="M132" s="1">
        <v>0.32840000000000003</v>
      </c>
      <c r="N132" s="1">
        <v>4</v>
      </c>
      <c r="O132" s="1">
        <v>56</v>
      </c>
      <c r="P132" s="1">
        <v>60</v>
      </c>
    </row>
    <row r="133" spans="1:16" x14ac:dyDescent="0.25">
      <c r="A133" s="1">
        <v>751</v>
      </c>
      <c r="B133" s="2">
        <v>40577</v>
      </c>
      <c r="C133" s="1">
        <v>1</v>
      </c>
      <c r="D133" s="1">
        <v>0</v>
      </c>
      <c r="E133" s="1">
        <v>2</v>
      </c>
      <c r="F133" s="1">
        <v>16</v>
      </c>
      <c r="G133" s="1" t="b">
        <v>0</v>
      </c>
      <c r="H133" s="1">
        <v>4</v>
      </c>
      <c r="I133" s="1">
        <v>1</v>
      </c>
      <c r="J133" s="1">
        <v>0.22</v>
      </c>
      <c r="K133" s="1">
        <v>0.21210000000000001</v>
      </c>
      <c r="L133" s="1">
        <v>0.37</v>
      </c>
      <c r="M133" s="1">
        <v>0.25369999999999998</v>
      </c>
      <c r="N133" s="1">
        <v>5</v>
      </c>
      <c r="O133" s="1">
        <v>73</v>
      </c>
      <c r="P133" s="1">
        <v>78</v>
      </c>
    </row>
    <row r="134" spans="1:16" x14ac:dyDescent="0.25">
      <c r="A134" s="1">
        <v>752</v>
      </c>
      <c r="B134" s="2">
        <v>40577</v>
      </c>
      <c r="C134" s="1">
        <v>1</v>
      </c>
      <c r="D134" s="1">
        <v>0</v>
      </c>
      <c r="E134" s="1">
        <v>2</v>
      </c>
      <c r="F134" s="1">
        <v>17</v>
      </c>
      <c r="G134" s="1" t="b">
        <v>0</v>
      </c>
      <c r="H134" s="1">
        <v>4</v>
      </c>
      <c r="I134" s="1">
        <v>1</v>
      </c>
      <c r="J134" s="1">
        <v>0.2</v>
      </c>
      <c r="K134" s="1">
        <v>0.19700000000000001</v>
      </c>
      <c r="L134" s="1">
        <v>0.4</v>
      </c>
      <c r="M134" s="1">
        <v>0.19400000000000001</v>
      </c>
      <c r="N134" s="1">
        <v>5</v>
      </c>
      <c r="O134" s="1">
        <v>170</v>
      </c>
      <c r="P134" s="1">
        <v>175</v>
      </c>
    </row>
    <row r="135" spans="1:16" x14ac:dyDescent="0.25">
      <c r="A135" s="1">
        <v>753</v>
      </c>
      <c r="B135" s="2">
        <v>40577</v>
      </c>
      <c r="C135" s="1">
        <v>1</v>
      </c>
      <c r="D135" s="1">
        <v>0</v>
      </c>
      <c r="E135" s="1">
        <v>2</v>
      </c>
      <c r="F135" s="1">
        <v>18</v>
      </c>
      <c r="G135" s="1" t="b">
        <v>0</v>
      </c>
      <c r="H135" s="1">
        <v>4</v>
      </c>
      <c r="I135" s="1">
        <v>1</v>
      </c>
      <c r="J135" s="1">
        <v>0.2</v>
      </c>
      <c r="K135" s="1">
        <v>0.21210000000000001</v>
      </c>
      <c r="L135" s="1">
        <v>0.4</v>
      </c>
      <c r="M135" s="1">
        <v>0.16420000000000001</v>
      </c>
      <c r="N135" s="1">
        <v>2</v>
      </c>
      <c r="O135" s="1">
        <v>145</v>
      </c>
      <c r="P135" s="1">
        <v>147</v>
      </c>
    </row>
    <row r="136" spans="1:16" x14ac:dyDescent="0.25">
      <c r="A136" s="1">
        <v>754</v>
      </c>
      <c r="B136" s="2">
        <v>40577</v>
      </c>
      <c r="C136" s="1">
        <v>1</v>
      </c>
      <c r="D136" s="1">
        <v>0</v>
      </c>
      <c r="E136" s="1">
        <v>2</v>
      </c>
      <c r="F136" s="1">
        <v>19</v>
      </c>
      <c r="G136" s="1" t="b">
        <v>0</v>
      </c>
      <c r="H136" s="1">
        <v>4</v>
      </c>
      <c r="I136" s="1">
        <v>1</v>
      </c>
      <c r="J136" s="1">
        <v>0.2</v>
      </c>
      <c r="K136" s="1">
        <v>0.2576</v>
      </c>
      <c r="L136" s="1">
        <v>0.4</v>
      </c>
      <c r="M136" s="1">
        <v>0</v>
      </c>
      <c r="N136" s="1">
        <v>4</v>
      </c>
      <c r="O136" s="1">
        <v>92</v>
      </c>
      <c r="P136" s="1">
        <v>96</v>
      </c>
    </row>
    <row r="137" spans="1:16" x14ac:dyDescent="0.25">
      <c r="A137" s="1">
        <v>755</v>
      </c>
      <c r="B137" s="2">
        <v>40577</v>
      </c>
      <c r="C137" s="1">
        <v>1</v>
      </c>
      <c r="D137" s="1">
        <v>0</v>
      </c>
      <c r="E137" s="1">
        <v>2</v>
      </c>
      <c r="F137" s="1">
        <v>20</v>
      </c>
      <c r="G137" s="1" t="b">
        <v>0</v>
      </c>
      <c r="H137" s="1">
        <v>4</v>
      </c>
      <c r="I137" s="1">
        <v>1</v>
      </c>
      <c r="J137" s="1">
        <v>0.2</v>
      </c>
      <c r="K137" s="1">
        <v>0.2273</v>
      </c>
      <c r="L137" s="1">
        <v>0.47</v>
      </c>
      <c r="M137" s="1">
        <v>8.9599999999999999E-2</v>
      </c>
      <c r="N137" s="1">
        <v>1</v>
      </c>
      <c r="O137" s="1">
        <v>108</v>
      </c>
      <c r="P137" s="1">
        <v>109</v>
      </c>
    </row>
    <row r="138" spans="1:16" x14ac:dyDescent="0.25">
      <c r="A138" s="1">
        <v>756</v>
      </c>
      <c r="B138" s="2">
        <v>40577</v>
      </c>
      <c r="C138" s="1">
        <v>1</v>
      </c>
      <c r="D138" s="1">
        <v>0</v>
      </c>
      <c r="E138" s="1">
        <v>2</v>
      </c>
      <c r="F138" s="1">
        <v>21</v>
      </c>
      <c r="G138" s="1" t="b">
        <v>0</v>
      </c>
      <c r="H138" s="1">
        <v>4</v>
      </c>
      <c r="I138" s="1">
        <v>1</v>
      </c>
      <c r="J138" s="1">
        <v>0.18</v>
      </c>
      <c r="K138" s="1">
        <v>0.21210000000000001</v>
      </c>
      <c r="L138" s="1">
        <v>0.55000000000000004</v>
      </c>
      <c r="M138" s="1">
        <v>0.1045</v>
      </c>
      <c r="N138" s="1">
        <v>1</v>
      </c>
      <c r="O138" s="1">
        <v>53</v>
      </c>
      <c r="P138" s="1">
        <v>54</v>
      </c>
    </row>
    <row r="139" spans="1:16" x14ac:dyDescent="0.25">
      <c r="A139" s="1">
        <v>757</v>
      </c>
      <c r="B139" s="2">
        <v>40577</v>
      </c>
      <c r="C139" s="1">
        <v>1</v>
      </c>
      <c r="D139" s="1">
        <v>0</v>
      </c>
      <c r="E139" s="1">
        <v>2</v>
      </c>
      <c r="F139" s="1">
        <v>22</v>
      </c>
      <c r="G139" s="1" t="b">
        <v>0</v>
      </c>
      <c r="H139" s="1">
        <v>4</v>
      </c>
      <c r="I139" s="1">
        <v>1</v>
      </c>
      <c r="J139" s="1">
        <v>0.18</v>
      </c>
      <c r="K139" s="1">
        <v>0.21210000000000001</v>
      </c>
      <c r="L139" s="1">
        <v>0.51</v>
      </c>
      <c r="M139" s="1">
        <v>8.9599999999999999E-2</v>
      </c>
      <c r="N139" s="1">
        <v>2</v>
      </c>
      <c r="O139" s="1">
        <v>39</v>
      </c>
      <c r="P139" s="1">
        <v>41</v>
      </c>
    </row>
    <row r="140" spans="1:16" x14ac:dyDescent="0.25">
      <c r="A140" s="1">
        <v>758</v>
      </c>
      <c r="B140" s="2">
        <v>40577</v>
      </c>
      <c r="C140" s="1">
        <v>1</v>
      </c>
      <c r="D140" s="1">
        <v>0</v>
      </c>
      <c r="E140" s="1">
        <v>2</v>
      </c>
      <c r="F140" s="1">
        <v>23</v>
      </c>
      <c r="G140" s="1" t="b">
        <v>0</v>
      </c>
      <c r="H140" s="1">
        <v>4</v>
      </c>
      <c r="I140" s="1">
        <v>1</v>
      </c>
      <c r="J140" s="1">
        <v>0.2</v>
      </c>
      <c r="K140" s="1">
        <v>0.2273</v>
      </c>
      <c r="L140" s="1">
        <v>0.47</v>
      </c>
      <c r="M140" s="1">
        <v>0.1045</v>
      </c>
      <c r="N140" s="1">
        <v>4</v>
      </c>
      <c r="O140" s="1">
        <v>34</v>
      </c>
      <c r="P140" s="1">
        <v>38</v>
      </c>
    </row>
    <row r="141" spans="1:16" x14ac:dyDescent="0.25">
      <c r="A141" s="1">
        <v>759</v>
      </c>
      <c r="B141" s="2">
        <v>40578</v>
      </c>
      <c r="C141" s="1">
        <v>1</v>
      </c>
      <c r="D141" s="1">
        <v>0</v>
      </c>
      <c r="E141" s="1">
        <v>2</v>
      </c>
      <c r="F141" s="1">
        <v>0</v>
      </c>
      <c r="G141" s="1" t="b">
        <v>0</v>
      </c>
      <c r="H141" s="1">
        <v>5</v>
      </c>
      <c r="I141" s="1">
        <v>2</v>
      </c>
      <c r="J141" s="1">
        <v>0.2</v>
      </c>
      <c r="K141" s="1">
        <v>0.2576</v>
      </c>
      <c r="L141" s="1">
        <v>0.44</v>
      </c>
      <c r="M141" s="1">
        <v>0</v>
      </c>
      <c r="N141" s="1">
        <v>3</v>
      </c>
      <c r="O141" s="1">
        <v>10</v>
      </c>
      <c r="P141" s="1">
        <v>13</v>
      </c>
    </row>
    <row r="142" spans="1:16" x14ac:dyDescent="0.25">
      <c r="A142" s="1">
        <v>760</v>
      </c>
      <c r="B142" s="2">
        <v>40578</v>
      </c>
      <c r="C142" s="1">
        <v>1</v>
      </c>
      <c r="D142" s="1">
        <v>0</v>
      </c>
      <c r="E142" s="1">
        <v>2</v>
      </c>
      <c r="F142" s="1">
        <v>1</v>
      </c>
      <c r="G142" s="1" t="b">
        <v>0</v>
      </c>
      <c r="H142" s="1">
        <v>5</v>
      </c>
      <c r="I142" s="1">
        <v>2</v>
      </c>
      <c r="J142" s="1">
        <v>0.16</v>
      </c>
      <c r="K142" s="1">
        <v>0.2273</v>
      </c>
      <c r="L142" s="1">
        <v>0.59</v>
      </c>
      <c r="M142" s="1">
        <v>0</v>
      </c>
      <c r="N142" s="1">
        <v>0</v>
      </c>
      <c r="O142" s="1">
        <v>7</v>
      </c>
      <c r="P142" s="1">
        <v>7</v>
      </c>
    </row>
    <row r="143" spans="1:16" x14ac:dyDescent="0.25">
      <c r="A143" s="1">
        <v>761</v>
      </c>
      <c r="B143" s="2">
        <v>40578</v>
      </c>
      <c r="C143" s="1">
        <v>1</v>
      </c>
      <c r="D143" s="1">
        <v>0</v>
      </c>
      <c r="E143" s="1">
        <v>2</v>
      </c>
      <c r="F143" s="1">
        <v>2</v>
      </c>
      <c r="G143" s="1" t="b">
        <v>0</v>
      </c>
      <c r="H143" s="1">
        <v>5</v>
      </c>
      <c r="I143" s="1">
        <v>2</v>
      </c>
      <c r="J143" s="1">
        <v>0.14000000000000001</v>
      </c>
      <c r="K143" s="1">
        <v>0.16669999999999999</v>
      </c>
      <c r="L143" s="1">
        <v>0.63</v>
      </c>
      <c r="M143" s="1">
        <v>0.1045</v>
      </c>
      <c r="N143" s="1">
        <v>0</v>
      </c>
      <c r="O143" s="1">
        <v>1</v>
      </c>
      <c r="P143" s="1">
        <v>1</v>
      </c>
    </row>
    <row r="144" spans="1:16" x14ac:dyDescent="0.25">
      <c r="A144" s="1">
        <v>762</v>
      </c>
      <c r="B144" s="2">
        <v>40578</v>
      </c>
      <c r="C144" s="1">
        <v>1</v>
      </c>
      <c r="D144" s="1">
        <v>0</v>
      </c>
      <c r="E144" s="1">
        <v>2</v>
      </c>
      <c r="F144" s="1">
        <v>3</v>
      </c>
      <c r="G144" s="1" t="b">
        <v>0</v>
      </c>
      <c r="H144" s="1">
        <v>5</v>
      </c>
      <c r="I144" s="1">
        <v>2</v>
      </c>
      <c r="J144" s="1">
        <v>0.14000000000000001</v>
      </c>
      <c r="K144" s="1">
        <v>0.16669999999999999</v>
      </c>
      <c r="L144" s="1">
        <v>0.63</v>
      </c>
      <c r="M144" s="1">
        <v>0.1045</v>
      </c>
      <c r="N144" s="1">
        <v>0</v>
      </c>
      <c r="O144" s="1">
        <v>1</v>
      </c>
      <c r="P144" s="1">
        <v>1</v>
      </c>
    </row>
    <row r="145" spans="1:16" x14ac:dyDescent="0.25">
      <c r="A145" s="1">
        <v>763</v>
      </c>
      <c r="B145" s="2">
        <v>40578</v>
      </c>
      <c r="C145" s="1">
        <v>1</v>
      </c>
      <c r="D145" s="1">
        <v>0</v>
      </c>
      <c r="E145" s="1">
        <v>2</v>
      </c>
      <c r="F145" s="1">
        <v>5</v>
      </c>
      <c r="G145" s="1" t="b">
        <v>0</v>
      </c>
      <c r="H145" s="1">
        <v>5</v>
      </c>
      <c r="I145" s="1">
        <v>2</v>
      </c>
      <c r="J145" s="1">
        <v>0.14000000000000001</v>
      </c>
      <c r="K145" s="1">
        <v>0.1515</v>
      </c>
      <c r="L145" s="1">
        <v>0.63</v>
      </c>
      <c r="M145" s="1">
        <v>0.1343</v>
      </c>
      <c r="N145" s="1">
        <v>0</v>
      </c>
      <c r="O145" s="1">
        <v>7</v>
      </c>
      <c r="P145" s="1">
        <v>7</v>
      </c>
    </row>
    <row r="146" spans="1:16" x14ac:dyDescent="0.25">
      <c r="A146" s="1">
        <v>764</v>
      </c>
      <c r="B146" s="2">
        <v>40578</v>
      </c>
      <c r="C146" s="1">
        <v>1</v>
      </c>
      <c r="D146" s="1">
        <v>0</v>
      </c>
      <c r="E146" s="1">
        <v>2</v>
      </c>
      <c r="F146" s="1">
        <v>6</v>
      </c>
      <c r="G146" s="1" t="b">
        <v>0</v>
      </c>
      <c r="H146" s="1">
        <v>5</v>
      </c>
      <c r="I146" s="1">
        <v>2</v>
      </c>
      <c r="J146" s="1">
        <v>0.16</v>
      </c>
      <c r="K146" s="1">
        <v>0.2273</v>
      </c>
      <c r="L146" s="1">
        <v>0.55000000000000004</v>
      </c>
      <c r="M146" s="1">
        <v>0</v>
      </c>
      <c r="N146" s="1">
        <v>2</v>
      </c>
      <c r="O146" s="1">
        <v>26</v>
      </c>
      <c r="P146" s="1">
        <v>28</v>
      </c>
    </row>
    <row r="147" spans="1:16" x14ac:dyDescent="0.25">
      <c r="A147" s="1">
        <v>765</v>
      </c>
      <c r="B147" s="2">
        <v>40578</v>
      </c>
      <c r="C147" s="1">
        <v>1</v>
      </c>
      <c r="D147" s="1">
        <v>0</v>
      </c>
      <c r="E147" s="1">
        <v>2</v>
      </c>
      <c r="F147" s="1">
        <v>7</v>
      </c>
      <c r="G147" s="1" t="b">
        <v>0</v>
      </c>
      <c r="H147" s="1">
        <v>5</v>
      </c>
      <c r="I147" s="1">
        <v>1</v>
      </c>
      <c r="J147" s="1">
        <v>0.14000000000000001</v>
      </c>
      <c r="K147" s="1">
        <v>0.21210000000000001</v>
      </c>
      <c r="L147" s="1">
        <v>0.59</v>
      </c>
      <c r="M147" s="1">
        <v>0</v>
      </c>
      <c r="N147" s="1">
        <v>0</v>
      </c>
      <c r="O147" s="1">
        <v>87</v>
      </c>
      <c r="P147" s="1">
        <v>87</v>
      </c>
    </row>
    <row r="148" spans="1:16" x14ac:dyDescent="0.25">
      <c r="A148" s="1">
        <v>766</v>
      </c>
      <c r="B148" s="2">
        <v>40578</v>
      </c>
      <c r="C148" s="1">
        <v>1</v>
      </c>
      <c r="D148" s="1">
        <v>0</v>
      </c>
      <c r="E148" s="1">
        <v>2</v>
      </c>
      <c r="F148" s="1">
        <v>8</v>
      </c>
      <c r="G148" s="1" t="b">
        <v>0</v>
      </c>
      <c r="H148" s="1">
        <v>5</v>
      </c>
      <c r="I148" s="1">
        <v>1</v>
      </c>
      <c r="J148" s="1">
        <v>0.14000000000000001</v>
      </c>
      <c r="K148" s="1">
        <v>0.1515</v>
      </c>
      <c r="L148" s="1">
        <v>0.74</v>
      </c>
      <c r="M148" s="1">
        <v>0.1343</v>
      </c>
      <c r="N148" s="1">
        <v>3</v>
      </c>
      <c r="O148" s="1">
        <v>217</v>
      </c>
      <c r="P148" s="1">
        <v>220</v>
      </c>
    </row>
    <row r="149" spans="1:16" x14ac:dyDescent="0.25">
      <c r="A149" s="1">
        <v>767</v>
      </c>
      <c r="B149" s="2">
        <v>40578</v>
      </c>
      <c r="C149" s="1">
        <v>1</v>
      </c>
      <c r="D149" s="1">
        <v>0</v>
      </c>
      <c r="E149" s="1">
        <v>2</v>
      </c>
      <c r="F149" s="1">
        <v>9</v>
      </c>
      <c r="G149" s="1" t="b">
        <v>0</v>
      </c>
      <c r="H149" s="1">
        <v>5</v>
      </c>
      <c r="I149" s="1">
        <v>2</v>
      </c>
      <c r="J149" s="1">
        <v>0.16</v>
      </c>
      <c r="K149" s="1">
        <v>0.18179999999999999</v>
      </c>
      <c r="L149" s="1">
        <v>0.8</v>
      </c>
      <c r="M149" s="1">
        <v>0.1343</v>
      </c>
      <c r="N149" s="1">
        <v>3</v>
      </c>
      <c r="O149" s="1">
        <v>124</v>
      </c>
      <c r="P149" s="1">
        <v>127</v>
      </c>
    </row>
    <row r="150" spans="1:16" x14ac:dyDescent="0.25">
      <c r="A150" s="1">
        <v>768</v>
      </c>
      <c r="B150" s="2">
        <v>40578</v>
      </c>
      <c r="C150" s="1">
        <v>1</v>
      </c>
      <c r="D150" s="1">
        <v>0</v>
      </c>
      <c r="E150" s="1">
        <v>2</v>
      </c>
      <c r="F150" s="1">
        <v>10</v>
      </c>
      <c r="G150" s="1" t="b">
        <v>0</v>
      </c>
      <c r="H150" s="1">
        <v>5</v>
      </c>
      <c r="I150" s="1">
        <v>2</v>
      </c>
      <c r="J150" s="1">
        <v>0.2</v>
      </c>
      <c r="K150" s="1">
        <v>0.21210000000000001</v>
      </c>
      <c r="L150" s="1">
        <v>0.51</v>
      </c>
      <c r="M150" s="1">
        <v>0.1343</v>
      </c>
      <c r="N150" s="1">
        <v>5</v>
      </c>
      <c r="O150" s="1">
        <v>46</v>
      </c>
      <c r="P150" s="1">
        <v>51</v>
      </c>
    </row>
    <row r="151" spans="1:16" x14ac:dyDescent="0.25">
      <c r="A151" s="1">
        <v>769</v>
      </c>
      <c r="B151" s="2">
        <v>40578</v>
      </c>
      <c r="C151" s="1">
        <v>1</v>
      </c>
      <c r="D151" s="1">
        <v>0</v>
      </c>
      <c r="E151" s="1">
        <v>2</v>
      </c>
      <c r="F151" s="1">
        <v>11</v>
      </c>
      <c r="G151" s="1" t="b">
        <v>0</v>
      </c>
      <c r="H151" s="1">
        <v>5</v>
      </c>
      <c r="I151" s="1">
        <v>1</v>
      </c>
      <c r="J151" s="1">
        <v>0.22</v>
      </c>
      <c r="K151" s="1">
        <v>0.2273</v>
      </c>
      <c r="L151" s="1">
        <v>0.51</v>
      </c>
      <c r="M151" s="1">
        <v>0.16420000000000001</v>
      </c>
      <c r="N151" s="1">
        <v>3</v>
      </c>
      <c r="O151" s="1">
        <v>61</v>
      </c>
      <c r="P151" s="1">
        <v>64</v>
      </c>
    </row>
    <row r="152" spans="1:16" x14ac:dyDescent="0.25">
      <c r="A152" s="1">
        <v>770</v>
      </c>
      <c r="B152" s="2">
        <v>40578</v>
      </c>
      <c r="C152" s="1">
        <v>1</v>
      </c>
      <c r="D152" s="1">
        <v>0</v>
      </c>
      <c r="E152" s="1">
        <v>2</v>
      </c>
      <c r="F152" s="1">
        <v>12</v>
      </c>
      <c r="G152" s="1" t="b">
        <v>0</v>
      </c>
      <c r="H152" s="1">
        <v>5</v>
      </c>
      <c r="I152" s="1">
        <v>2</v>
      </c>
      <c r="J152" s="1">
        <v>0.24</v>
      </c>
      <c r="K152" s="1">
        <v>0.2424</v>
      </c>
      <c r="L152" s="1">
        <v>0.48</v>
      </c>
      <c r="M152" s="1">
        <v>0.16420000000000001</v>
      </c>
      <c r="N152" s="1">
        <v>8</v>
      </c>
      <c r="O152" s="1">
        <v>78</v>
      </c>
      <c r="P152" s="1">
        <v>86</v>
      </c>
    </row>
    <row r="153" spans="1:16" x14ac:dyDescent="0.25">
      <c r="A153" s="1">
        <v>771</v>
      </c>
      <c r="B153" s="2">
        <v>40578</v>
      </c>
      <c r="C153" s="1">
        <v>1</v>
      </c>
      <c r="D153" s="1">
        <v>0</v>
      </c>
      <c r="E153" s="1">
        <v>2</v>
      </c>
      <c r="F153" s="1">
        <v>13</v>
      </c>
      <c r="G153" s="1" t="b">
        <v>0</v>
      </c>
      <c r="H153" s="1">
        <v>5</v>
      </c>
      <c r="I153" s="1">
        <v>2</v>
      </c>
      <c r="J153" s="1">
        <v>0.26</v>
      </c>
      <c r="K153" s="1">
        <v>0.2576</v>
      </c>
      <c r="L153" s="1">
        <v>0.5</v>
      </c>
      <c r="M153" s="1">
        <v>0.22389999999999999</v>
      </c>
      <c r="N153" s="1">
        <v>9</v>
      </c>
      <c r="O153" s="1">
        <v>73</v>
      </c>
      <c r="P153" s="1">
        <v>82</v>
      </c>
    </row>
    <row r="154" spans="1:16" x14ac:dyDescent="0.25">
      <c r="A154" s="1">
        <v>772</v>
      </c>
      <c r="B154" s="2">
        <v>40578</v>
      </c>
      <c r="C154" s="1">
        <v>1</v>
      </c>
      <c r="D154" s="1">
        <v>0</v>
      </c>
      <c r="E154" s="1">
        <v>2</v>
      </c>
      <c r="F154" s="1">
        <v>14</v>
      </c>
      <c r="G154" s="1" t="b">
        <v>0</v>
      </c>
      <c r="H154" s="1">
        <v>5</v>
      </c>
      <c r="I154" s="1">
        <v>2</v>
      </c>
      <c r="J154" s="1">
        <v>0.28000000000000003</v>
      </c>
      <c r="K154" s="1">
        <v>0.2727</v>
      </c>
      <c r="L154" s="1">
        <v>0.45</v>
      </c>
      <c r="M154" s="1">
        <v>0.16420000000000001</v>
      </c>
      <c r="N154" s="1">
        <v>15</v>
      </c>
      <c r="O154" s="1">
        <v>76</v>
      </c>
      <c r="P154" s="1">
        <v>91</v>
      </c>
    </row>
    <row r="155" spans="1:16" x14ac:dyDescent="0.25">
      <c r="A155" s="1">
        <v>773</v>
      </c>
      <c r="B155" s="2">
        <v>40578</v>
      </c>
      <c r="C155" s="1">
        <v>1</v>
      </c>
      <c r="D155" s="1">
        <v>0</v>
      </c>
      <c r="E155" s="1">
        <v>2</v>
      </c>
      <c r="F155" s="1">
        <v>15</v>
      </c>
      <c r="G155" s="1" t="b">
        <v>0</v>
      </c>
      <c r="H155" s="1">
        <v>5</v>
      </c>
      <c r="I155" s="1">
        <v>2</v>
      </c>
      <c r="J155" s="1">
        <v>0.28000000000000003</v>
      </c>
      <c r="K155" s="1">
        <v>0.2727</v>
      </c>
      <c r="L155" s="1">
        <v>0.48</v>
      </c>
      <c r="M155" s="1">
        <v>0.25369999999999998</v>
      </c>
      <c r="N155" s="1">
        <v>9</v>
      </c>
      <c r="O155" s="1">
        <v>81</v>
      </c>
      <c r="P155" s="1">
        <v>90</v>
      </c>
    </row>
    <row r="156" spans="1:16" x14ac:dyDescent="0.25">
      <c r="A156" s="1">
        <v>774</v>
      </c>
      <c r="B156" s="2">
        <v>40578</v>
      </c>
      <c r="C156" s="1">
        <v>1</v>
      </c>
      <c r="D156" s="1">
        <v>0</v>
      </c>
      <c r="E156" s="1">
        <v>2</v>
      </c>
      <c r="F156" s="1">
        <v>16</v>
      </c>
      <c r="G156" s="1" t="b">
        <v>0</v>
      </c>
      <c r="H156" s="1">
        <v>5</v>
      </c>
      <c r="I156" s="1">
        <v>2</v>
      </c>
      <c r="J156" s="1">
        <v>0.3</v>
      </c>
      <c r="K156" s="1">
        <v>0.28789999999999999</v>
      </c>
      <c r="L156" s="1">
        <v>0.42</v>
      </c>
      <c r="M156" s="1">
        <v>0.22389999999999999</v>
      </c>
      <c r="N156" s="1">
        <v>8</v>
      </c>
      <c r="O156" s="1">
        <v>91</v>
      </c>
      <c r="P156" s="1">
        <v>99</v>
      </c>
    </row>
    <row r="157" spans="1:16" x14ac:dyDescent="0.25">
      <c r="A157" s="1">
        <v>775</v>
      </c>
      <c r="B157" s="2">
        <v>40578</v>
      </c>
      <c r="C157" s="1">
        <v>1</v>
      </c>
      <c r="D157" s="1">
        <v>0</v>
      </c>
      <c r="E157" s="1">
        <v>2</v>
      </c>
      <c r="F157" s="1">
        <v>17</v>
      </c>
      <c r="G157" s="1" t="b">
        <v>0</v>
      </c>
      <c r="H157" s="1">
        <v>5</v>
      </c>
      <c r="I157" s="1">
        <v>2</v>
      </c>
      <c r="J157" s="1">
        <v>0.26</v>
      </c>
      <c r="K157" s="1">
        <v>0.2727</v>
      </c>
      <c r="L157" s="1">
        <v>0.56000000000000005</v>
      </c>
      <c r="M157" s="1">
        <v>0.1343</v>
      </c>
      <c r="N157" s="1">
        <v>10</v>
      </c>
      <c r="O157" s="1">
        <v>195</v>
      </c>
      <c r="P157" s="1">
        <v>205</v>
      </c>
    </row>
    <row r="158" spans="1:16" x14ac:dyDescent="0.25">
      <c r="A158" s="1">
        <v>776</v>
      </c>
      <c r="B158" s="2">
        <v>40578</v>
      </c>
      <c r="C158" s="1">
        <v>1</v>
      </c>
      <c r="D158" s="1">
        <v>0</v>
      </c>
      <c r="E158" s="1">
        <v>2</v>
      </c>
      <c r="F158" s="1">
        <v>18</v>
      </c>
      <c r="G158" s="1" t="b">
        <v>0</v>
      </c>
      <c r="H158" s="1">
        <v>5</v>
      </c>
      <c r="I158" s="1">
        <v>2</v>
      </c>
      <c r="J158" s="1">
        <v>0.24</v>
      </c>
      <c r="K158" s="1">
        <v>0.2576</v>
      </c>
      <c r="L158" s="1">
        <v>0.6</v>
      </c>
      <c r="M158" s="1">
        <v>0.1045</v>
      </c>
      <c r="N158" s="1">
        <v>3</v>
      </c>
      <c r="O158" s="1">
        <v>152</v>
      </c>
      <c r="P158" s="1">
        <v>155</v>
      </c>
    </row>
    <row r="159" spans="1:16" x14ac:dyDescent="0.25">
      <c r="A159" s="1">
        <v>777</v>
      </c>
      <c r="B159" s="2">
        <v>40578</v>
      </c>
      <c r="C159" s="1">
        <v>1</v>
      </c>
      <c r="D159" s="1">
        <v>0</v>
      </c>
      <c r="E159" s="1">
        <v>2</v>
      </c>
      <c r="F159" s="1">
        <v>19</v>
      </c>
      <c r="G159" s="1" t="b">
        <v>0</v>
      </c>
      <c r="H159" s="1">
        <v>5</v>
      </c>
      <c r="I159" s="1">
        <v>2</v>
      </c>
      <c r="J159" s="1">
        <v>0.24</v>
      </c>
      <c r="K159" s="1">
        <v>0.2424</v>
      </c>
      <c r="L159" s="1">
        <v>0.65</v>
      </c>
      <c r="M159" s="1">
        <v>0.1343</v>
      </c>
      <c r="N159" s="1">
        <v>1</v>
      </c>
      <c r="O159" s="1">
        <v>102</v>
      </c>
      <c r="P159" s="1">
        <v>103</v>
      </c>
    </row>
    <row r="160" spans="1:16" x14ac:dyDescent="0.25">
      <c r="A160" s="1">
        <v>778</v>
      </c>
      <c r="B160" s="2">
        <v>40578</v>
      </c>
      <c r="C160" s="1">
        <v>1</v>
      </c>
      <c r="D160" s="1">
        <v>0</v>
      </c>
      <c r="E160" s="1">
        <v>2</v>
      </c>
      <c r="F160" s="1">
        <v>20</v>
      </c>
      <c r="G160" s="1" t="b">
        <v>0</v>
      </c>
      <c r="H160" s="1">
        <v>5</v>
      </c>
      <c r="I160" s="1">
        <v>2</v>
      </c>
      <c r="J160" s="1">
        <v>0.24</v>
      </c>
      <c r="K160" s="1">
        <v>0.2424</v>
      </c>
      <c r="L160" s="1">
        <v>0.65</v>
      </c>
      <c r="M160" s="1">
        <v>0.16420000000000001</v>
      </c>
      <c r="N160" s="1">
        <v>2</v>
      </c>
      <c r="O160" s="1">
        <v>69</v>
      </c>
      <c r="P160" s="1">
        <v>71</v>
      </c>
    </row>
    <row r="161" spans="1:16" x14ac:dyDescent="0.25">
      <c r="A161" s="1">
        <v>779</v>
      </c>
      <c r="B161" s="2">
        <v>40578</v>
      </c>
      <c r="C161" s="1">
        <v>1</v>
      </c>
      <c r="D161" s="1">
        <v>0</v>
      </c>
      <c r="E161" s="1">
        <v>2</v>
      </c>
      <c r="F161" s="1">
        <v>21</v>
      </c>
      <c r="G161" s="1" t="b">
        <v>0</v>
      </c>
      <c r="H161" s="1">
        <v>5</v>
      </c>
      <c r="I161" s="1">
        <v>2</v>
      </c>
      <c r="J161" s="1">
        <v>0.24</v>
      </c>
      <c r="K161" s="1">
        <v>0.2424</v>
      </c>
      <c r="L161" s="1">
        <v>0.7</v>
      </c>
      <c r="M161" s="1">
        <v>0.16420000000000001</v>
      </c>
      <c r="N161" s="1">
        <v>2</v>
      </c>
      <c r="O161" s="1">
        <v>41</v>
      </c>
      <c r="P161" s="1">
        <v>43</v>
      </c>
    </row>
    <row r="162" spans="1:16" x14ac:dyDescent="0.25">
      <c r="A162" s="1">
        <v>780</v>
      </c>
      <c r="B162" s="2">
        <v>40578</v>
      </c>
      <c r="C162" s="1">
        <v>1</v>
      </c>
      <c r="D162" s="1">
        <v>0</v>
      </c>
      <c r="E162" s="1">
        <v>2</v>
      </c>
      <c r="F162" s="1">
        <v>22</v>
      </c>
      <c r="G162" s="1" t="b">
        <v>0</v>
      </c>
      <c r="H162" s="1">
        <v>5</v>
      </c>
      <c r="I162" s="1">
        <v>2</v>
      </c>
      <c r="J162" s="1">
        <v>0.24</v>
      </c>
      <c r="K162" s="1">
        <v>0.2424</v>
      </c>
      <c r="L162" s="1">
        <v>0.65</v>
      </c>
      <c r="M162" s="1">
        <v>0.16420000000000001</v>
      </c>
      <c r="N162" s="1">
        <v>1</v>
      </c>
      <c r="O162" s="1">
        <v>45</v>
      </c>
      <c r="P162" s="1">
        <v>46</v>
      </c>
    </row>
    <row r="163" spans="1:16" x14ac:dyDescent="0.25">
      <c r="A163" s="1">
        <v>781</v>
      </c>
      <c r="B163" s="2">
        <v>40578</v>
      </c>
      <c r="C163" s="1">
        <v>1</v>
      </c>
      <c r="D163" s="1">
        <v>0</v>
      </c>
      <c r="E163" s="1">
        <v>2</v>
      </c>
      <c r="F163" s="1">
        <v>23</v>
      </c>
      <c r="G163" s="1" t="b">
        <v>0</v>
      </c>
      <c r="H163" s="1">
        <v>5</v>
      </c>
      <c r="I163" s="1">
        <v>2</v>
      </c>
      <c r="J163" s="1">
        <v>0.24</v>
      </c>
      <c r="K163" s="1">
        <v>0.2424</v>
      </c>
      <c r="L163" s="1">
        <v>0.7</v>
      </c>
      <c r="M163" s="1">
        <v>0.1343</v>
      </c>
      <c r="N163" s="1">
        <v>1</v>
      </c>
      <c r="O163" s="1">
        <v>30</v>
      </c>
      <c r="P163" s="1">
        <v>31</v>
      </c>
    </row>
    <row r="164" spans="1:16" x14ac:dyDescent="0.25">
      <c r="A164" s="1">
        <v>782</v>
      </c>
      <c r="B164" s="2">
        <v>40579</v>
      </c>
      <c r="C164" s="1">
        <v>1</v>
      </c>
      <c r="D164" s="1">
        <v>0</v>
      </c>
      <c r="E164" s="1">
        <v>2</v>
      </c>
      <c r="F164" s="1">
        <v>0</v>
      </c>
      <c r="G164" s="1" t="b">
        <v>0</v>
      </c>
      <c r="H164" s="1">
        <v>6</v>
      </c>
      <c r="I164" s="1">
        <v>2</v>
      </c>
      <c r="J164" s="1">
        <v>0.24</v>
      </c>
      <c r="K164" s="1">
        <v>0.2424</v>
      </c>
      <c r="L164" s="1">
        <v>0.7</v>
      </c>
      <c r="M164" s="1">
        <v>0.16420000000000001</v>
      </c>
      <c r="N164" s="1">
        <v>3</v>
      </c>
      <c r="O164" s="1">
        <v>36</v>
      </c>
      <c r="P164" s="1">
        <v>39</v>
      </c>
    </row>
    <row r="165" spans="1:16" x14ac:dyDescent="0.25">
      <c r="A165" s="1">
        <v>783</v>
      </c>
      <c r="B165" s="2">
        <v>40579</v>
      </c>
      <c r="C165" s="1">
        <v>1</v>
      </c>
      <c r="D165" s="1">
        <v>0</v>
      </c>
      <c r="E165" s="1">
        <v>2</v>
      </c>
      <c r="F165" s="1">
        <v>1</v>
      </c>
      <c r="G165" s="1" t="b">
        <v>0</v>
      </c>
      <c r="H165" s="1">
        <v>6</v>
      </c>
      <c r="I165" s="1">
        <v>2</v>
      </c>
      <c r="J165" s="1">
        <v>0.24</v>
      </c>
      <c r="K165" s="1">
        <v>0.2424</v>
      </c>
      <c r="L165" s="1">
        <v>0.65</v>
      </c>
      <c r="M165" s="1">
        <v>0.16420000000000001</v>
      </c>
      <c r="N165" s="1">
        <v>1</v>
      </c>
      <c r="O165" s="1">
        <v>17</v>
      </c>
      <c r="P165" s="1">
        <v>18</v>
      </c>
    </row>
    <row r="166" spans="1:16" x14ac:dyDescent="0.25">
      <c r="A166" s="1">
        <v>784</v>
      </c>
      <c r="B166" s="2">
        <v>40579</v>
      </c>
      <c r="C166" s="1">
        <v>1</v>
      </c>
      <c r="D166" s="1">
        <v>0</v>
      </c>
      <c r="E166" s="1">
        <v>2</v>
      </c>
      <c r="F166" s="1">
        <v>2</v>
      </c>
      <c r="G166" s="1" t="b">
        <v>0</v>
      </c>
      <c r="H166" s="1">
        <v>6</v>
      </c>
      <c r="I166" s="1">
        <v>2</v>
      </c>
      <c r="J166" s="1">
        <v>0.24</v>
      </c>
      <c r="K166" s="1">
        <v>0.2424</v>
      </c>
      <c r="L166" s="1">
        <v>0.75</v>
      </c>
      <c r="M166" s="1">
        <v>0.16420000000000001</v>
      </c>
      <c r="N166" s="1">
        <v>5</v>
      </c>
      <c r="O166" s="1">
        <v>12</v>
      </c>
      <c r="P166" s="1">
        <v>17</v>
      </c>
    </row>
    <row r="167" spans="1:16" x14ac:dyDescent="0.25">
      <c r="A167" s="1">
        <v>785</v>
      </c>
      <c r="B167" s="2">
        <v>40579</v>
      </c>
      <c r="C167" s="1">
        <v>1</v>
      </c>
      <c r="D167" s="1">
        <v>0</v>
      </c>
      <c r="E167" s="1">
        <v>2</v>
      </c>
      <c r="F167" s="1">
        <v>3</v>
      </c>
      <c r="G167" s="1" t="b">
        <v>0</v>
      </c>
      <c r="H167" s="1">
        <v>6</v>
      </c>
      <c r="I167" s="1">
        <v>2</v>
      </c>
      <c r="J167" s="1">
        <v>0.24</v>
      </c>
      <c r="K167" s="1">
        <v>0.2424</v>
      </c>
      <c r="L167" s="1">
        <v>0.75</v>
      </c>
      <c r="M167" s="1">
        <v>0.16420000000000001</v>
      </c>
      <c r="N167" s="1">
        <v>1</v>
      </c>
      <c r="O167" s="1">
        <v>10</v>
      </c>
      <c r="P167" s="1">
        <v>11</v>
      </c>
    </row>
    <row r="168" spans="1:16" x14ac:dyDescent="0.25">
      <c r="A168" s="1">
        <v>786</v>
      </c>
      <c r="B168" s="2">
        <v>40579</v>
      </c>
      <c r="C168" s="1">
        <v>1</v>
      </c>
      <c r="D168" s="1">
        <v>0</v>
      </c>
      <c r="E168" s="1">
        <v>2</v>
      </c>
      <c r="F168" s="1">
        <v>4</v>
      </c>
      <c r="G168" s="1" t="b">
        <v>0</v>
      </c>
      <c r="H168" s="1">
        <v>6</v>
      </c>
      <c r="I168" s="1">
        <v>3</v>
      </c>
      <c r="J168" s="1">
        <v>0.22</v>
      </c>
      <c r="K168" s="1">
        <v>0.2273</v>
      </c>
      <c r="L168" s="1">
        <v>0.93</v>
      </c>
      <c r="M168" s="1">
        <v>0.1343</v>
      </c>
      <c r="N168" s="1">
        <v>0</v>
      </c>
      <c r="O168" s="1">
        <v>8</v>
      </c>
      <c r="P168" s="1">
        <v>8</v>
      </c>
    </row>
    <row r="169" spans="1:16" x14ac:dyDescent="0.25">
      <c r="A169" s="1">
        <v>787</v>
      </c>
      <c r="B169" s="2">
        <v>40579</v>
      </c>
      <c r="C169" s="1">
        <v>1</v>
      </c>
      <c r="D169" s="1">
        <v>0</v>
      </c>
      <c r="E169" s="1">
        <v>2</v>
      </c>
      <c r="F169" s="1">
        <v>5</v>
      </c>
      <c r="G169" s="1" t="b">
        <v>0</v>
      </c>
      <c r="H169" s="1">
        <v>6</v>
      </c>
      <c r="I169" s="1">
        <v>3</v>
      </c>
      <c r="J169" s="1">
        <v>0.2</v>
      </c>
      <c r="K169" s="1">
        <v>0.2273</v>
      </c>
      <c r="L169" s="1">
        <v>1</v>
      </c>
      <c r="M169" s="1">
        <v>8.9599999999999999E-2</v>
      </c>
      <c r="N169" s="1">
        <v>0</v>
      </c>
      <c r="O169" s="1">
        <v>9</v>
      </c>
      <c r="P169" s="1">
        <v>9</v>
      </c>
    </row>
    <row r="170" spans="1:16" x14ac:dyDescent="0.25">
      <c r="A170" s="1">
        <v>788</v>
      </c>
      <c r="B170" s="2">
        <v>40579</v>
      </c>
      <c r="C170" s="1">
        <v>1</v>
      </c>
      <c r="D170" s="1">
        <v>0</v>
      </c>
      <c r="E170" s="1">
        <v>2</v>
      </c>
      <c r="F170" s="1">
        <v>6</v>
      </c>
      <c r="G170" s="1" t="b">
        <v>0</v>
      </c>
      <c r="H170" s="1">
        <v>6</v>
      </c>
      <c r="I170" s="1">
        <v>3</v>
      </c>
      <c r="J170" s="1">
        <v>0.2</v>
      </c>
      <c r="K170" s="1">
        <v>0.2576</v>
      </c>
      <c r="L170" s="1">
        <v>1</v>
      </c>
      <c r="M170" s="1">
        <v>0</v>
      </c>
      <c r="N170" s="1">
        <v>0</v>
      </c>
      <c r="O170" s="1">
        <v>4</v>
      </c>
      <c r="P170" s="1">
        <v>4</v>
      </c>
    </row>
    <row r="171" spans="1:16" x14ac:dyDescent="0.25">
      <c r="A171" s="1">
        <v>789</v>
      </c>
      <c r="B171" s="2">
        <v>40579</v>
      </c>
      <c r="C171" s="1">
        <v>1</v>
      </c>
      <c r="D171" s="1">
        <v>0</v>
      </c>
      <c r="E171" s="1">
        <v>2</v>
      </c>
      <c r="F171" s="1">
        <v>7</v>
      </c>
      <c r="G171" s="1" t="b">
        <v>0</v>
      </c>
      <c r="H171" s="1">
        <v>6</v>
      </c>
      <c r="I171" s="1">
        <v>3</v>
      </c>
      <c r="J171" s="1">
        <v>0.22</v>
      </c>
      <c r="K171" s="1">
        <v>0.2576</v>
      </c>
      <c r="L171" s="1">
        <v>0.93</v>
      </c>
      <c r="M171" s="1">
        <v>8.9599999999999999E-2</v>
      </c>
      <c r="N171" s="1">
        <v>0</v>
      </c>
      <c r="O171" s="1">
        <v>4</v>
      </c>
      <c r="P171" s="1">
        <v>4</v>
      </c>
    </row>
    <row r="172" spans="1:16" x14ac:dyDescent="0.25">
      <c r="A172" s="1">
        <v>790</v>
      </c>
      <c r="B172" s="2">
        <v>40579</v>
      </c>
      <c r="C172" s="1">
        <v>1</v>
      </c>
      <c r="D172" s="1">
        <v>0</v>
      </c>
      <c r="E172" s="1">
        <v>2</v>
      </c>
      <c r="F172" s="1">
        <v>8</v>
      </c>
      <c r="G172" s="1" t="b">
        <v>0</v>
      </c>
      <c r="H172" s="1">
        <v>6</v>
      </c>
      <c r="I172" s="1">
        <v>3</v>
      </c>
      <c r="J172" s="1">
        <v>0.2</v>
      </c>
      <c r="K172" s="1">
        <v>0.2273</v>
      </c>
      <c r="L172" s="1">
        <v>1</v>
      </c>
      <c r="M172" s="1">
        <v>8.9599999999999999E-2</v>
      </c>
      <c r="N172" s="1">
        <v>0</v>
      </c>
      <c r="O172" s="1">
        <v>10</v>
      </c>
      <c r="P172" s="1">
        <v>10</v>
      </c>
    </row>
    <row r="173" spans="1:16" x14ac:dyDescent="0.25">
      <c r="A173" s="1">
        <v>791</v>
      </c>
      <c r="B173" s="2">
        <v>40579</v>
      </c>
      <c r="C173" s="1">
        <v>1</v>
      </c>
      <c r="D173" s="1">
        <v>0</v>
      </c>
      <c r="E173" s="1">
        <v>2</v>
      </c>
      <c r="F173" s="1">
        <v>9</v>
      </c>
      <c r="G173" s="1" t="b">
        <v>0</v>
      </c>
      <c r="H173" s="1">
        <v>6</v>
      </c>
      <c r="I173" s="1">
        <v>3</v>
      </c>
      <c r="J173" s="1">
        <v>0.2</v>
      </c>
      <c r="K173" s="1">
        <v>0.2273</v>
      </c>
      <c r="L173" s="1">
        <v>1</v>
      </c>
      <c r="M173" s="1">
        <v>8.9599999999999999E-2</v>
      </c>
      <c r="N173" s="1">
        <v>3</v>
      </c>
      <c r="O173" s="1">
        <v>17</v>
      </c>
      <c r="P173" s="1">
        <v>20</v>
      </c>
    </row>
    <row r="174" spans="1:16" x14ac:dyDescent="0.25">
      <c r="A174" s="1">
        <v>792</v>
      </c>
      <c r="B174" s="2">
        <v>40579</v>
      </c>
      <c r="C174" s="1">
        <v>1</v>
      </c>
      <c r="D174" s="1">
        <v>0</v>
      </c>
      <c r="E174" s="1">
        <v>2</v>
      </c>
      <c r="F174" s="1">
        <v>10</v>
      </c>
      <c r="G174" s="1" t="b">
        <v>0</v>
      </c>
      <c r="H174" s="1">
        <v>6</v>
      </c>
      <c r="I174" s="1">
        <v>3</v>
      </c>
      <c r="J174" s="1">
        <v>0.2</v>
      </c>
      <c r="K174" s="1">
        <v>0.21210000000000001</v>
      </c>
      <c r="L174" s="1">
        <v>1</v>
      </c>
      <c r="M174" s="1">
        <v>0.1343</v>
      </c>
      <c r="N174" s="1">
        <v>3</v>
      </c>
      <c r="O174" s="1">
        <v>31</v>
      </c>
      <c r="P174" s="1">
        <v>34</v>
      </c>
    </row>
    <row r="175" spans="1:16" x14ac:dyDescent="0.25">
      <c r="A175" s="1">
        <v>793</v>
      </c>
      <c r="B175" s="2">
        <v>40579</v>
      </c>
      <c r="C175" s="1">
        <v>1</v>
      </c>
      <c r="D175" s="1">
        <v>0</v>
      </c>
      <c r="E175" s="1">
        <v>2</v>
      </c>
      <c r="F175" s="1">
        <v>11</v>
      </c>
      <c r="G175" s="1" t="b">
        <v>0</v>
      </c>
      <c r="H175" s="1">
        <v>6</v>
      </c>
      <c r="I175" s="1">
        <v>3</v>
      </c>
      <c r="J175" s="1">
        <v>0.22</v>
      </c>
      <c r="K175" s="1">
        <v>0.2273</v>
      </c>
      <c r="L175" s="1">
        <v>1</v>
      </c>
      <c r="M175" s="1">
        <v>0.1343</v>
      </c>
      <c r="N175" s="1">
        <v>1</v>
      </c>
      <c r="O175" s="1">
        <v>46</v>
      </c>
      <c r="P175" s="1">
        <v>47</v>
      </c>
    </row>
    <row r="176" spans="1:16" x14ac:dyDescent="0.25">
      <c r="A176" s="1">
        <v>794</v>
      </c>
      <c r="B176" s="2">
        <v>40579</v>
      </c>
      <c r="C176" s="1">
        <v>1</v>
      </c>
      <c r="D176" s="1">
        <v>0</v>
      </c>
      <c r="E176" s="1">
        <v>2</v>
      </c>
      <c r="F176" s="1">
        <v>12</v>
      </c>
      <c r="G176" s="1" t="b">
        <v>0</v>
      </c>
      <c r="H176" s="1">
        <v>6</v>
      </c>
      <c r="I176" s="1">
        <v>3</v>
      </c>
      <c r="J176" s="1">
        <v>0.22</v>
      </c>
      <c r="K176" s="1">
        <v>0.2273</v>
      </c>
      <c r="L176" s="1">
        <v>1</v>
      </c>
      <c r="M176" s="1">
        <v>0.16420000000000001</v>
      </c>
      <c r="N176" s="1">
        <v>10</v>
      </c>
      <c r="O176" s="1">
        <v>42</v>
      </c>
      <c r="P176" s="1">
        <v>52</v>
      </c>
    </row>
    <row r="177" spans="1:16" x14ac:dyDescent="0.25">
      <c r="A177" s="1">
        <v>795</v>
      </c>
      <c r="B177" s="2">
        <v>40579</v>
      </c>
      <c r="C177" s="1">
        <v>1</v>
      </c>
      <c r="D177" s="1">
        <v>0</v>
      </c>
      <c r="E177" s="1">
        <v>2</v>
      </c>
      <c r="F177" s="1">
        <v>13</v>
      </c>
      <c r="G177" s="1" t="b">
        <v>0</v>
      </c>
      <c r="H177" s="1">
        <v>6</v>
      </c>
      <c r="I177" s="1">
        <v>3</v>
      </c>
      <c r="J177" s="1">
        <v>0.22</v>
      </c>
      <c r="K177" s="1">
        <v>0.2273</v>
      </c>
      <c r="L177" s="1">
        <v>1</v>
      </c>
      <c r="M177" s="1">
        <v>0.16420000000000001</v>
      </c>
      <c r="N177" s="1">
        <v>10</v>
      </c>
      <c r="O177" s="1">
        <v>62</v>
      </c>
      <c r="P177" s="1">
        <v>72</v>
      </c>
    </row>
    <row r="178" spans="1:16" x14ac:dyDescent="0.25">
      <c r="A178" s="1">
        <v>796</v>
      </c>
      <c r="B178" s="2">
        <v>40579</v>
      </c>
      <c r="C178" s="1">
        <v>1</v>
      </c>
      <c r="D178" s="1">
        <v>0</v>
      </c>
      <c r="E178" s="1">
        <v>2</v>
      </c>
      <c r="F178" s="1">
        <v>14</v>
      </c>
      <c r="G178" s="1" t="b">
        <v>0</v>
      </c>
      <c r="H178" s="1">
        <v>6</v>
      </c>
      <c r="I178" s="1">
        <v>3</v>
      </c>
      <c r="J178" s="1">
        <v>0.22</v>
      </c>
      <c r="K178" s="1">
        <v>0.2727</v>
      </c>
      <c r="L178" s="1">
        <v>1</v>
      </c>
      <c r="M178" s="1">
        <v>0</v>
      </c>
      <c r="N178" s="1">
        <v>5</v>
      </c>
      <c r="O178" s="1">
        <v>50</v>
      </c>
      <c r="P178" s="1">
        <v>55</v>
      </c>
    </row>
    <row r="179" spans="1:16" x14ac:dyDescent="0.25">
      <c r="A179" s="1">
        <v>797</v>
      </c>
      <c r="B179" s="2">
        <v>40579</v>
      </c>
      <c r="C179" s="1">
        <v>1</v>
      </c>
      <c r="D179" s="1">
        <v>0</v>
      </c>
      <c r="E179" s="1">
        <v>2</v>
      </c>
      <c r="F179" s="1">
        <v>15</v>
      </c>
      <c r="G179" s="1" t="b">
        <v>0</v>
      </c>
      <c r="H179" s="1">
        <v>6</v>
      </c>
      <c r="I179" s="1">
        <v>3</v>
      </c>
      <c r="J179" s="1">
        <v>0.22</v>
      </c>
      <c r="K179" s="1">
        <v>0.2727</v>
      </c>
      <c r="L179" s="1">
        <v>1</v>
      </c>
      <c r="M179" s="1">
        <v>0</v>
      </c>
      <c r="N179" s="1">
        <v>11</v>
      </c>
      <c r="O179" s="1">
        <v>49</v>
      </c>
      <c r="P179" s="1">
        <v>60</v>
      </c>
    </row>
    <row r="180" spans="1:16" x14ac:dyDescent="0.25">
      <c r="A180" s="1">
        <v>798</v>
      </c>
      <c r="B180" s="2">
        <v>40579</v>
      </c>
      <c r="C180" s="1">
        <v>1</v>
      </c>
      <c r="D180" s="1">
        <v>0</v>
      </c>
      <c r="E180" s="1">
        <v>2</v>
      </c>
      <c r="F180" s="1">
        <v>16</v>
      </c>
      <c r="G180" s="1" t="b">
        <v>0</v>
      </c>
      <c r="H180" s="1">
        <v>6</v>
      </c>
      <c r="I180" s="1">
        <v>3</v>
      </c>
      <c r="J180" s="1">
        <v>0.22</v>
      </c>
      <c r="K180" s="1">
        <v>0.2273</v>
      </c>
      <c r="L180" s="1">
        <v>1</v>
      </c>
      <c r="M180" s="1">
        <v>0.1343</v>
      </c>
      <c r="N180" s="1">
        <v>8</v>
      </c>
      <c r="O180" s="1">
        <v>63</v>
      </c>
      <c r="P180" s="1">
        <v>71</v>
      </c>
    </row>
    <row r="181" spans="1:16" x14ac:dyDescent="0.25">
      <c r="A181" s="1">
        <v>799</v>
      </c>
      <c r="B181" s="2">
        <v>40579</v>
      </c>
      <c r="C181" s="1">
        <v>1</v>
      </c>
      <c r="D181" s="1">
        <v>0</v>
      </c>
      <c r="E181" s="1">
        <v>2</v>
      </c>
      <c r="F181" s="1">
        <v>17</v>
      </c>
      <c r="G181" s="1" t="b">
        <v>0</v>
      </c>
      <c r="H181" s="1">
        <v>6</v>
      </c>
      <c r="I181" s="1">
        <v>2</v>
      </c>
      <c r="J181" s="1">
        <v>0.24</v>
      </c>
      <c r="K181" s="1">
        <v>0.21210000000000001</v>
      </c>
      <c r="L181" s="1">
        <v>1</v>
      </c>
      <c r="M181" s="1">
        <v>0.28360000000000002</v>
      </c>
      <c r="N181" s="1">
        <v>14</v>
      </c>
      <c r="O181" s="1">
        <v>64</v>
      </c>
      <c r="P181" s="1">
        <v>78</v>
      </c>
    </row>
    <row r="182" spans="1:16" x14ac:dyDescent="0.25">
      <c r="A182" s="1">
        <v>800</v>
      </c>
      <c r="B182" s="2">
        <v>40579</v>
      </c>
      <c r="C182" s="1">
        <v>1</v>
      </c>
      <c r="D182" s="1">
        <v>0</v>
      </c>
      <c r="E182" s="1">
        <v>2</v>
      </c>
      <c r="F182" s="1">
        <v>18</v>
      </c>
      <c r="G182" s="1" t="b">
        <v>0</v>
      </c>
      <c r="H182" s="1">
        <v>6</v>
      </c>
      <c r="I182" s="1">
        <v>2</v>
      </c>
      <c r="J182" s="1">
        <v>0.28000000000000003</v>
      </c>
      <c r="K182" s="1">
        <v>0.2424</v>
      </c>
      <c r="L182" s="1">
        <v>0.93</v>
      </c>
      <c r="M182" s="1">
        <v>0.44779999999999998</v>
      </c>
      <c r="N182" s="1">
        <v>2</v>
      </c>
      <c r="O182" s="1">
        <v>81</v>
      </c>
      <c r="P182" s="1">
        <v>83</v>
      </c>
    </row>
    <row r="183" spans="1:16" x14ac:dyDescent="0.25">
      <c r="A183" s="1">
        <v>801</v>
      </c>
      <c r="B183" s="2">
        <v>40579</v>
      </c>
      <c r="C183" s="1">
        <v>1</v>
      </c>
      <c r="D183" s="1">
        <v>0</v>
      </c>
      <c r="E183" s="1">
        <v>2</v>
      </c>
      <c r="F183" s="1">
        <v>19</v>
      </c>
      <c r="G183" s="1" t="b">
        <v>0</v>
      </c>
      <c r="H183" s="1">
        <v>6</v>
      </c>
      <c r="I183" s="1">
        <v>2</v>
      </c>
      <c r="J183" s="1">
        <v>0.28000000000000003</v>
      </c>
      <c r="K183" s="1">
        <v>0.2424</v>
      </c>
      <c r="L183" s="1">
        <v>0.93</v>
      </c>
      <c r="M183" s="1">
        <v>0.44779999999999998</v>
      </c>
      <c r="N183" s="1">
        <v>6</v>
      </c>
      <c r="O183" s="1">
        <v>78</v>
      </c>
      <c r="P183" s="1">
        <v>84</v>
      </c>
    </row>
    <row r="184" spans="1:16" x14ac:dyDescent="0.25">
      <c r="A184" s="1">
        <v>802</v>
      </c>
      <c r="B184" s="2">
        <v>40579</v>
      </c>
      <c r="C184" s="1">
        <v>1</v>
      </c>
      <c r="D184" s="1">
        <v>0</v>
      </c>
      <c r="E184" s="1">
        <v>2</v>
      </c>
      <c r="F184" s="1">
        <v>20</v>
      </c>
      <c r="G184" s="1" t="b">
        <v>0</v>
      </c>
      <c r="H184" s="1">
        <v>6</v>
      </c>
      <c r="I184" s="1">
        <v>1</v>
      </c>
      <c r="J184" s="1">
        <v>0.3</v>
      </c>
      <c r="K184" s="1">
        <v>0.28789999999999999</v>
      </c>
      <c r="L184" s="1">
        <v>0.87</v>
      </c>
      <c r="M184" s="1">
        <v>0.25369999999999998</v>
      </c>
      <c r="N184" s="1">
        <v>5</v>
      </c>
      <c r="O184" s="1">
        <v>64</v>
      </c>
      <c r="P184" s="1">
        <v>69</v>
      </c>
    </row>
    <row r="185" spans="1:16" x14ac:dyDescent="0.25">
      <c r="A185" s="1">
        <v>803</v>
      </c>
      <c r="B185" s="2">
        <v>40579</v>
      </c>
      <c r="C185" s="1">
        <v>1</v>
      </c>
      <c r="D185" s="1">
        <v>0</v>
      </c>
      <c r="E185" s="1">
        <v>2</v>
      </c>
      <c r="F185" s="1">
        <v>21</v>
      </c>
      <c r="G185" s="1" t="b">
        <v>0</v>
      </c>
      <c r="H185" s="1">
        <v>6</v>
      </c>
      <c r="I185" s="1">
        <v>1</v>
      </c>
      <c r="J185" s="1">
        <v>0.26</v>
      </c>
      <c r="K185" s="1">
        <v>0.2576</v>
      </c>
      <c r="L185" s="1">
        <v>1</v>
      </c>
      <c r="M185" s="1">
        <v>0.19400000000000001</v>
      </c>
      <c r="N185" s="1">
        <v>3</v>
      </c>
      <c r="O185" s="1">
        <v>53</v>
      </c>
      <c r="P185" s="1">
        <v>56</v>
      </c>
    </row>
    <row r="186" spans="1:16" x14ac:dyDescent="0.25">
      <c r="A186" s="1">
        <v>804</v>
      </c>
      <c r="B186" s="2">
        <v>40579</v>
      </c>
      <c r="C186" s="1">
        <v>1</v>
      </c>
      <c r="D186" s="1">
        <v>0</v>
      </c>
      <c r="E186" s="1">
        <v>2</v>
      </c>
      <c r="F186" s="1">
        <v>22</v>
      </c>
      <c r="G186" s="1" t="b">
        <v>0</v>
      </c>
      <c r="H186" s="1">
        <v>6</v>
      </c>
      <c r="I186" s="1">
        <v>1</v>
      </c>
      <c r="J186" s="1">
        <v>0.26</v>
      </c>
      <c r="K186" s="1">
        <v>0.2727</v>
      </c>
      <c r="L186" s="1">
        <v>0.93</v>
      </c>
      <c r="M186" s="1">
        <v>0.1343</v>
      </c>
      <c r="N186" s="1">
        <v>2</v>
      </c>
      <c r="O186" s="1">
        <v>43</v>
      </c>
      <c r="P186" s="1">
        <v>45</v>
      </c>
    </row>
    <row r="187" spans="1:16" x14ac:dyDescent="0.25">
      <c r="A187" s="1">
        <v>805</v>
      </c>
      <c r="B187" s="2">
        <v>40579</v>
      </c>
      <c r="C187" s="1">
        <v>1</v>
      </c>
      <c r="D187" s="1">
        <v>0</v>
      </c>
      <c r="E187" s="1">
        <v>2</v>
      </c>
      <c r="F187" s="1">
        <v>23</v>
      </c>
      <c r="G187" s="1" t="b">
        <v>0</v>
      </c>
      <c r="H187" s="1">
        <v>6</v>
      </c>
      <c r="I187" s="1">
        <v>1</v>
      </c>
      <c r="J187" s="1">
        <v>0.26</v>
      </c>
      <c r="K187" s="1">
        <v>0.2576</v>
      </c>
      <c r="L187" s="1">
        <v>0.93</v>
      </c>
      <c r="M187" s="1">
        <v>0.22389999999999999</v>
      </c>
      <c r="N187" s="1">
        <v>7</v>
      </c>
      <c r="O187" s="1">
        <v>52</v>
      </c>
      <c r="P187" s="1">
        <v>59</v>
      </c>
    </row>
    <row r="188" spans="1:16" x14ac:dyDescent="0.25">
      <c r="A188" s="1">
        <v>806</v>
      </c>
      <c r="B188" s="2">
        <v>40580</v>
      </c>
      <c r="C188" s="1">
        <v>1</v>
      </c>
      <c r="D188" s="1">
        <v>0</v>
      </c>
      <c r="E188" s="1">
        <v>2</v>
      </c>
      <c r="F188" s="1">
        <v>0</v>
      </c>
      <c r="G188" s="1" t="b">
        <v>0</v>
      </c>
      <c r="H188" s="1">
        <v>0</v>
      </c>
      <c r="I188" s="1">
        <v>1</v>
      </c>
      <c r="J188" s="1">
        <v>0.26</v>
      </c>
      <c r="K188" s="1">
        <v>0.2576</v>
      </c>
      <c r="L188" s="1">
        <v>0.7</v>
      </c>
      <c r="M188" s="1">
        <v>0.19400000000000001</v>
      </c>
      <c r="N188" s="1">
        <v>2</v>
      </c>
      <c r="O188" s="1">
        <v>37</v>
      </c>
      <c r="P188" s="1">
        <v>39</v>
      </c>
    </row>
    <row r="189" spans="1:16" x14ac:dyDescent="0.25">
      <c r="A189" s="1">
        <v>807</v>
      </c>
      <c r="B189" s="2">
        <v>40580</v>
      </c>
      <c r="C189" s="1">
        <v>1</v>
      </c>
      <c r="D189" s="1">
        <v>0</v>
      </c>
      <c r="E189" s="1">
        <v>2</v>
      </c>
      <c r="F189" s="1">
        <v>1</v>
      </c>
      <c r="G189" s="1" t="b">
        <v>0</v>
      </c>
      <c r="H189" s="1">
        <v>0</v>
      </c>
      <c r="I189" s="1">
        <v>1</v>
      </c>
      <c r="J189" s="1">
        <v>0.26</v>
      </c>
      <c r="K189" s="1">
        <v>0.2273</v>
      </c>
      <c r="L189" s="1">
        <v>0.65</v>
      </c>
      <c r="M189" s="1">
        <v>0.41789999999999999</v>
      </c>
      <c r="N189" s="1">
        <v>4</v>
      </c>
      <c r="O189" s="1">
        <v>40</v>
      </c>
      <c r="P189" s="1">
        <v>44</v>
      </c>
    </row>
    <row r="190" spans="1:16" x14ac:dyDescent="0.25">
      <c r="A190" s="1">
        <v>808</v>
      </c>
      <c r="B190" s="2">
        <v>40580</v>
      </c>
      <c r="C190" s="1">
        <v>1</v>
      </c>
      <c r="D190" s="1">
        <v>0</v>
      </c>
      <c r="E190" s="1">
        <v>2</v>
      </c>
      <c r="F190" s="1">
        <v>2</v>
      </c>
      <c r="G190" s="1" t="b">
        <v>0</v>
      </c>
      <c r="H190" s="1">
        <v>0</v>
      </c>
      <c r="I190" s="1">
        <v>1</v>
      </c>
      <c r="J190" s="1">
        <v>0.26</v>
      </c>
      <c r="K190" s="1">
        <v>0.2273</v>
      </c>
      <c r="L190" s="1">
        <v>0.6</v>
      </c>
      <c r="M190" s="1">
        <v>0.32840000000000003</v>
      </c>
      <c r="N190" s="1">
        <v>0</v>
      </c>
      <c r="O190" s="1">
        <v>20</v>
      </c>
      <c r="P190" s="1">
        <v>20</v>
      </c>
    </row>
    <row r="191" spans="1:16" x14ac:dyDescent="0.25">
      <c r="A191" s="1">
        <v>809</v>
      </c>
      <c r="B191" s="2">
        <v>40580</v>
      </c>
      <c r="C191" s="1">
        <v>1</v>
      </c>
      <c r="D191" s="1">
        <v>0</v>
      </c>
      <c r="E191" s="1">
        <v>2</v>
      </c>
      <c r="F191" s="1">
        <v>3</v>
      </c>
      <c r="G191" s="1" t="b">
        <v>0</v>
      </c>
      <c r="H191" s="1">
        <v>0</v>
      </c>
      <c r="I191" s="1">
        <v>1</v>
      </c>
      <c r="J191" s="1">
        <v>0.26</v>
      </c>
      <c r="K191" s="1">
        <v>0.28789999999999999</v>
      </c>
      <c r="L191" s="1">
        <v>0.6</v>
      </c>
      <c r="M191" s="1">
        <v>8.9599999999999999E-2</v>
      </c>
      <c r="N191" s="1">
        <v>3</v>
      </c>
      <c r="O191" s="1">
        <v>10</v>
      </c>
      <c r="P191" s="1">
        <v>13</v>
      </c>
    </row>
    <row r="192" spans="1:16" x14ac:dyDescent="0.25">
      <c r="A192" s="1">
        <v>810</v>
      </c>
      <c r="B192" s="2">
        <v>40580</v>
      </c>
      <c r="C192" s="1">
        <v>1</v>
      </c>
      <c r="D192" s="1">
        <v>0</v>
      </c>
      <c r="E192" s="1">
        <v>2</v>
      </c>
      <c r="F192" s="1">
        <v>4</v>
      </c>
      <c r="G192" s="1" t="b">
        <v>0</v>
      </c>
      <c r="H192" s="1">
        <v>0</v>
      </c>
      <c r="I192" s="1">
        <v>1</v>
      </c>
      <c r="J192" s="1">
        <v>0.26</v>
      </c>
      <c r="K192" s="1">
        <v>0.2273</v>
      </c>
      <c r="L192" s="1">
        <v>0.6</v>
      </c>
      <c r="M192" s="1">
        <v>0.35820000000000002</v>
      </c>
      <c r="N192" s="1">
        <v>0</v>
      </c>
      <c r="O192" s="1">
        <v>2</v>
      </c>
      <c r="P192" s="1">
        <v>2</v>
      </c>
    </row>
    <row r="193" spans="1:16" x14ac:dyDescent="0.25">
      <c r="A193" s="1">
        <v>811</v>
      </c>
      <c r="B193" s="2">
        <v>40580</v>
      </c>
      <c r="C193" s="1">
        <v>1</v>
      </c>
      <c r="D193" s="1">
        <v>0</v>
      </c>
      <c r="E193" s="1">
        <v>2</v>
      </c>
      <c r="F193" s="1">
        <v>5</v>
      </c>
      <c r="G193" s="1" t="b">
        <v>0</v>
      </c>
      <c r="H193" s="1">
        <v>0</v>
      </c>
      <c r="I193" s="1">
        <v>1</v>
      </c>
      <c r="J193" s="1">
        <v>0.26</v>
      </c>
      <c r="K193" s="1">
        <v>0.2576</v>
      </c>
      <c r="L193" s="1">
        <v>0.6</v>
      </c>
      <c r="M193" s="1">
        <v>0.22389999999999999</v>
      </c>
      <c r="N193" s="1">
        <v>0</v>
      </c>
      <c r="O193" s="1">
        <v>1</v>
      </c>
      <c r="P193" s="1">
        <v>1</v>
      </c>
    </row>
    <row r="194" spans="1:16" x14ac:dyDescent="0.25">
      <c r="A194" s="1">
        <v>812</v>
      </c>
      <c r="B194" s="2">
        <v>40580</v>
      </c>
      <c r="C194" s="1">
        <v>1</v>
      </c>
      <c r="D194" s="1">
        <v>0</v>
      </c>
      <c r="E194" s="1">
        <v>2</v>
      </c>
      <c r="F194" s="1">
        <v>6</v>
      </c>
      <c r="G194" s="1" t="b">
        <v>0</v>
      </c>
      <c r="H194" s="1">
        <v>0</v>
      </c>
      <c r="I194" s="1">
        <v>1</v>
      </c>
      <c r="J194" s="1">
        <v>0.26</v>
      </c>
      <c r="K194" s="1">
        <v>0.2576</v>
      </c>
      <c r="L194" s="1">
        <v>0.6</v>
      </c>
      <c r="M194" s="1">
        <v>0.22389999999999999</v>
      </c>
      <c r="N194" s="1">
        <v>0</v>
      </c>
      <c r="O194" s="1">
        <v>1</v>
      </c>
      <c r="P194" s="1">
        <v>1</v>
      </c>
    </row>
    <row r="195" spans="1:16" x14ac:dyDescent="0.25">
      <c r="A195" s="1">
        <v>813</v>
      </c>
      <c r="B195" s="2">
        <v>40580</v>
      </c>
      <c r="C195" s="1">
        <v>1</v>
      </c>
      <c r="D195" s="1">
        <v>0</v>
      </c>
      <c r="E195" s="1">
        <v>2</v>
      </c>
      <c r="F195" s="1">
        <v>7</v>
      </c>
      <c r="G195" s="1" t="b">
        <v>0</v>
      </c>
      <c r="H195" s="1">
        <v>0</v>
      </c>
      <c r="I195" s="1">
        <v>1</v>
      </c>
      <c r="J195" s="1">
        <v>0.24</v>
      </c>
      <c r="K195" s="1">
        <v>0.2424</v>
      </c>
      <c r="L195" s="1">
        <v>0.65</v>
      </c>
      <c r="M195" s="1">
        <v>0.16420000000000001</v>
      </c>
      <c r="N195" s="1">
        <v>0</v>
      </c>
      <c r="O195" s="1">
        <v>8</v>
      </c>
      <c r="P195" s="1">
        <v>8</v>
      </c>
    </row>
    <row r="196" spans="1:16" x14ac:dyDescent="0.25">
      <c r="A196" s="1">
        <v>814</v>
      </c>
      <c r="B196" s="2">
        <v>40580</v>
      </c>
      <c r="C196" s="1">
        <v>1</v>
      </c>
      <c r="D196" s="1">
        <v>0</v>
      </c>
      <c r="E196" s="1">
        <v>2</v>
      </c>
      <c r="F196" s="1">
        <v>8</v>
      </c>
      <c r="G196" s="1" t="b">
        <v>0</v>
      </c>
      <c r="H196" s="1">
        <v>0</v>
      </c>
      <c r="I196" s="1">
        <v>1</v>
      </c>
      <c r="J196" s="1">
        <v>0.24</v>
      </c>
      <c r="K196" s="1">
        <v>0.2576</v>
      </c>
      <c r="L196" s="1">
        <v>0.65</v>
      </c>
      <c r="M196" s="1">
        <v>0.1045</v>
      </c>
      <c r="N196" s="1">
        <v>2</v>
      </c>
      <c r="O196" s="1">
        <v>21</v>
      </c>
      <c r="P196" s="1">
        <v>23</v>
      </c>
    </row>
    <row r="197" spans="1:16" x14ac:dyDescent="0.25">
      <c r="A197" s="1">
        <v>815</v>
      </c>
      <c r="B197" s="2">
        <v>40580</v>
      </c>
      <c r="C197" s="1">
        <v>1</v>
      </c>
      <c r="D197" s="1">
        <v>0</v>
      </c>
      <c r="E197" s="1">
        <v>2</v>
      </c>
      <c r="F197" s="1">
        <v>9</v>
      </c>
      <c r="G197" s="1" t="b">
        <v>0</v>
      </c>
      <c r="H197" s="1">
        <v>0</v>
      </c>
      <c r="I197" s="1">
        <v>1</v>
      </c>
      <c r="J197" s="1">
        <v>0.28000000000000003</v>
      </c>
      <c r="K197" s="1">
        <v>0.28789999999999999</v>
      </c>
      <c r="L197" s="1">
        <v>0.56000000000000005</v>
      </c>
      <c r="M197" s="1">
        <v>0.1045</v>
      </c>
      <c r="N197" s="1">
        <v>7</v>
      </c>
      <c r="O197" s="1">
        <v>38</v>
      </c>
      <c r="P197" s="1">
        <v>45</v>
      </c>
    </row>
    <row r="198" spans="1:16" x14ac:dyDescent="0.25">
      <c r="A198" s="1">
        <v>816</v>
      </c>
      <c r="B198" s="2">
        <v>40580</v>
      </c>
      <c r="C198" s="1">
        <v>1</v>
      </c>
      <c r="D198" s="1">
        <v>0</v>
      </c>
      <c r="E198" s="1">
        <v>2</v>
      </c>
      <c r="F198" s="1">
        <v>10</v>
      </c>
      <c r="G198" s="1" t="b">
        <v>0</v>
      </c>
      <c r="H198" s="1">
        <v>0</v>
      </c>
      <c r="I198" s="1">
        <v>1</v>
      </c>
      <c r="J198" s="1">
        <v>0.3</v>
      </c>
      <c r="K198" s="1">
        <v>0.28789999999999999</v>
      </c>
      <c r="L198" s="1">
        <v>0.52</v>
      </c>
      <c r="M198" s="1">
        <v>0.25369999999999998</v>
      </c>
      <c r="N198" s="1">
        <v>15</v>
      </c>
      <c r="O198" s="1">
        <v>74</v>
      </c>
      <c r="P198" s="1">
        <v>89</v>
      </c>
    </row>
    <row r="199" spans="1:16" x14ac:dyDescent="0.25">
      <c r="A199" s="1">
        <v>817</v>
      </c>
      <c r="B199" s="2">
        <v>40580</v>
      </c>
      <c r="C199" s="1">
        <v>1</v>
      </c>
      <c r="D199" s="1">
        <v>0</v>
      </c>
      <c r="E199" s="1">
        <v>2</v>
      </c>
      <c r="F199" s="1">
        <v>11</v>
      </c>
      <c r="G199" s="1" t="b">
        <v>0</v>
      </c>
      <c r="H199" s="1">
        <v>0</v>
      </c>
      <c r="I199" s="1">
        <v>1</v>
      </c>
      <c r="J199" s="1">
        <v>0.32</v>
      </c>
      <c r="K199" s="1">
        <v>0.30299999999999999</v>
      </c>
      <c r="L199" s="1">
        <v>0.49</v>
      </c>
      <c r="M199" s="1">
        <v>0.25369999999999998</v>
      </c>
      <c r="N199" s="1">
        <v>28</v>
      </c>
      <c r="O199" s="1">
        <v>89</v>
      </c>
      <c r="P199" s="1">
        <v>117</v>
      </c>
    </row>
    <row r="200" spans="1:16" x14ac:dyDescent="0.25">
      <c r="A200" s="1">
        <v>818</v>
      </c>
      <c r="B200" s="2">
        <v>40580</v>
      </c>
      <c r="C200" s="1">
        <v>1</v>
      </c>
      <c r="D200" s="1">
        <v>0</v>
      </c>
      <c r="E200" s="1">
        <v>2</v>
      </c>
      <c r="F200" s="1">
        <v>12</v>
      </c>
      <c r="G200" s="1" t="b">
        <v>0</v>
      </c>
      <c r="H200" s="1">
        <v>0</v>
      </c>
      <c r="I200" s="1">
        <v>1</v>
      </c>
      <c r="J200" s="1">
        <v>0.34</v>
      </c>
      <c r="K200" s="1">
        <v>0.33329999999999999</v>
      </c>
      <c r="L200" s="1">
        <v>0.46</v>
      </c>
      <c r="M200" s="1">
        <v>0</v>
      </c>
      <c r="N200" s="1">
        <v>48</v>
      </c>
      <c r="O200" s="1">
        <v>126</v>
      </c>
      <c r="P200" s="1">
        <v>174</v>
      </c>
    </row>
    <row r="201" spans="1:16" x14ac:dyDescent="0.25">
      <c r="A201" s="1">
        <v>819</v>
      </c>
      <c r="B201" s="2">
        <v>40580</v>
      </c>
      <c r="C201" s="1">
        <v>1</v>
      </c>
      <c r="D201" s="1">
        <v>0</v>
      </c>
      <c r="E201" s="1">
        <v>2</v>
      </c>
      <c r="F201" s="1">
        <v>13</v>
      </c>
      <c r="G201" s="1" t="b">
        <v>0</v>
      </c>
      <c r="H201" s="1">
        <v>0</v>
      </c>
      <c r="I201" s="1">
        <v>1</v>
      </c>
      <c r="J201" s="1">
        <v>0.34</v>
      </c>
      <c r="K201" s="1">
        <v>0.36359999999999998</v>
      </c>
      <c r="L201" s="1">
        <v>0.46</v>
      </c>
      <c r="M201" s="1">
        <v>0</v>
      </c>
      <c r="N201" s="1">
        <v>47</v>
      </c>
      <c r="O201" s="1">
        <v>135</v>
      </c>
      <c r="P201" s="1">
        <v>182</v>
      </c>
    </row>
    <row r="202" spans="1:16" x14ac:dyDescent="0.25">
      <c r="A202" s="1">
        <v>820</v>
      </c>
      <c r="B202" s="2">
        <v>40580</v>
      </c>
      <c r="C202" s="1">
        <v>1</v>
      </c>
      <c r="D202" s="1">
        <v>0</v>
      </c>
      <c r="E202" s="1">
        <v>2</v>
      </c>
      <c r="F202" s="1">
        <v>14</v>
      </c>
      <c r="G202" s="1" t="b">
        <v>0</v>
      </c>
      <c r="H202" s="1">
        <v>0</v>
      </c>
      <c r="I202" s="1">
        <v>1</v>
      </c>
      <c r="J202" s="1">
        <v>0.34</v>
      </c>
      <c r="K202" s="1">
        <v>0.34849999999999998</v>
      </c>
      <c r="L202" s="1">
        <v>0.46</v>
      </c>
      <c r="M202" s="1">
        <v>8.9599999999999999E-2</v>
      </c>
      <c r="N202" s="1">
        <v>47</v>
      </c>
      <c r="O202" s="1">
        <v>114</v>
      </c>
      <c r="P202" s="1">
        <v>161</v>
      </c>
    </row>
    <row r="203" spans="1:16" x14ac:dyDescent="0.25">
      <c r="A203" s="1">
        <v>821</v>
      </c>
      <c r="B203" s="2">
        <v>40580</v>
      </c>
      <c r="C203" s="1">
        <v>1</v>
      </c>
      <c r="D203" s="1">
        <v>0</v>
      </c>
      <c r="E203" s="1">
        <v>2</v>
      </c>
      <c r="F203" s="1">
        <v>15</v>
      </c>
      <c r="G203" s="1" t="b">
        <v>0</v>
      </c>
      <c r="H203" s="1">
        <v>0</v>
      </c>
      <c r="I203" s="1">
        <v>1</v>
      </c>
      <c r="J203" s="1">
        <v>0.34</v>
      </c>
      <c r="K203" s="1">
        <v>0.34849999999999998</v>
      </c>
      <c r="L203" s="1">
        <v>0.46</v>
      </c>
      <c r="M203" s="1">
        <v>8.9599999999999999E-2</v>
      </c>
      <c r="N203" s="1">
        <v>52</v>
      </c>
      <c r="O203" s="1">
        <v>130</v>
      </c>
      <c r="P203" s="1">
        <v>182</v>
      </c>
    </row>
    <row r="204" spans="1:16" x14ac:dyDescent="0.25">
      <c r="A204" s="1">
        <v>822</v>
      </c>
      <c r="B204" s="2">
        <v>40580</v>
      </c>
      <c r="C204" s="1">
        <v>1</v>
      </c>
      <c r="D204" s="1">
        <v>0</v>
      </c>
      <c r="E204" s="1">
        <v>2</v>
      </c>
      <c r="F204" s="1">
        <v>16</v>
      </c>
      <c r="G204" s="1" t="b">
        <v>0</v>
      </c>
      <c r="H204" s="1">
        <v>0</v>
      </c>
      <c r="I204" s="1">
        <v>1</v>
      </c>
      <c r="J204" s="1">
        <v>0.34</v>
      </c>
      <c r="K204" s="1">
        <v>0.34849999999999998</v>
      </c>
      <c r="L204" s="1">
        <v>0.49</v>
      </c>
      <c r="M204" s="1">
        <v>0.1045</v>
      </c>
      <c r="N204" s="1">
        <v>42</v>
      </c>
      <c r="O204" s="1">
        <v>115</v>
      </c>
      <c r="P204" s="1">
        <v>157</v>
      </c>
    </row>
    <row r="205" spans="1:16" x14ac:dyDescent="0.25">
      <c r="A205" s="1">
        <v>823</v>
      </c>
      <c r="B205" s="2">
        <v>40580</v>
      </c>
      <c r="C205" s="1">
        <v>1</v>
      </c>
      <c r="D205" s="1">
        <v>0</v>
      </c>
      <c r="E205" s="1">
        <v>2</v>
      </c>
      <c r="F205" s="1">
        <v>17</v>
      </c>
      <c r="G205" s="1" t="b">
        <v>0</v>
      </c>
      <c r="H205" s="1">
        <v>0</v>
      </c>
      <c r="I205" s="1">
        <v>1</v>
      </c>
      <c r="J205" s="1">
        <v>0.34</v>
      </c>
      <c r="K205" s="1">
        <v>0.36359999999999998</v>
      </c>
      <c r="L205" s="1">
        <v>0.46</v>
      </c>
      <c r="M205" s="1">
        <v>0</v>
      </c>
      <c r="N205" s="1">
        <v>24</v>
      </c>
      <c r="O205" s="1">
        <v>97</v>
      </c>
      <c r="P205" s="1">
        <v>121</v>
      </c>
    </row>
    <row r="206" spans="1:16" x14ac:dyDescent="0.25">
      <c r="A206" s="1">
        <v>824</v>
      </c>
      <c r="B206" s="2">
        <v>40580</v>
      </c>
      <c r="C206" s="1">
        <v>1</v>
      </c>
      <c r="D206" s="1">
        <v>0</v>
      </c>
      <c r="E206" s="1">
        <v>2</v>
      </c>
      <c r="F206" s="1">
        <v>18</v>
      </c>
      <c r="G206" s="1" t="b">
        <v>0</v>
      </c>
      <c r="H206" s="1">
        <v>0</v>
      </c>
      <c r="I206" s="1">
        <v>1</v>
      </c>
      <c r="J206" s="1">
        <v>0.3</v>
      </c>
      <c r="K206" s="1">
        <v>0.30299999999999999</v>
      </c>
      <c r="L206" s="1">
        <v>0.56000000000000005</v>
      </c>
      <c r="M206" s="1">
        <v>0.16420000000000001</v>
      </c>
      <c r="N206" s="1">
        <v>13</v>
      </c>
      <c r="O206" s="1">
        <v>65</v>
      </c>
      <c r="P206" s="1">
        <v>78</v>
      </c>
    </row>
    <row r="207" spans="1:16" x14ac:dyDescent="0.25">
      <c r="A207" s="1">
        <v>825</v>
      </c>
      <c r="B207" s="2">
        <v>40580</v>
      </c>
      <c r="C207" s="1">
        <v>1</v>
      </c>
      <c r="D207" s="1">
        <v>0</v>
      </c>
      <c r="E207" s="1">
        <v>2</v>
      </c>
      <c r="F207" s="1">
        <v>19</v>
      </c>
      <c r="G207" s="1" t="b">
        <v>0</v>
      </c>
      <c r="H207" s="1">
        <v>0</v>
      </c>
      <c r="I207" s="1">
        <v>1</v>
      </c>
      <c r="J207" s="1">
        <v>0.28000000000000003</v>
      </c>
      <c r="K207" s="1">
        <v>0.28789999999999999</v>
      </c>
      <c r="L207" s="1">
        <v>0.61</v>
      </c>
      <c r="M207" s="1">
        <v>0.1343</v>
      </c>
      <c r="N207" s="1">
        <v>1</v>
      </c>
      <c r="O207" s="1">
        <v>20</v>
      </c>
      <c r="P207" s="1">
        <v>21</v>
      </c>
    </row>
    <row r="208" spans="1:16" x14ac:dyDescent="0.25">
      <c r="A208" s="1">
        <v>826</v>
      </c>
      <c r="B208" s="2">
        <v>40580</v>
      </c>
      <c r="C208" s="1">
        <v>1</v>
      </c>
      <c r="D208" s="1">
        <v>0</v>
      </c>
      <c r="E208" s="1">
        <v>2</v>
      </c>
      <c r="F208" s="1">
        <v>20</v>
      </c>
      <c r="G208" s="1" t="b">
        <v>0</v>
      </c>
      <c r="H208" s="1">
        <v>0</v>
      </c>
      <c r="I208" s="1">
        <v>1</v>
      </c>
      <c r="J208" s="1">
        <v>0.28000000000000003</v>
      </c>
      <c r="K208" s="1">
        <v>0.28789999999999999</v>
      </c>
      <c r="L208" s="1">
        <v>0.61</v>
      </c>
      <c r="M208" s="1">
        <v>0.1045</v>
      </c>
      <c r="N208" s="1">
        <v>5</v>
      </c>
      <c r="O208" s="1">
        <v>21</v>
      </c>
      <c r="P208" s="1">
        <v>26</v>
      </c>
    </row>
    <row r="209" spans="1:16" x14ac:dyDescent="0.25">
      <c r="A209" s="1">
        <v>827</v>
      </c>
      <c r="B209" s="2">
        <v>40580</v>
      </c>
      <c r="C209" s="1">
        <v>1</v>
      </c>
      <c r="D209" s="1">
        <v>0</v>
      </c>
      <c r="E209" s="1">
        <v>2</v>
      </c>
      <c r="F209" s="1">
        <v>21</v>
      </c>
      <c r="G209" s="1" t="b">
        <v>0</v>
      </c>
      <c r="H209" s="1">
        <v>0</v>
      </c>
      <c r="I209" s="1">
        <v>1</v>
      </c>
      <c r="J209" s="1">
        <v>0.26</v>
      </c>
      <c r="K209" s="1">
        <v>0.30299999999999999</v>
      </c>
      <c r="L209" s="1">
        <v>0.6</v>
      </c>
      <c r="M209" s="1">
        <v>0</v>
      </c>
      <c r="N209" s="1">
        <v>5</v>
      </c>
      <c r="O209" s="1">
        <v>22</v>
      </c>
      <c r="P209" s="1">
        <v>27</v>
      </c>
    </row>
    <row r="210" spans="1:16" x14ac:dyDescent="0.25">
      <c r="A210" s="1">
        <v>828</v>
      </c>
      <c r="B210" s="2">
        <v>40580</v>
      </c>
      <c r="C210" s="1">
        <v>1</v>
      </c>
      <c r="D210" s="1">
        <v>0</v>
      </c>
      <c r="E210" s="1">
        <v>2</v>
      </c>
      <c r="F210" s="1">
        <v>22</v>
      </c>
      <c r="G210" s="1" t="b">
        <v>0</v>
      </c>
      <c r="H210" s="1">
        <v>0</v>
      </c>
      <c r="I210" s="1">
        <v>1</v>
      </c>
      <c r="J210" s="1">
        <v>0.26</v>
      </c>
      <c r="K210" s="1">
        <v>0.30299999999999999</v>
      </c>
      <c r="L210" s="1">
        <v>0.6</v>
      </c>
      <c r="M210" s="1">
        <v>0</v>
      </c>
      <c r="N210" s="1">
        <v>5</v>
      </c>
      <c r="O210" s="1">
        <v>57</v>
      </c>
      <c r="P210" s="1">
        <v>62</v>
      </c>
    </row>
    <row r="211" spans="1:16" x14ac:dyDescent="0.25">
      <c r="A211" s="1">
        <v>829</v>
      </c>
      <c r="B211" s="2">
        <v>40580</v>
      </c>
      <c r="C211" s="1">
        <v>1</v>
      </c>
      <c r="D211" s="1">
        <v>0</v>
      </c>
      <c r="E211" s="1">
        <v>2</v>
      </c>
      <c r="F211" s="1">
        <v>23</v>
      </c>
      <c r="G211" s="1" t="b">
        <v>0</v>
      </c>
      <c r="H211" s="1">
        <v>0</v>
      </c>
      <c r="I211" s="1">
        <v>1</v>
      </c>
      <c r="J211" s="1">
        <v>0.24</v>
      </c>
      <c r="K211" s="1">
        <v>0.28789999999999999</v>
      </c>
      <c r="L211" s="1">
        <v>0.65</v>
      </c>
      <c r="M211" s="1">
        <v>0</v>
      </c>
      <c r="N211" s="1">
        <v>4</v>
      </c>
      <c r="O211" s="1">
        <v>26</v>
      </c>
      <c r="P211" s="1">
        <v>30</v>
      </c>
    </row>
    <row r="212" spans="1:16" x14ac:dyDescent="0.25">
      <c r="A212" s="1">
        <v>830</v>
      </c>
      <c r="B212" s="2">
        <v>40581</v>
      </c>
      <c r="C212" s="1">
        <v>1</v>
      </c>
      <c r="D212" s="1">
        <v>0</v>
      </c>
      <c r="E212" s="1">
        <v>2</v>
      </c>
      <c r="F212" s="1">
        <v>0</v>
      </c>
      <c r="G212" s="1" t="b">
        <v>0</v>
      </c>
      <c r="H212" s="1">
        <v>1</v>
      </c>
      <c r="I212" s="1">
        <v>1</v>
      </c>
      <c r="J212" s="1">
        <v>0.24</v>
      </c>
      <c r="K212" s="1">
        <v>0.28789999999999999</v>
      </c>
      <c r="L212" s="1">
        <v>0.65</v>
      </c>
      <c r="M212" s="1">
        <v>0</v>
      </c>
      <c r="N212" s="1">
        <v>1</v>
      </c>
      <c r="O212" s="1">
        <v>14</v>
      </c>
      <c r="P212" s="1">
        <v>15</v>
      </c>
    </row>
    <row r="213" spans="1:16" x14ac:dyDescent="0.25">
      <c r="A213" s="1">
        <v>831</v>
      </c>
      <c r="B213" s="2">
        <v>40581</v>
      </c>
      <c r="C213" s="1">
        <v>1</v>
      </c>
      <c r="D213" s="1">
        <v>0</v>
      </c>
      <c r="E213" s="1">
        <v>2</v>
      </c>
      <c r="F213" s="1">
        <v>1</v>
      </c>
      <c r="G213" s="1" t="b">
        <v>0</v>
      </c>
      <c r="H213" s="1">
        <v>1</v>
      </c>
      <c r="I213" s="1">
        <v>1</v>
      </c>
      <c r="J213" s="1">
        <v>0.22</v>
      </c>
      <c r="K213" s="1">
        <v>0.2727</v>
      </c>
      <c r="L213" s="1">
        <v>0.75</v>
      </c>
      <c r="M213" s="1">
        <v>0</v>
      </c>
      <c r="N213" s="1">
        <v>1</v>
      </c>
      <c r="O213" s="1">
        <v>4</v>
      </c>
      <c r="P213" s="1">
        <v>5</v>
      </c>
    </row>
    <row r="214" spans="1:16" x14ac:dyDescent="0.25">
      <c r="A214" s="1">
        <v>832</v>
      </c>
      <c r="B214" s="2">
        <v>40581</v>
      </c>
      <c r="C214" s="1">
        <v>1</v>
      </c>
      <c r="D214" s="1">
        <v>0</v>
      </c>
      <c r="E214" s="1">
        <v>2</v>
      </c>
      <c r="F214" s="1">
        <v>2</v>
      </c>
      <c r="G214" s="1" t="b">
        <v>0</v>
      </c>
      <c r="H214" s="1">
        <v>1</v>
      </c>
      <c r="I214" s="1">
        <v>1</v>
      </c>
      <c r="J214" s="1">
        <v>0.2</v>
      </c>
      <c r="K214" s="1">
        <v>0.2576</v>
      </c>
      <c r="L214" s="1">
        <v>0.8</v>
      </c>
      <c r="M214" s="1">
        <v>0</v>
      </c>
      <c r="N214" s="1">
        <v>0</v>
      </c>
      <c r="O214" s="1">
        <v>3</v>
      </c>
      <c r="P214" s="1">
        <v>3</v>
      </c>
    </row>
    <row r="215" spans="1:16" x14ac:dyDescent="0.25">
      <c r="A215" s="1">
        <v>833</v>
      </c>
      <c r="B215" s="2">
        <v>40581</v>
      </c>
      <c r="C215" s="1">
        <v>1</v>
      </c>
      <c r="D215" s="1">
        <v>0</v>
      </c>
      <c r="E215" s="1">
        <v>2</v>
      </c>
      <c r="F215" s="1">
        <v>3</v>
      </c>
      <c r="G215" s="1" t="b">
        <v>0</v>
      </c>
      <c r="H215" s="1">
        <v>1</v>
      </c>
      <c r="I215" s="1">
        <v>1</v>
      </c>
      <c r="J215" s="1">
        <v>0.2</v>
      </c>
      <c r="K215" s="1">
        <v>0.2576</v>
      </c>
      <c r="L215" s="1">
        <v>0.86</v>
      </c>
      <c r="M215" s="1">
        <v>0</v>
      </c>
      <c r="N215" s="1">
        <v>0</v>
      </c>
      <c r="O215" s="1">
        <v>1</v>
      </c>
      <c r="P215" s="1">
        <v>1</v>
      </c>
    </row>
    <row r="216" spans="1:16" x14ac:dyDescent="0.25">
      <c r="A216" s="1">
        <v>834</v>
      </c>
      <c r="B216" s="2">
        <v>40581</v>
      </c>
      <c r="C216" s="1">
        <v>1</v>
      </c>
      <c r="D216" s="1">
        <v>0</v>
      </c>
      <c r="E216" s="1">
        <v>2</v>
      </c>
      <c r="F216" s="1">
        <v>4</v>
      </c>
      <c r="G216" s="1" t="b">
        <v>0</v>
      </c>
      <c r="H216" s="1">
        <v>1</v>
      </c>
      <c r="I216" s="1">
        <v>1</v>
      </c>
      <c r="J216" s="1">
        <v>0.2</v>
      </c>
      <c r="K216" s="1">
        <v>0.2576</v>
      </c>
      <c r="L216" s="1">
        <v>0.86</v>
      </c>
      <c r="M216" s="1">
        <v>0</v>
      </c>
      <c r="N216" s="1">
        <v>1</v>
      </c>
      <c r="O216" s="1">
        <v>1</v>
      </c>
      <c r="P216" s="1">
        <v>2</v>
      </c>
    </row>
    <row r="217" spans="1:16" x14ac:dyDescent="0.25">
      <c r="A217" s="1">
        <v>835</v>
      </c>
      <c r="B217" s="2">
        <v>40581</v>
      </c>
      <c r="C217" s="1">
        <v>1</v>
      </c>
      <c r="D217" s="1">
        <v>0</v>
      </c>
      <c r="E217" s="1">
        <v>2</v>
      </c>
      <c r="F217" s="1">
        <v>5</v>
      </c>
      <c r="G217" s="1" t="b">
        <v>0</v>
      </c>
      <c r="H217" s="1">
        <v>1</v>
      </c>
      <c r="I217" s="1">
        <v>1</v>
      </c>
      <c r="J217" s="1">
        <v>0.2</v>
      </c>
      <c r="K217" s="1">
        <v>0.2576</v>
      </c>
      <c r="L217" s="1">
        <v>0.86</v>
      </c>
      <c r="M217" s="1">
        <v>0</v>
      </c>
      <c r="N217" s="1">
        <v>1</v>
      </c>
      <c r="O217" s="1">
        <v>9</v>
      </c>
      <c r="P217" s="1">
        <v>10</v>
      </c>
    </row>
    <row r="218" spans="1:16" x14ac:dyDescent="0.25">
      <c r="A218" s="1">
        <v>836</v>
      </c>
      <c r="B218" s="2">
        <v>40581</v>
      </c>
      <c r="C218" s="1">
        <v>1</v>
      </c>
      <c r="D218" s="1">
        <v>0</v>
      </c>
      <c r="E218" s="1">
        <v>2</v>
      </c>
      <c r="F218" s="1">
        <v>6</v>
      </c>
      <c r="G218" s="1" t="b">
        <v>0</v>
      </c>
      <c r="H218" s="1">
        <v>1</v>
      </c>
      <c r="I218" s="1">
        <v>1</v>
      </c>
      <c r="J218" s="1">
        <v>0.18</v>
      </c>
      <c r="K218" s="1">
        <v>0.2424</v>
      </c>
      <c r="L218" s="1">
        <v>0.93</v>
      </c>
      <c r="M218" s="1">
        <v>0</v>
      </c>
      <c r="N218" s="1">
        <v>1</v>
      </c>
      <c r="O218" s="1">
        <v>29</v>
      </c>
      <c r="P218" s="1">
        <v>30</v>
      </c>
    </row>
    <row r="219" spans="1:16" x14ac:dyDescent="0.25">
      <c r="A219" s="1">
        <v>837</v>
      </c>
      <c r="B219" s="2">
        <v>40581</v>
      </c>
      <c r="C219" s="1">
        <v>1</v>
      </c>
      <c r="D219" s="1">
        <v>0</v>
      </c>
      <c r="E219" s="1">
        <v>2</v>
      </c>
      <c r="F219" s="1">
        <v>7</v>
      </c>
      <c r="G219" s="1" t="b">
        <v>0</v>
      </c>
      <c r="H219" s="1">
        <v>1</v>
      </c>
      <c r="I219" s="1">
        <v>1</v>
      </c>
      <c r="J219" s="1">
        <v>0.18</v>
      </c>
      <c r="K219" s="1">
        <v>0.2424</v>
      </c>
      <c r="L219" s="1">
        <v>0.86</v>
      </c>
      <c r="M219" s="1">
        <v>0</v>
      </c>
      <c r="N219" s="1">
        <v>6</v>
      </c>
      <c r="O219" s="1">
        <v>89</v>
      </c>
      <c r="P219" s="1">
        <v>95</v>
      </c>
    </row>
    <row r="220" spans="1:16" x14ac:dyDescent="0.25">
      <c r="A220" s="1">
        <v>838</v>
      </c>
      <c r="B220" s="2">
        <v>40581</v>
      </c>
      <c r="C220" s="1">
        <v>1</v>
      </c>
      <c r="D220" s="1">
        <v>0</v>
      </c>
      <c r="E220" s="1">
        <v>2</v>
      </c>
      <c r="F220" s="1">
        <v>8</v>
      </c>
      <c r="G220" s="1" t="b">
        <v>0</v>
      </c>
      <c r="H220" s="1">
        <v>1</v>
      </c>
      <c r="I220" s="1">
        <v>2</v>
      </c>
      <c r="J220" s="1">
        <v>0.16</v>
      </c>
      <c r="K220" s="1">
        <v>0.2273</v>
      </c>
      <c r="L220" s="1">
        <v>1</v>
      </c>
      <c r="M220" s="1">
        <v>0</v>
      </c>
      <c r="N220" s="1">
        <v>7</v>
      </c>
      <c r="O220" s="1">
        <v>223</v>
      </c>
      <c r="P220" s="1">
        <v>230</v>
      </c>
    </row>
    <row r="221" spans="1:16" x14ac:dyDescent="0.25">
      <c r="A221" s="1">
        <v>839</v>
      </c>
      <c r="B221" s="2">
        <v>40581</v>
      </c>
      <c r="C221" s="1">
        <v>1</v>
      </c>
      <c r="D221" s="1">
        <v>0</v>
      </c>
      <c r="E221" s="1">
        <v>2</v>
      </c>
      <c r="F221" s="1">
        <v>9</v>
      </c>
      <c r="G221" s="1" t="b">
        <v>0</v>
      </c>
      <c r="H221" s="1">
        <v>1</v>
      </c>
      <c r="I221" s="1">
        <v>1</v>
      </c>
      <c r="J221" s="1">
        <v>0.22</v>
      </c>
      <c r="K221" s="1">
        <v>0.2727</v>
      </c>
      <c r="L221" s="1">
        <v>0.8</v>
      </c>
      <c r="M221" s="1">
        <v>0</v>
      </c>
      <c r="N221" s="1">
        <v>3</v>
      </c>
      <c r="O221" s="1">
        <v>115</v>
      </c>
      <c r="P221" s="1">
        <v>118</v>
      </c>
    </row>
    <row r="222" spans="1:16" x14ac:dyDescent="0.25">
      <c r="A222" s="1">
        <v>840</v>
      </c>
      <c r="B222" s="2">
        <v>40581</v>
      </c>
      <c r="C222" s="1">
        <v>1</v>
      </c>
      <c r="D222" s="1">
        <v>0</v>
      </c>
      <c r="E222" s="1">
        <v>2</v>
      </c>
      <c r="F222" s="1">
        <v>10</v>
      </c>
      <c r="G222" s="1" t="b">
        <v>0</v>
      </c>
      <c r="H222" s="1">
        <v>1</v>
      </c>
      <c r="I222" s="1">
        <v>1</v>
      </c>
      <c r="J222" s="1">
        <v>0.24</v>
      </c>
      <c r="K222" s="1">
        <v>0.2576</v>
      </c>
      <c r="L222" s="1">
        <v>0.75</v>
      </c>
      <c r="M222" s="1">
        <v>0.1045</v>
      </c>
      <c r="N222" s="1">
        <v>6</v>
      </c>
      <c r="O222" s="1">
        <v>49</v>
      </c>
      <c r="P222" s="1">
        <v>55</v>
      </c>
    </row>
    <row r="223" spans="1:16" x14ac:dyDescent="0.25">
      <c r="A223" s="1">
        <v>841</v>
      </c>
      <c r="B223" s="2">
        <v>40581</v>
      </c>
      <c r="C223" s="1">
        <v>1</v>
      </c>
      <c r="D223" s="1">
        <v>0</v>
      </c>
      <c r="E223" s="1">
        <v>2</v>
      </c>
      <c r="F223" s="1">
        <v>11</v>
      </c>
      <c r="G223" s="1" t="b">
        <v>0</v>
      </c>
      <c r="H223" s="1">
        <v>1</v>
      </c>
      <c r="I223" s="1">
        <v>1</v>
      </c>
      <c r="J223" s="1">
        <v>0.3</v>
      </c>
      <c r="K223" s="1">
        <v>0.31819999999999998</v>
      </c>
      <c r="L223" s="1">
        <v>0.65</v>
      </c>
      <c r="M223" s="1">
        <v>8.9599999999999999E-2</v>
      </c>
      <c r="N223" s="1">
        <v>11</v>
      </c>
      <c r="O223" s="1">
        <v>36</v>
      </c>
      <c r="P223" s="1">
        <v>47</v>
      </c>
    </row>
    <row r="224" spans="1:16" x14ac:dyDescent="0.25">
      <c r="A224" s="1">
        <v>842</v>
      </c>
      <c r="B224" s="2">
        <v>40581</v>
      </c>
      <c r="C224" s="1">
        <v>1</v>
      </c>
      <c r="D224" s="1">
        <v>0</v>
      </c>
      <c r="E224" s="1">
        <v>2</v>
      </c>
      <c r="F224" s="1">
        <v>12</v>
      </c>
      <c r="G224" s="1" t="b">
        <v>0</v>
      </c>
      <c r="H224" s="1">
        <v>1</v>
      </c>
      <c r="I224" s="1">
        <v>2</v>
      </c>
      <c r="J224" s="1">
        <v>0.32</v>
      </c>
      <c r="K224" s="1">
        <v>0.34849999999999998</v>
      </c>
      <c r="L224" s="1">
        <v>0.62</v>
      </c>
      <c r="M224" s="1">
        <v>0</v>
      </c>
      <c r="N224" s="1">
        <v>7</v>
      </c>
      <c r="O224" s="1">
        <v>59</v>
      </c>
      <c r="P224" s="1">
        <v>66</v>
      </c>
    </row>
    <row r="225" spans="1:16" x14ac:dyDescent="0.25">
      <c r="A225" s="1">
        <v>843</v>
      </c>
      <c r="B225" s="2">
        <v>40581</v>
      </c>
      <c r="C225" s="1">
        <v>1</v>
      </c>
      <c r="D225" s="1">
        <v>0</v>
      </c>
      <c r="E225" s="1">
        <v>2</v>
      </c>
      <c r="F225" s="1">
        <v>13</v>
      </c>
      <c r="G225" s="1" t="b">
        <v>0</v>
      </c>
      <c r="H225" s="1">
        <v>1</v>
      </c>
      <c r="I225" s="1">
        <v>2</v>
      </c>
      <c r="J225" s="1">
        <v>0.36</v>
      </c>
      <c r="K225" s="1">
        <v>0.36359999999999998</v>
      </c>
      <c r="L225" s="1">
        <v>0.56999999999999995</v>
      </c>
      <c r="M225" s="1">
        <v>8.9599999999999999E-2</v>
      </c>
      <c r="N225" s="1">
        <v>10</v>
      </c>
      <c r="O225" s="1">
        <v>54</v>
      </c>
      <c r="P225" s="1">
        <v>64</v>
      </c>
    </row>
    <row r="226" spans="1:16" x14ac:dyDescent="0.25">
      <c r="A226" s="1">
        <v>844</v>
      </c>
      <c r="B226" s="2">
        <v>40581</v>
      </c>
      <c r="C226" s="1">
        <v>1</v>
      </c>
      <c r="D226" s="1">
        <v>0</v>
      </c>
      <c r="E226" s="1">
        <v>2</v>
      </c>
      <c r="F226" s="1">
        <v>14</v>
      </c>
      <c r="G226" s="1" t="b">
        <v>0</v>
      </c>
      <c r="H226" s="1">
        <v>1</v>
      </c>
      <c r="I226" s="1">
        <v>2</v>
      </c>
      <c r="J226" s="1">
        <v>0.36</v>
      </c>
      <c r="K226" s="1">
        <v>0.36359999999999998</v>
      </c>
      <c r="L226" s="1">
        <v>0.56999999999999995</v>
      </c>
      <c r="M226" s="1">
        <v>8.9599999999999999E-2</v>
      </c>
      <c r="N226" s="1">
        <v>8</v>
      </c>
      <c r="O226" s="1">
        <v>52</v>
      </c>
      <c r="P226" s="1">
        <v>60</v>
      </c>
    </row>
    <row r="227" spans="1:16" x14ac:dyDescent="0.25">
      <c r="A227" s="1">
        <v>845</v>
      </c>
      <c r="B227" s="2">
        <v>40581</v>
      </c>
      <c r="C227" s="1">
        <v>1</v>
      </c>
      <c r="D227" s="1">
        <v>0</v>
      </c>
      <c r="E227" s="1">
        <v>2</v>
      </c>
      <c r="F227" s="1">
        <v>15</v>
      </c>
      <c r="G227" s="1" t="b">
        <v>0</v>
      </c>
      <c r="H227" s="1">
        <v>1</v>
      </c>
      <c r="I227" s="1">
        <v>2</v>
      </c>
      <c r="J227" s="1">
        <v>0.38</v>
      </c>
      <c r="K227" s="1">
        <v>0.39389999999999997</v>
      </c>
      <c r="L227" s="1">
        <v>0.54</v>
      </c>
      <c r="M227" s="1">
        <v>8.9599999999999999E-2</v>
      </c>
      <c r="N227" s="1">
        <v>4</v>
      </c>
      <c r="O227" s="1">
        <v>46</v>
      </c>
      <c r="P227" s="1">
        <v>50</v>
      </c>
    </row>
    <row r="228" spans="1:16" x14ac:dyDescent="0.25">
      <c r="A228" s="1">
        <v>846</v>
      </c>
      <c r="B228" s="2">
        <v>40581</v>
      </c>
      <c r="C228" s="1">
        <v>1</v>
      </c>
      <c r="D228" s="1">
        <v>0</v>
      </c>
      <c r="E228" s="1">
        <v>2</v>
      </c>
      <c r="F228" s="1">
        <v>16</v>
      </c>
      <c r="G228" s="1" t="b">
        <v>0</v>
      </c>
      <c r="H228" s="1">
        <v>1</v>
      </c>
      <c r="I228" s="1">
        <v>2</v>
      </c>
      <c r="J228" s="1">
        <v>0.36</v>
      </c>
      <c r="K228" s="1">
        <v>0.34849999999999998</v>
      </c>
      <c r="L228" s="1">
        <v>0.56999999999999995</v>
      </c>
      <c r="M228" s="1">
        <v>0.1343</v>
      </c>
      <c r="N228" s="1">
        <v>16</v>
      </c>
      <c r="O228" s="1">
        <v>98</v>
      </c>
      <c r="P228" s="1">
        <v>114</v>
      </c>
    </row>
    <row r="229" spans="1:16" x14ac:dyDescent="0.25">
      <c r="A229" s="1">
        <v>847</v>
      </c>
      <c r="B229" s="2">
        <v>40581</v>
      </c>
      <c r="C229" s="1">
        <v>1</v>
      </c>
      <c r="D229" s="1">
        <v>0</v>
      </c>
      <c r="E229" s="1">
        <v>2</v>
      </c>
      <c r="F229" s="1">
        <v>17</v>
      </c>
      <c r="G229" s="1" t="b">
        <v>0</v>
      </c>
      <c r="H229" s="1">
        <v>1</v>
      </c>
      <c r="I229" s="1">
        <v>2</v>
      </c>
      <c r="J229" s="1">
        <v>0.32</v>
      </c>
      <c r="K229" s="1">
        <v>0.31819999999999998</v>
      </c>
      <c r="L229" s="1">
        <v>0.7</v>
      </c>
      <c r="M229" s="1">
        <v>0.16420000000000001</v>
      </c>
      <c r="N229" s="1">
        <v>9</v>
      </c>
      <c r="O229" s="1">
        <v>207</v>
      </c>
      <c r="P229" s="1">
        <v>216</v>
      </c>
    </row>
    <row r="230" spans="1:16" x14ac:dyDescent="0.25">
      <c r="A230" s="1">
        <v>848</v>
      </c>
      <c r="B230" s="2">
        <v>40581</v>
      </c>
      <c r="C230" s="1">
        <v>1</v>
      </c>
      <c r="D230" s="1">
        <v>0</v>
      </c>
      <c r="E230" s="1">
        <v>2</v>
      </c>
      <c r="F230" s="1">
        <v>18</v>
      </c>
      <c r="G230" s="1" t="b">
        <v>0</v>
      </c>
      <c r="H230" s="1">
        <v>1</v>
      </c>
      <c r="I230" s="1">
        <v>2</v>
      </c>
      <c r="J230" s="1">
        <v>0.34</v>
      </c>
      <c r="K230" s="1">
        <v>0.33329999999999999</v>
      </c>
      <c r="L230" s="1">
        <v>0.66</v>
      </c>
      <c r="M230" s="1">
        <v>0.1343</v>
      </c>
      <c r="N230" s="1">
        <v>5</v>
      </c>
      <c r="O230" s="1">
        <v>170</v>
      </c>
      <c r="P230" s="1">
        <v>175</v>
      </c>
    </row>
    <row r="231" spans="1:16" x14ac:dyDescent="0.25">
      <c r="A231" s="1">
        <v>849</v>
      </c>
      <c r="B231" s="2">
        <v>40581</v>
      </c>
      <c r="C231" s="1">
        <v>1</v>
      </c>
      <c r="D231" s="1">
        <v>0</v>
      </c>
      <c r="E231" s="1">
        <v>2</v>
      </c>
      <c r="F231" s="1">
        <v>19</v>
      </c>
      <c r="G231" s="1" t="b">
        <v>0</v>
      </c>
      <c r="H231" s="1">
        <v>1</v>
      </c>
      <c r="I231" s="1">
        <v>2</v>
      </c>
      <c r="J231" s="1">
        <v>0.32</v>
      </c>
      <c r="K231" s="1">
        <v>0.34849999999999998</v>
      </c>
      <c r="L231" s="1">
        <v>0.7</v>
      </c>
      <c r="M231" s="1">
        <v>0</v>
      </c>
      <c r="N231" s="1">
        <v>5</v>
      </c>
      <c r="O231" s="1">
        <v>123</v>
      </c>
      <c r="P231" s="1">
        <v>128</v>
      </c>
    </row>
    <row r="232" spans="1:16" x14ac:dyDescent="0.25">
      <c r="A232" s="1">
        <v>850</v>
      </c>
      <c r="B232" s="2">
        <v>40581</v>
      </c>
      <c r="C232" s="1">
        <v>1</v>
      </c>
      <c r="D232" s="1">
        <v>0</v>
      </c>
      <c r="E232" s="1">
        <v>2</v>
      </c>
      <c r="F232" s="1">
        <v>20</v>
      </c>
      <c r="G232" s="1" t="b">
        <v>0</v>
      </c>
      <c r="H232" s="1">
        <v>1</v>
      </c>
      <c r="I232" s="1">
        <v>2</v>
      </c>
      <c r="J232" s="1">
        <v>0.32</v>
      </c>
      <c r="K232" s="1">
        <v>0.33329999999999999</v>
      </c>
      <c r="L232" s="1">
        <v>0.7</v>
      </c>
      <c r="M232" s="1">
        <v>0.1045</v>
      </c>
      <c r="N232" s="1">
        <v>6</v>
      </c>
      <c r="O232" s="1">
        <v>82</v>
      </c>
      <c r="P232" s="1">
        <v>88</v>
      </c>
    </row>
    <row r="233" spans="1:16" x14ac:dyDescent="0.25">
      <c r="A233" s="1">
        <v>851</v>
      </c>
      <c r="B233" s="2">
        <v>40581</v>
      </c>
      <c r="C233" s="1">
        <v>1</v>
      </c>
      <c r="D233" s="1">
        <v>0</v>
      </c>
      <c r="E233" s="1">
        <v>2</v>
      </c>
      <c r="F233" s="1">
        <v>21</v>
      </c>
      <c r="G233" s="1" t="b">
        <v>0</v>
      </c>
      <c r="H233" s="1">
        <v>1</v>
      </c>
      <c r="I233" s="1">
        <v>1</v>
      </c>
      <c r="J233" s="1">
        <v>0.32</v>
      </c>
      <c r="K233" s="1">
        <v>0.34849999999999998</v>
      </c>
      <c r="L233" s="1">
        <v>0.7</v>
      </c>
      <c r="M233" s="1">
        <v>0</v>
      </c>
      <c r="N233" s="1">
        <v>3</v>
      </c>
      <c r="O233" s="1">
        <v>75</v>
      </c>
      <c r="P233" s="1">
        <v>78</v>
      </c>
    </row>
    <row r="234" spans="1:16" x14ac:dyDescent="0.25">
      <c r="A234" s="1">
        <v>852</v>
      </c>
      <c r="B234" s="2">
        <v>40581</v>
      </c>
      <c r="C234" s="1">
        <v>1</v>
      </c>
      <c r="D234" s="1">
        <v>0</v>
      </c>
      <c r="E234" s="1">
        <v>2</v>
      </c>
      <c r="F234" s="1">
        <v>22</v>
      </c>
      <c r="G234" s="1" t="b">
        <v>0</v>
      </c>
      <c r="H234" s="1">
        <v>1</v>
      </c>
      <c r="I234" s="1">
        <v>1</v>
      </c>
      <c r="J234" s="1">
        <v>0.28000000000000003</v>
      </c>
      <c r="K234" s="1">
        <v>0.30299999999999999</v>
      </c>
      <c r="L234" s="1">
        <v>0.81</v>
      </c>
      <c r="M234" s="1">
        <v>8.9599999999999999E-2</v>
      </c>
      <c r="N234" s="1">
        <v>3</v>
      </c>
      <c r="O234" s="1">
        <v>34</v>
      </c>
      <c r="P234" s="1">
        <v>37</v>
      </c>
    </row>
    <row r="235" spans="1:16" x14ac:dyDescent="0.25">
      <c r="A235" s="1">
        <v>853</v>
      </c>
      <c r="B235" s="2">
        <v>40581</v>
      </c>
      <c r="C235" s="1">
        <v>1</v>
      </c>
      <c r="D235" s="1">
        <v>0</v>
      </c>
      <c r="E235" s="1">
        <v>2</v>
      </c>
      <c r="F235" s="1">
        <v>23</v>
      </c>
      <c r="G235" s="1" t="b">
        <v>0</v>
      </c>
      <c r="H235" s="1">
        <v>1</v>
      </c>
      <c r="I235" s="1">
        <v>2</v>
      </c>
      <c r="J235" s="1">
        <v>0.3</v>
      </c>
      <c r="K235" s="1">
        <v>0.33329999999999999</v>
      </c>
      <c r="L235" s="1">
        <v>0.81</v>
      </c>
      <c r="M235" s="1">
        <v>0</v>
      </c>
      <c r="N235" s="1">
        <v>6</v>
      </c>
      <c r="O235" s="1">
        <v>19</v>
      </c>
      <c r="P235" s="1">
        <v>25</v>
      </c>
    </row>
    <row r="236" spans="1:16" x14ac:dyDescent="0.25">
      <c r="A236" s="1">
        <v>854</v>
      </c>
      <c r="B236" s="2">
        <v>40582</v>
      </c>
      <c r="C236" s="1">
        <v>1</v>
      </c>
      <c r="D236" s="1">
        <v>0</v>
      </c>
      <c r="E236" s="1">
        <v>2</v>
      </c>
      <c r="F236" s="1">
        <v>0</v>
      </c>
      <c r="G236" s="1" t="b">
        <v>0</v>
      </c>
      <c r="H236" s="1">
        <v>2</v>
      </c>
      <c r="I236" s="1">
        <v>2</v>
      </c>
      <c r="J236" s="1">
        <v>0.28000000000000003</v>
      </c>
      <c r="K236" s="1">
        <v>0.31819999999999998</v>
      </c>
      <c r="L236" s="1">
        <v>0.87</v>
      </c>
      <c r="M236" s="1">
        <v>0</v>
      </c>
      <c r="N236" s="1">
        <v>4</v>
      </c>
      <c r="O236" s="1">
        <v>6</v>
      </c>
      <c r="P236" s="1">
        <v>10</v>
      </c>
    </row>
    <row r="237" spans="1:16" x14ac:dyDescent="0.25">
      <c r="A237" s="1">
        <v>855</v>
      </c>
      <c r="B237" s="2">
        <v>40582</v>
      </c>
      <c r="C237" s="1">
        <v>1</v>
      </c>
      <c r="D237" s="1">
        <v>0</v>
      </c>
      <c r="E237" s="1">
        <v>2</v>
      </c>
      <c r="F237" s="1">
        <v>1</v>
      </c>
      <c r="G237" s="1" t="b">
        <v>0</v>
      </c>
      <c r="H237" s="1">
        <v>2</v>
      </c>
      <c r="I237" s="1">
        <v>2</v>
      </c>
      <c r="J237" s="1">
        <v>0.28000000000000003</v>
      </c>
      <c r="K237" s="1">
        <v>0.31819999999999998</v>
      </c>
      <c r="L237" s="1">
        <v>0.87</v>
      </c>
      <c r="M237" s="1">
        <v>0</v>
      </c>
      <c r="N237" s="1">
        <v>0</v>
      </c>
      <c r="O237" s="1">
        <v>4</v>
      </c>
      <c r="P237" s="1">
        <v>4</v>
      </c>
    </row>
    <row r="238" spans="1:16" x14ac:dyDescent="0.25">
      <c r="A238" s="1">
        <v>856</v>
      </c>
      <c r="B238" s="2">
        <v>40582</v>
      </c>
      <c r="C238" s="1">
        <v>1</v>
      </c>
      <c r="D238" s="1">
        <v>0</v>
      </c>
      <c r="E238" s="1">
        <v>2</v>
      </c>
      <c r="F238" s="1">
        <v>2</v>
      </c>
      <c r="G238" s="1" t="b">
        <v>0</v>
      </c>
      <c r="H238" s="1">
        <v>2</v>
      </c>
      <c r="I238" s="1">
        <v>2</v>
      </c>
      <c r="J238" s="1">
        <v>0.26</v>
      </c>
      <c r="K238" s="1">
        <v>0.2727</v>
      </c>
      <c r="L238" s="1">
        <v>0.93</v>
      </c>
      <c r="M238" s="1">
        <v>0.1045</v>
      </c>
      <c r="N238" s="1">
        <v>1</v>
      </c>
      <c r="O238" s="1">
        <v>1</v>
      </c>
      <c r="P238" s="1">
        <v>2</v>
      </c>
    </row>
    <row r="239" spans="1:16" x14ac:dyDescent="0.25">
      <c r="A239" s="1">
        <v>857</v>
      </c>
      <c r="B239" s="2">
        <v>40582</v>
      </c>
      <c r="C239" s="1">
        <v>1</v>
      </c>
      <c r="D239" s="1">
        <v>0</v>
      </c>
      <c r="E239" s="1">
        <v>2</v>
      </c>
      <c r="F239" s="1">
        <v>3</v>
      </c>
      <c r="G239" s="1" t="b">
        <v>0</v>
      </c>
      <c r="H239" s="1">
        <v>2</v>
      </c>
      <c r="I239" s="1">
        <v>3</v>
      </c>
      <c r="J239" s="1">
        <v>0.28000000000000003</v>
      </c>
      <c r="K239" s="1">
        <v>0.2727</v>
      </c>
      <c r="L239" s="1">
        <v>0.93</v>
      </c>
      <c r="M239" s="1">
        <v>0.16420000000000001</v>
      </c>
      <c r="N239" s="1">
        <v>0</v>
      </c>
      <c r="O239" s="1">
        <v>1</v>
      </c>
      <c r="P239" s="1">
        <v>1</v>
      </c>
    </row>
    <row r="240" spans="1:16" x14ac:dyDescent="0.25">
      <c r="A240" s="1">
        <v>858</v>
      </c>
      <c r="B240" s="2">
        <v>40582</v>
      </c>
      <c r="C240" s="1">
        <v>1</v>
      </c>
      <c r="D240" s="1">
        <v>0</v>
      </c>
      <c r="E240" s="1">
        <v>2</v>
      </c>
      <c r="F240" s="1">
        <v>4</v>
      </c>
      <c r="G240" s="1" t="b">
        <v>0</v>
      </c>
      <c r="H240" s="1">
        <v>2</v>
      </c>
      <c r="I240" s="1">
        <v>1</v>
      </c>
      <c r="J240" s="1">
        <v>0.26</v>
      </c>
      <c r="K240" s="1">
        <v>0.2576</v>
      </c>
      <c r="L240" s="1">
        <v>0.93</v>
      </c>
      <c r="M240" s="1">
        <v>0.16420000000000001</v>
      </c>
      <c r="N240" s="1">
        <v>0</v>
      </c>
      <c r="O240" s="1">
        <v>3</v>
      </c>
      <c r="P240" s="1">
        <v>3</v>
      </c>
    </row>
    <row r="241" spans="1:16" x14ac:dyDescent="0.25">
      <c r="A241" s="1">
        <v>859</v>
      </c>
      <c r="B241" s="2">
        <v>40582</v>
      </c>
      <c r="C241" s="1">
        <v>1</v>
      </c>
      <c r="D241" s="1">
        <v>0</v>
      </c>
      <c r="E241" s="1">
        <v>2</v>
      </c>
      <c r="F241" s="1">
        <v>5</v>
      </c>
      <c r="G241" s="1" t="b">
        <v>0</v>
      </c>
      <c r="H241" s="1">
        <v>2</v>
      </c>
      <c r="I241" s="1">
        <v>1</v>
      </c>
      <c r="J241" s="1">
        <v>0.26</v>
      </c>
      <c r="K241" s="1">
        <v>0.2273</v>
      </c>
      <c r="L241" s="1">
        <v>0.81</v>
      </c>
      <c r="M241" s="1">
        <v>0.32840000000000003</v>
      </c>
      <c r="N241" s="1">
        <v>0</v>
      </c>
      <c r="O241" s="1">
        <v>2</v>
      </c>
      <c r="P241" s="1">
        <v>2</v>
      </c>
    </row>
    <row r="242" spans="1:16" x14ac:dyDescent="0.25">
      <c r="A242" s="1">
        <v>860</v>
      </c>
      <c r="B242" s="2">
        <v>40582</v>
      </c>
      <c r="C242" s="1">
        <v>1</v>
      </c>
      <c r="D242" s="1">
        <v>0</v>
      </c>
      <c r="E242" s="1">
        <v>2</v>
      </c>
      <c r="F242" s="1">
        <v>6</v>
      </c>
      <c r="G242" s="1" t="b">
        <v>0</v>
      </c>
      <c r="H242" s="1">
        <v>2</v>
      </c>
      <c r="I242" s="1">
        <v>1</v>
      </c>
      <c r="J242" s="1">
        <v>0.26</v>
      </c>
      <c r="K242" s="1">
        <v>0.2273</v>
      </c>
      <c r="L242" s="1">
        <v>0.7</v>
      </c>
      <c r="M242" s="1">
        <v>0.32840000000000003</v>
      </c>
      <c r="N242" s="1">
        <v>0</v>
      </c>
      <c r="O242" s="1">
        <v>39</v>
      </c>
      <c r="P242" s="1">
        <v>39</v>
      </c>
    </row>
    <row r="243" spans="1:16" x14ac:dyDescent="0.25">
      <c r="A243" s="1">
        <v>861</v>
      </c>
      <c r="B243" s="2">
        <v>40582</v>
      </c>
      <c r="C243" s="1">
        <v>1</v>
      </c>
      <c r="D243" s="1">
        <v>0</v>
      </c>
      <c r="E243" s="1">
        <v>2</v>
      </c>
      <c r="F243" s="1">
        <v>7</v>
      </c>
      <c r="G243" s="1" t="b">
        <v>0</v>
      </c>
      <c r="H243" s="1">
        <v>2</v>
      </c>
      <c r="I243" s="1">
        <v>1</v>
      </c>
      <c r="J243" s="1">
        <v>0.24</v>
      </c>
      <c r="K243" s="1">
        <v>0.19700000000000001</v>
      </c>
      <c r="L243" s="1">
        <v>0.65</v>
      </c>
      <c r="M243" s="1">
        <v>0.41789999999999999</v>
      </c>
      <c r="N243" s="1">
        <v>3</v>
      </c>
      <c r="O243" s="1">
        <v>97</v>
      </c>
      <c r="P243" s="1">
        <v>100</v>
      </c>
    </row>
    <row r="244" spans="1:16" x14ac:dyDescent="0.25">
      <c r="A244" s="1">
        <v>862</v>
      </c>
      <c r="B244" s="2">
        <v>40582</v>
      </c>
      <c r="C244" s="1">
        <v>1</v>
      </c>
      <c r="D244" s="1">
        <v>0</v>
      </c>
      <c r="E244" s="1">
        <v>2</v>
      </c>
      <c r="F244" s="1">
        <v>8</v>
      </c>
      <c r="G244" s="1" t="b">
        <v>0</v>
      </c>
      <c r="H244" s="1">
        <v>2</v>
      </c>
      <c r="I244" s="1">
        <v>1</v>
      </c>
      <c r="J244" s="1">
        <v>0.24</v>
      </c>
      <c r="K244" s="1">
        <v>0.19700000000000001</v>
      </c>
      <c r="L244" s="1">
        <v>0.56000000000000005</v>
      </c>
      <c r="M244" s="1">
        <v>0.49249999999999999</v>
      </c>
      <c r="N244" s="1">
        <v>7</v>
      </c>
      <c r="O244" s="1">
        <v>236</v>
      </c>
      <c r="P244" s="1">
        <v>243</v>
      </c>
    </row>
    <row r="245" spans="1:16" x14ac:dyDescent="0.25">
      <c r="A245" s="1">
        <v>863</v>
      </c>
      <c r="B245" s="2">
        <v>40582</v>
      </c>
      <c r="C245" s="1">
        <v>1</v>
      </c>
      <c r="D245" s="1">
        <v>0</v>
      </c>
      <c r="E245" s="1">
        <v>2</v>
      </c>
      <c r="F245" s="1">
        <v>9</v>
      </c>
      <c r="G245" s="1" t="b">
        <v>0</v>
      </c>
      <c r="H245" s="1">
        <v>2</v>
      </c>
      <c r="I245" s="1">
        <v>1</v>
      </c>
      <c r="J245" s="1">
        <v>0.24</v>
      </c>
      <c r="K245" s="1">
        <v>0.19700000000000001</v>
      </c>
      <c r="L245" s="1">
        <v>0.52</v>
      </c>
      <c r="M245" s="1">
        <v>0.49249999999999999</v>
      </c>
      <c r="N245" s="1">
        <v>7</v>
      </c>
      <c r="O245" s="1">
        <v>128</v>
      </c>
      <c r="P245" s="1">
        <v>135</v>
      </c>
    </row>
    <row r="246" spans="1:16" x14ac:dyDescent="0.25">
      <c r="A246" s="1">
        <v>864</v>
      </c>
      <c r="B246" s="2">
        <v>40582</v>
      </c>
      <c r="C246" s="1">
        <v>1</v>
      </c>
      <c r="D246" s="1">
        <v>0</v>
      </c>
      <c r="E246" s="1">
        <v>2</v>
      </c>
      <c r="F246" s="1">
        <v>10</v>
      </c>
      <c r="G246" s="1" t="b">
        <v>0</v>
      </c>
      <c r="H246" s="1">
        <v>2</v>
      </c>
      <c r="I246" s="1">
        <v>1</v>
      </c>
      <c r="J246" s="1">
        <v>0.22</v>
      </c>
      <c r="K246" s="1">
        <v>0.18179999999999999</v>
      </c>
      <c r="L246" s="1">
        <v>0.47</v>
      </c>
      <c r="M246" s="1">
        <v>0.55220000000000002</v>
      </c>
      <c r="N246" s="1">
        <v>4</v>
      </c>
      <c r="O246" s="1">
        <v>44</v>
      </c>
      <c r="P246" s="1">
        <v>48</v>
      </c>
    </row>
    <row r="247" spans="1:16" x14ac:dyDescent="0.25">
      <c r="A247" s="1">
        <v>865</v>
      </c>
      <c r="B247" s="2">
        <v>40582</v>
      </c>
      <c r="C247" s="1">
        <v>1</v>
      </c>
      <c r="D247" s="1">
        <v>0</v>
      </c>
      <c r="E247" s="1">
        <v>2</v>
      </c>
      <c r="F247" s="1">
        <v>11</v>
      </c>
      <c r="G247" s="1" t="b">
        <v>0</v>
      </c>
      <c r="H247" s="1">
        <v>2</v>
      </c>
      <c r="I247" s="1">
        <v>1</v>
      </c>
      <c r="J247" s="1">
        <v>0.22</v>
      </c>
      <c r="K247" s="1">
        <v>0.18179999999999999</v>
      </c>
      <c r="L247" s="1">
        <v>0.47</v>
      </c>
      <c r="M247" s="1">
        <v>0.4627</v>
      </c>
      <c r="N247" s="1">
        <v>1</v>
      </c>
      <c r="O247" s="1">
        <v>49</v>
      </c>
      <c r="P247" s="1">
        <v>50</v>
      </c>
    </row>
    <row r="248" spans="1:16" x14ac:dyDescent="0.25">
      <c r="A248" s="1">
        <v>866</v>
      </c>
      <c r="B248" s="2">
        <v>40582</v>
      </c>
      <c r="C248" s="1">
        <v>1</v>
      </c>
      <c r="D248" s="1">
        <v>0</v>
      </c>
      <c r="E248" s="1">
        <v>2</v>
      </c>
      <c r="F248" s="1">
        <v>12</v>
      </c>
      <c r="G248" s="1" t="b">
        <v>0</v>
      </c>
      <c r="H248" s="1">
        <v>2</v>
      </c>
      <c r="I248" s="1">
        <v>1</v>
      </c>
      <c r="J248" s="1">
        <v>0.24</v>
      </c>
      <c r="K248" s="1">
        <v>0.19700000000000001</v>
      </c>
      <c r="L248" s="1">
        <v>0.38</v>
      </c>
      <c r="M248" s="1">
        <v>0.49249999999999999</v>
      </c>
      <c r="N248" s="1">
        <v>2</v>
      </c>
      <c r="O248" s="1">
        <v>63</v>
      </c>
      <c r="P248" s="1">
        <v>65</v>
      </c>
    </row>
    <row r="249" spans="1:16" x14ac:dyDescent="0.25">
      <c r="A249" s="1">
        <v>867</v>
      </c>
      <c r="B249" s="2">
        <v>40582</v>
      </c>
      <c r="C249" s="1">
        <v>1</v>
      </c>
      <c r="D249" s="1">
        <v>0</v>
      </c>
      <c r="E249" s="1">
        <v>2</v>
      </c>
      <c r="F249" s="1">
        <v>13</v>
      </c>
      <c r="G249" s="1" t="b">
        <v>0</v>
      </c>
      <c r="H249" s="1">
        <v>2</v>
      </c>
      <c r="I249" s="1">
        <v>2</v>
      </c>
      <c r="J249" s="1">
        <v>0.24</v>
      </c>
      <c r="K249" s="1">
        <v>0.19700000000000001</v>
      </c>
      <c r="L249" s="1">
        <v>0.32</v>
      </c>
      <c r="M249" s="1">
        <v>0.44779999999999998</v>
      </c>
      <c r="N249" s="1">
        <v>2</v>
      </c>
      <c r="O249" s="1">
        <v>48</v>
      </c>
      <c r="P249" s="1">
        <v>50</v>
      </c>
    </row>
    <row r="250" spans="1:16" x14ac:dyDescent="0.25">
      <c r="A250" s="1">
        <v>868</v>
      </c>
      <c r="B250" s="2">
        <v>40582</v>
      </c>
      <c r="C250" s="1">
        <v>1</v>
      </c>
      <c r="D250" s="1">
        <v>0</v>
      </c>
      <c r="E250" s="1">
        <v>2</v>
      </c>
      <c r="F250" s="1">
        <v>14</v>
      </c>
      <c r="G250" s="1" t="b">
        <v>0</v>
      </c>
      <c r="H250" s="1">
        <v>2</v>
      </c>
      <c r="I250" s="1">
        <v>1</v>
      </c>
      <c r="J250" s="1">
        <v>0.22</v>
      </c>
      <c r="K250" s="1">
        <v>0.19700000000000001</v>
      </c>
      <c r="L250" s="1">
        <v>0.37</v>
      </c>
      <c r="M250" s="1">
        <v>0.41789999999999999</v>
      </c>
      <c r="N250" s="1">
        <v>3</v>
      </c>
      <c r="O250" s="1">
        <v>61</v>
      </c>
      <c r="P250" s="1">
        <v>64</v>
      </c>
    </row>
    <row r="251" spans="1:16" x14ac:dyDescent="0.25">
      <c r="A251" s="1">
        <v>869</v>
      </c>
      <c r="B251" s="2">
        <v>40582</v>
      </c>
      <c r="C251" s="1">
        <v>1</v>
      </c>
      <c r="D251" s="1">
        <v>0</v>
      </c>
      <c r="E251" s="1">
        <v>2</v>
      </c>
      <c r="F251" s="1">
        <v>15</v>
      </c>
      <c r="G251" s="1" t="b">
        <v>0</v>
      </c>
      <c r="H251" s="1">
        <v>2</v>
      </c>
      <c r="I251" s="1">
        <v>1</v>
      </c>
      <c r="J251" s="1">
        <v>0.22</v>
      </c>
      <c r="K251" s="1">
        <v>0.19700000000000001</v>
      </c>
      <c r="L251" s="1">
        <v>0.35</v>
      </c>
      <c r="M251" s="1">
        <v>0.3881</v>
      </c>
      <c r="N251" s="1">
        <v>6</v>
      </c>
      <c r="O251" s="1">
        <v>45</v>
      </c>
      <c r="P251" s="1">
        <v>51</v>
      </c>
    </row>
    <row r="252" spans="1:16" x14ac:dyDescent="0.25">
      <c r="A252" s="1">
        <v>870</v>
      </c>
      <c r="B252" s="2">
        <v>40582</v>
      </c>
      <c r="C252" s="1">
        <v>1</v>
      </c>
      <c r="D252" s="1">
        <v>0</v>
      </c>
      <c r="E252" s="1">
        <v>2</v>
      </c>
      <c r="F252" s="1">
        <v>16</v>
      </c>
      <c r="G252" s="1" t="b">
        <v>0</v>
      </c>
      <c r="H252" s="1">
        <v>2</v>
      </c>
      <c r="I252" s="1">
        <v>1</v>
      </c>
      <c r="J252" s="1">
        <v>0.22</v>
      </c>
      <c r="K252" s="1">
        <v>0.18179999999999999</v>
      </c>
      <c r="L252" s="1">
        <v>0.35</v>
      </c>
      <c r="M252" s="1">
        <v>0.52239999999999998</v>
      </c>
      <c r="N252" s="1">
        <v>4</v>
      </c>
      <c r="O252" s="1">
        <v>79</v>
      </c>
      <c r="P252" s="1">
        <v>83</v>
      </c>
    </row>
    <row r="253" spans="1:16" x14ac:dyDescent="0.25">
      <c r="A253" s="1">
        <v>871</v>
      </c>
      <c r="B253" s="2">
        <v>40582</v>
      </c>
      <c r="C253" s="1">
        <v>1</v>
      </c>
      <c r="D253" s="1">
        <v>0</v>
      </c>
      <c r="E253" s="1">
        <v>2</v>
      </c>
      <c r="F253" s="1">
        <v>17</v>
      </c>
      <c r="G253" s="1" t="b">
        <v>0</v>
      </c>
      <c r="H253" s="1">
        <v>2</v>
      </c>
      <c r="I253" s="1">
        <v>1</v>
      </c>
      <c r="J253" s="1">
        <v>0.22</v>
      </c>
      <c r="K253" s="1">
        <v>0.18179999999999999</v>
      </c>
      <c r="L253" s="1">
        <v>0.32</v>
      </c>
      <c r="M253" s="1">
        <v>0.58209999999999995</v>
      </c>
      <c r="N253" s="1">
        <v>4</v>
      </c>
      <c r="O253" s="1">
        <v>172</v>
      </c>
      <c r="P253" s="1">
        <v>176</v>
      </c>
    </row>
    <row r="254" spans="1:16" x14ac:dyDescent="0.25">
      <c r="A254" s="1">
        <v>872</v>
      </c>
      <c r="B254" s="2">
        <v>40582</v>
      </c>
      <c r="C254" s="1">
        <v>1</v>
      </c>
      <c r="D254" s="1">
        <v>0</v>
      </c>
      <c r="E254" s="1">
        <v>2</v>
      </c>
      <c r="F254" s="1">
        <v>18</v>
      </c>
      <c r="G254" s="1" t="b">
        <v>0</v>
      </c>
      <c r="H254" s="1">
        <v>2</v>
      </c>
      <c r="I254" s="1">
        <v>1</v>
      </c>
      <c r="J254" s="1">
        <v>0.2</v>
      </c>
      <c r="K254" s="1">
        <v>0.18179999999999999</v>
      </c>
      <c r="L254" s="1">
        <v>0.32</v>
      </c>
      <c r="M254" s="1">
        <v>0.3881</v>
      </c>
      <c r="N254" s="1">
        <v>1</v>
      </c>
      <c r="O254" s="1">
        <v>151</v>
      </c>
      <c r="P254" s="1">
        <v>152</v>
      </c>
    </row>
    <row r="255" spans="1:16" x14ac:dyDescent="0.25">
      <c r="A255" s="1">
        <v>873</v>
      </c>
      <c r="B255" s="2">
        <v>40582</v>
      </c>
      <c r="C255" s="1">
        <v>1</v>
      </c>
      <c r="D255" s="1">
        <v>0</v>
      </c>
      <c r="E255" s="1">
        <v>2</v>
      </c>
      <c r="F255" s="1">
        <v>19</v>
      </c>
      <c r="G255" s="1" t="b">
        <v>0</v>
      </c>
      <c r="H255" s="1">
        <v>2</v>
      </c>
      <c r="I255" s="1">
        <v>1</v>
      </c>
      <c r="J255" s="1">
        <v>0.16</v>
      </c>
      <c r="K255" s="1">
        <v>0.1212</v>
      </c>
      <c r="L255" s="1">
        <v>0.4</v>
      </c>
      <c r="M255" s="1">
        <v>0.4627</v>
      </c>
      <c r="N255" s="1">
        <v>1</v>
      </c>
      <c r="O255" s="1">
        <v>100</v>
      </c>
      <c r="P255" s="1">
        <v>101</v>
      </c>
    </row>
    <row r="256" spans="1:16" x14ac:dyDescent="0.25">
      <c r="A256" s="1">
        <v>874</v>
      </c>
      <c r="B256" s="2">
        <v>40582</v>
      </c>
      <c r="C256" s="1">
        <v>1</v>
      </c>
      <c r="D256" s="1">
        <v>0</v>
      </c>
      <c r="E256" s="1">
        <v>2</v>
      </c>
      <c r="F256" s="1">
        <v>20</v>
      </c>
      <c r="G256" s="1" t="b">
        <v>0</v>
      </c>
      <c r="H256" s="1">
        <v>2</v>
      </c>
      <c r="I256" s="1">
        <v>1</v>
      </c>
      <c r="J256" s="1">
        <v>0.16</v>
      </c>
      <c r="K256" s="1">
        <v>0.13639999999999999</v>
      </c>
      <c r="L256" s="1">
        <v>0.4</v>
      </c>
      <c r="M256" s="1">
        <v>0.32840000000000003</v>
      </c>
      <c r="N256" s="1">
        <v>3</v>
      </c>
      <c r="O256" s="1">
        <v>53</v>
      </c>
      <c r="P256" s="1">
        <v>56</v>
      </c>
    </row>
    <row r="257" spans="1:16" x14ac:dyDescent="0.25">
      <c r="A257" s="1">
        <v>875</v>
      </c>
      <c r="B257" s="2">
        <v>40582</v>
      </c>
      <c r="C257" s="1">
        <v>1</v>
      </c>
      <c r="D257" s="1">
        <v>0</v>
      </c>
      <c r="E257" s="1">
        <v>2</v>
      </c>
      <c r="F257" s="1">
        <v>21</v>
      </c>
      <c r="G257" s="1" t="b">
        <v>0</v>
      </c>
      <c r="H257" s="1">
        <v>2</v>
      </c>
      <c r="I257" s="1">
        <v>1</v>
      </c>
      <c r="J257" s="1">
        <v>0.14000000000000001</v>
      </c>
      <c r="K257" s="1">
        <v>0.1061</v>
      </c>
      <c r="L257" s="1">
        <v>0.33</v>
      </c>
      <c r="M257" s="1">
        <v>0.4627</v>
      </c>
      <c r="N257" s="1">
        <v>8</v>
      </c>
      <c r="O257" s="1">
        <v>46</v>
      </c>
      <c r="P257" s="1">
        <v>54</v>
      </c>
    </row>
    <row r="258" spans="1:16" x14ac:dyDescent="0.25">
      <c r="A258" s="1">
        <v>876</v>
      </c>
      <c r="B258" s="2">
        <v>40582</v>
      </c>
      <c r="C258" s="1">
        <v>1</v>
      </c>
      <c r="D258" s="1">
        <v>0</v>
      </c>
      <c r="E258" s="1">
        <v>2</v>
      </c>
      <c r="F258" s="1">
        <v>22</v>
      </c>
      <c r="G258" s="1" t="b">
        <v>0</v>
      </c>
      <c r="H258" s="1">
        <v>2</v>
      </c>
      <c r="I258" s="1">
        <v>1</v>
      </c>
      <c r="J258" s="1">
        <v>0.12</v>
      </c>
      <c r="K258" s="1">
        <v>0.1061</v>
      </c>
      <c r="L258" s="1">
        <v>0.33</v>
      </c>
      <c r="M258" s="1">
        <v>0.35820000000000002</v>
      </c>
      <c r="N258" s="1">
        <v>0</v>
      </c>
      <c r="O258" s="1">
        <v>29</v>
      </c>
      <c r="P258" s="1">
        <v>29</v>
      </c>
    </row>
    <row r="259" spans="1:16" x14ac:dyDescent="0.25">
      <c r="A259" s="1">
        <v>877</v>
      </c>
      <c r="B259" s="2">
        <v>40582</v>
      </c>
      <c r="C259" s="1">
        <v>1</v>
      </c>
      <c r="D259" s="1">
        <v>0</v>
      </c>
      <c r="E259" s="1">
        <v>2</v>
      </c>
      <c r="F259" s="1">
        <v>23</v>
      </c>
      <c r="G259" s="1" t="b">
        <v>0</v>
      </c>
      <c r="H259" s="1">
        <v>2</v>
      </c>
      <c r="I259" s="1">
        <v>1</v>
      </c>
      <c r="J259" s="1">
        <v>0.12</v>
      </c>
      <c r="K259" s="1">
        <v>0.1061</v>
      </c>
      <c r="L259" s="1">
        <v>0.33</v>
      </c>
      <c r="M259" s="1">
        <v>0.32840000000000003</v>
      </c>
      <c r="N259" s="1">
        <v>3</v>
      </c>
      <c r="O259" s="1">
        <v>9</v>
      </c>
      <c r="P259" s="1">
        <v>12</v>
      </c>
    </row>
    <row r="260" spans="1:16" x14ac:dyDescent="0.25">
      <c r="A260" s="1">
        <v>878</v>
      </c>
      <c r="B260" s="2">
        <v>40583</v>
      </c>
      <c r="C260" s="1">
        <v>1</v>
      </c>
      <c r="D260" s="1">
        <v>0</v>
      </c>
      <c r="E260" s="1">
        <v>2</v>
      </c>
      <c r="F260" s="1">
        <v>0</v>
      </c>
      <c r="G260" s="1" t="b">
        <v>0</v>
      </c>
      <c r="H260" s="1">
        <v>3</v>
      </c>
      <c r="I260" s="1">
        <v>1</v>
      </c>
      <c r="J260" s="1">
        <v>0.1</v>
      </c>
      <c r="K260" s="1">
        <v>7.5800000000000006E-2</v>
      </c>
      <c r="L260" s="1">
        <v>0.36</v>
      </c>
      <c r="M260" s="1">
        <v>0.35820000000000002</v>
      </c>
      <c r="N260" s="1">
        <v>0</v>
      </c>
      <c r="O260" s="1">
        <v>17</v>
      </c>
      <c r="P260" s="1">
        <v>17</v>
      </c>
    </row>
    <row r="261" spans="1:16" x14ac:dyDescent="0.25">
      <c r="A261" s="1">
        <v>879</v>
      </c>
      <c r="B261" s="2">
        <v>40583</v>
      </c>
      <c r="C261" s="1">
        <v>1</v>
      </c>
      <c r="D261" s="1">
        <v>0</v>
      </c>
      <c r="E261" s="1">
        <v>2</v>
      </c>
      <c r="F261" s="1">
        <v>1</v>
      </c>
      <c r="G261" s="1" t="b">
        <v>0</v>
      </c>
      <c r="H261" s="1">
        <v>3</v>
      </c>
      <c r="I261" s="1">
        <v>1</v>
      </c>
      <c r="J261" s="1">
        <v>0.1</v>
      </c>
      <c r="K261" s="1">
        <v>0.1061</v>
      </c>
      <c r="L261" s="1">
        <v>0.36</v>
      </c>
      <c r="M261" s="1">
        <v>0.22389999999999999</v>
      </c>
      <c r="N261" s="1">
        <v>0</v>
      </c>
      <c r="O261" s="1">
        <v>7</v>
      </c>
      <c r="P261" s="1">
        <v>7</v>
      </c>
    </row>
    <row r="262" spans="1:16" x14ac:dyDescent="0.25">
      <c r="A262" s="1">
        <v>880</v>
      </c>
      <c r="B262" s="2">
        <v>40583</v>
      </c>
      <c r="C262" s="1">
        <v>1</v>
      </c>
      <c r="D262" s="1">
        <v>0</v>
      </c>
      <c r="E262" s="1">
        <v>2</v>
      </c>
      <c r="F262" s="1">
        <v>2</v>
      </c>
      <c r="G262" s="1" t="b">
        <v>0</v>
      </c>
      <c r="H262" s="1">
        <v>3</v>
      </c>
      <c r="I262" s="1">
        <v>1</v>
      </c>
      <c r="J262" s="1">
        <v>0.08</v>
      </c>
      <c r="K262" s="1">
        <v>7.5800000000000006E-2</v>
      </c>
      <c r="L262" s="1">
        <v>0.38</v>
      </c>
      <c r="M262" s="1">
        <v>0.28360000000000002</v>
      </c>
      <c r="N262" s="1">
        <v>1</v>
      </c>
      <c r="O262" s="1">
        <v>2</v>
      </c>
      <c r="P262" s="1">
        <v>3</v>
      </c>
    </row>
    <row r="263" spans="1:16" x14ac:dyDescent="0.25">
      <c r="A263" s="1">
        <v>881</v>
      </c>
      <c r="B263" s="2">
        <v>40583</v>
      </c>
      <c r="C263" s="1">
        <v>1</v>
      </c>
      <c r="D263" s="1">
        <v>0</v>
      </c>
      <c r="E263" s="1">
        <v>2</v>
      </c>
      <c r="F263" s="1">
        <v>3</v>
      </c>
      <c r="G263" s="1" t="b">
        <v>0</v>
      </c>
      <c r="H263" s="1">
        <v>3</v>
      </c>
      <c r="I263" s="1">
        <v>1</v>
      </c>
      <c r="J263" s="1">
        <v>0.06</v>
      </c>
      <c r="K263" s="1">
        <v>7.5800000000000006E-2</v>
      </c>
      <c r="L263" s="1">
        <v>0.45</v>
      </c>
      <c r="M263" s="1">
        <v>0.1343</v>
      </c>
      <c r="N263" s="1">
        <v>0</v>
      </c>
      <c r="O263" s="1">
        <v>2</v>
      </c>
      <c r="P263" s="1">
        <v>2</v>
      </c>
    </row>
    <row r="264" spans="1:16" x14ac:dyDescent="0.25">
      <c r="A264" s="1">
        <v>882</v>
      </c>
      <c r="B264" s="2">
        <v>40583</v>
      </c>
      <c r="C264" s="1">
        <v>1</v>
      </c>
      <c r="D264" s="1">
        <v>0</v>
      </c>
      <c r="E264" s="1">
        <v>2</v>
      </c>
      <c r="F264" s="1">
        <v>5</v>
      </c>
      <c r="G264" s="1" t="b">
        <v>0</v>
      </c>
      <c r="H264" s="1">
        <v>3</v>
      </c>
      <c r="I264" s="1">
        <v>1</v>
      </c>
      <c r="J264" s="1">
        <v>0.06</v>
      </c>
      <c r="K264" s="1">
        <v>0.1061</v>
      </c>
      <c r="L264" s="1">
        <v>0.45</v>
      </c>
      <c r="M264" s="1">
        <v>0.1045</v>
      </c>
      <c r="N264" s="1">
        <v>0</v>
      </c>
      <c r="O264" s="1">
        <v>7</v>
      </c>
      <c r="P264" s="1">
        <v>7</v>
      </c>
    </row>
    <row r="265" spans="1:16" x14ac:dyDescent="0.25">
      <c r="A265" s="1">
        <v>883</v>
      </c>
      <c r="B265" s="2">
        <v>40583</v>
      </c>
      <c r="C265" s="1">
        <v>1</v>
      </c>
      <c r="D265" s="1">
        <v>0</v>
      </c>
      <c r="E265" s="1">
        <v>2</v>
      </c>
      <c r="F265" s="1">
        <v>6</v>
      </c>
      <c r="G265" s="1" t="b">
        <v>0</v>
      </c>
      <c r="H265" s="1">
        <v>3</v>
      </c>
      <c r="I265" s="1">
        <v>1</v>
      </c>
      <c r="J265" s="1">
        <v>0.06</v>
      </c>
      <c r="K265" s="1">
        <v>0.1515</v>
      </c>
      <c r="L265" s="1">
        <v>0.45</v>
      </c>
      <c r="M265" s="1">
        <v>0</v>
      </c>
      <c r="N265" s="1">
        <v>0</v>
      </c>
      <c r="O265" s="1">
        <v>43</v>
      </c>
      <c r="P265" s="1">
        <v>43</v>
      </c>
    </row>
    <row r="266" spans="1:16" x14ac:dyDescent="0.25">
      <c r="A266" s="1">
        <v>884</v>
      </c>
      <c r="B266" s="2">
        <v>40583</v>
      </c>
      <c r="C266" s="1">
        <v>1</v>
      </c>
      <c r="D266" s="1">
        <v>0</v>
      </c>
      <c r="E266" s="1">
        <v>2</v>
      </c>
      <c r="F266" s="1">
        <v>7</v>
      </c>
      <c r="G266" s="1" t="b">
        <v>0</v>
      </c>
      <c r="H266" s="1">
        <v>3</v>
      </c>
      <c r="I266" s="1">
        <v>1</v>
      </c>
      <c r="J266" s="1">
        <v>0.06</v>
      </c>
      <c r="K266" s="1">
        <v>0.1061</v>
      </c>
      <c r="L266" s="1">
        <v>0.49</v>
      </c>
      <c r="M266" s="1">
        <v>0.1045</v>
      </c>
      <c r="N266" s="1">
        <v>4</v>
      </c>
      <c r="O266" s="1">
        <v>95</v>
      </c>
      <c r="P266" s="1">
        <v>99</v>
      </c>
    </row>
    <row r="267" spans="1:16" x14ac:dyDescent="0.25">
      <c r="A267" s="1">
        <v>885</v>
      </c>
      <c r="B267" s="2">
        <v>40583</v>
      </c>
      <c r="C267" s="1">
        <v>1</v>
      </c>
      <c r="D267" s="1">
        <v>0</v>
      </c>
      <c r="E267" s="1">
        <v>2</v>
      </c>
      <c r="F267" s="1">
        <v>8</v>
      </c>
      <c r="G267" s="1" t="b">
        <v>0</v>
      </c>
      <c r="H267" s="1">
        <v>3</v>
      </c>
      <c r="I267" s="1">
        <v>1</v>
      </c>
      <c r="J267" s="1">
        <v>0.1</v>
      </c>
      <c r="K267" s="1">
        <v>0.13639999999999999</v>
      </c>
      <c r="L267" s="1">
        <v>0.42</v>
      </c>
      <c r="M267" s="1">
        <v>0</v>
      </c>
      <c r="N267" s="1">
        <v>1</v>
      </c>
      <c r="O267" s="1">
        <v>198</v>
      </c>
      <c r="P267" s="1">
        <v>199</v>
      </c>
    </row>
    <row r="268" spans="1:16" x14ac:dyDescent="0.25">
      <c r="A268" s="1">
        <v>886</v>
      </c>
      <c r="B268" s="2">
        <v>40583</v>
      </c>
      <c r="C268" s="1">
        <v>1</v>
      </c>
      <c r="D268" s="1">
        <v>0</v>
      </c>
      <c r="E268" s="1">
        <v>2</v>
      </c>
      <c r="F268" s="1">
        <v>9</v>
      </c>
      <c r="G268" s="1" t="b">
        <v>0</v>
      </c>
      <c r="H268" s="1">
        <v>3</v>
      </c>
      <c r="I268" s="1">
        <v>1</v>
      </c>
      <c r="J268" s="1">
        <v>0.12</v>
      </c>
      <c r="K268" s="1">
        <v>0.13639999999999999</v>
      </c>
      <c r="L268" s="1">
        <v>0.39</v>
      </c>
      <c r="M268" s="1">
        <v>0.16420000000000001</v>
      </c>
      <c r="N268" s="1">
        <v>4</v>
      </c>
      <c r="O268" s="1">
        <v>119</v>
      </c>
      <c r="P268" s="1">
        <v>123</v>
      </c>
    </row>
    <row r="269" spans="1:16" x14ac:dyDescent="0.25">
      <c r="A269" s="1">
        <v>887</v>
      </c>
      <c r="B269" s="2">
        <v>40583</v>
      </c>
      <c r="C269" s="1">
        <v>1</v>
      </c>
      <c r="D269" s="1">
        <v>0</v>
      </c>
      <c r="E269" s="1">
        <v>2</v>
      </c>
      <c r="F269" s="1">
        <v>10</v>
      </c>
      <c r="G269" s="1" t="b">
        <v>0</v>
      </c>
      <c r="H269" s="1">
        <v>3</v>
      </c>
      <c r="I269" s="1">
        <v>1</v>
      </c>
      <c r="J269" s="1">
        <v>0.14000000000000001</v>
      </c>
      <c r="K269" s="1">
        <v>0.18179999999999999</v>
      </c>
      <c r="L269" s="1">
        <v>0.36</v>
      </c>
      <c r="M269" s="1">
        <v>0</v>
      </c>
      <c r="N269" s="1">
        <v>8</v>
      </c>
      <c r="O269" s="1">
        <v>51</v>
      </c>
      <c r="P269" s="1">
        <v>59</v>
      </c>
    </row>
    <row r="270" spans="1:16" x14ac:dyDescent="0.25">
      <c r="A270" s="1">
        <v>888</v>
      </c>
      <c r="B270" s="2">
        <v>40583</v>
      </c>
      <c r="C270" s="1">
        <v>1</v>
      </c>
      <c r="D270" s="1">
        <v>0</v>
      </c>
      <c r="E270" s="1">
        <v>2</v>
      </c>
      <c r="F270" s="1">
        <v>11</v>
      </c>
      <c r="G270" s="1" t="b">
        <v>0</v>
      </c>
      <c r="H270" s="1">
        <v>3</v>
      </c>
      <c r="I270" s="1">
        <v>2</v>
      </c>
      <c r="J270" s="1">
        <v>0.14000000000000001</v>
      </c>
      <c r="K270" s="1">
        <v>0.1515</v>
      </c>
      <c r="L270" s="1">
        <v>0.43</v>
      </c>
      <c r="M270" s="1">
        <v>0.16420000000000001</v>
      </c>
      <c r="N270" s="1">
        <v>1</v>
      </c>
      <c r="O270" s="1">
        <v>40</v>
      </c>
      <c r="P270" s="1">
        <v>41</v>
      </c>
    </row>
    <row r="271" spans="1:16" x14ac:dyDescent="0.25">
      <c r="A271" s="1">
        <v>889</v>
      </c>
      <c r="B271" s="2">
        <v>40583</v>
      </c>
      <c r="C271" s="1">
        <v>1</v>
      </c>
      <c r="D271" s="1">
        <v>0</v>
      </c>
      <c r="E271" s="1">
        <v>2</v>
      </c>
      <c r="F271" s="1">
        <v>12</v>
      </c>
      <c r="G271" s="1" t="b">
        <v>0</v>
      </c>
      <c r="H271" s="1">
        <v>3</v>
      </c>
      <c r="I271" s="1">
        <v>2</v>
      </c>
      <c r="J271" s="1">
        <v>0.18</v>
      </c>
      <c r="K271" s="1">
        <v>0.18179999999999999</v>
      </c>
      <c r="L271" s="1">
        <v>0.4</v>
      </c>
      <c r="M271" s="1">
        <v>0.22389999999999999</v>
      </c>
      <c r="N271" s="1">
        <v>4</v>
      </c>
      <c r="O271" s="1">
        <v>57</v>
      </c>
      <c r="P271" s="1">
        <v>61</v>
      </c>
    </row>
    <row r="272" spans="1:16" x14ac:dyDescent="0.25">
      <c r="A272" s="1">
        <v>890</v>
      </c>
      <c r="B272" s="2">
        <v>40583</v>
      </c>
      <c r="C272" s="1">
        <v>1</v>
      </c>
      <c r="D272" s="1">
        <v>0</v>
      </c>
      <c r="E272" s="1">
        <v>2</v>
      </c>
      <c r="F272" s="1">
        <v>13</v>
      </c>
      <c r="G272" s="1" t="b">
        <v>0</v>
      </c>
      <c r="H272" s="1">
        <v>3</v>
      </c>
      <c r="I272" s="1">
        <v>1</v>
      </c>
      <c r="J272" s="1">
        <v>0.18</v>
      </c>
      <c r="K272" s="1">
        <v>0.16669999999999999</v>
      </c>
      <c r="L272" s="1">
        <v>0.4</v>
      </c>
      <c r="M272" s="1">
        <v>0.25369999999999998</v>
      </c>
      <c r="N272" s="1">
        <v>2</v>
      </c>
      <c r="O272" s="1">
        <v>67</v>
      </c>
      <c r="P272" s="1">
        <v>69</v>
      </c>
    </row>
    <row r="273" spans="1:16" x14ac:dyDescent="0.25">
      <c r="A273" s="1">
        <v>891</v>
      </c>
      <c r="B273" s="2">
        <v>40583</v>
      </c>
      <c r="C273" s="1">
        <v>1</v>
      </c>
      <c r="D273" s="1">
        <v>0</v>
      </c>
      <c r="E273" s="1">
        <v>2</v>
      </c>
      <c r="F273" s="1">
        <v>14</v>
      </c>
      <c r="G273" s="1" t="b">
        <v>0</v>
      </c>
      <c r="H273" s="1">
        <v>3</v>
      </c>
      <c r="I273" s="1">
        <v>1</v>
      </c>
      <c r="J273" s="1">
        <v>0.2</v>
      </c>
      <c r="K273" s="1">
        <v>0.18179999999999999</v>
      </c>
      <c r="L273" s="1">
        <v>0.34</v>
      </c>
      <c r="M273" s="1">
        <v>0.29849999999999999</v>
      </c>
      <c r="N273" s="1">
        <v>2</v>
      </c>
      <c r="O273" s="1">
        <v>56</v>
      </c>
      <c r="P273" s="1">
        <v>58</v>
      </c>
    </row>
    <row r="274" spans="1:16" x14ac:dyDescent="0.25">
      <c r="A274" s="1">
        <v>892</v>
      </c>
      <c r="B274" s="2">
        <v>40583</v>
      </c>
      <c r="C274" s="1">
        <v>1</v>
      </c>
      <c r="D274" s="1">
        <v>0</v>
      </c>
      <c r="E274" s="1">
        <v>2</v>
      </c>
      <c r="F274" s="1">
        <v>15</v>
      </c>
      <c r="G274" s="1" t="b">
        <v>0</v>
      </c>
      <c r="H274" s="1">
        <v>3</v>
      </c>
      <c r="I274" s="1">
        <v>2</v>
      </c>
      <c r="J274" s="1">
        <v>0.2</v>
      </c>
      <c r="K274" s="1">
        <v>0.18179999999999999</v>
      </c>
      <c r="L274" s="1">
        <v>0.34</v>
      </c>
      <c r="M274" s="1">
        <v>0.28360000000000002</v>
      </c>
      <c r="N274" s="1">
        <v>3</v>
      </c>
      <c r="O274" s="1">
        <v>61</v>
      </c>
      <c r="P274" s="1">
        <v>64</v>
      </c>
    </row>
    <row r="275" spans="1:16" x14ac:dyDescent="0.25">
      <c r="A275" s="1">
        <v>893</v>
      </c>
      <c r="B275" s="2">
        <v>40583</v>
      </c>
      <c r="C275" s="1">
        <v>1</v>
      </c>
      <c r="D275" s="1">
        <v>0</v>
      </c>
      <c r="E275" s="1">
        <v>2</v>
      </c>
      <c r="F275" s="1">
        <v>16</v>
      </c>
      <c r="G275" s="1" t="b">
        <v>0</v>
      </c>
      <c r="H275" s="1">
        <v>3</v>
      </c>
      <c r="I275" s="1">
        <v>2</v>
      </c>
      <c r="J275" s="1">
        <v>0.2</v>
      </c>
      <c r="K275" s="1">
        <v>0.19700000000000001</v>
      </c>
      <c r="L275" s="1">
        <v>0.37</v>
      </c>
      <c r="M275" s="1">
        <v>0.25369999999999998</v>
      </c>
      <c r="N275" s="1">
        <v>7</v>
      </c>
      <c r="O275" s="1">
        <v>72</v>
      </c>
      <c r="P275" s="1">
        <v>79</v>
      </c>
    </row>
    <row r="276" spans="1:16" x14ac:dyDescent="0.25">
      <c r="A276" s="1">
        <v>894</v>
      </c>
      <c r="B276" s="2">
        <v>40583</v>
      </c>
      <c r="C276" s="1">
        <v>1</v>
      </c>
      <c r="D276" s="1">
        <v>0</v>
      </c>
      <c r="E276" s="1">
        <v>2</v>
      </c>
      <c r="F276" s="1">
        <v>17</v>
      </c>
      <c r="G276" s="1" t="b">
        <v>0</v>
      </c>
      <c r="H276" s="1">
        <v>3</v>
      </c>
      <c r="I276" s="1">
        <v>2</v>
      </c>
      <c r="J276" s="1">
        <v>0.2</v>
      </c>
      <c r="K276" s="1">
        <v>0.19700000000000001</v>
      </c>
      <c r="L276" s="1">
        <v>0.34</v>
      </c>
      <c r="M276" s="1">
        <v>0.25369999999999998</v>
      </c>
      <c r="N276" s="1">
        <v>9</v>
      </c>
      <c r="O276" s="1">
        <v>157</v>
      </c>
      <c r="P276" s="1">
        <v>166</v>
      </c>
    </row>
    <row r="277" spans="1:16" x14ac:dyDescent="0.25">
      <c r="A277" s="1">
        <v>895</v>
      </c>
      <c r="B277" s="2">
        <v>40583</v>
      </c>
      <c r="C277" s="1">
        <v>1</v>
      </c>
      <c r="D277" s="1">
        <v>0</v>
      </c>
      <c r="E277" s="1">
        <v>2</v>
      </c>
      <c r="F277" s="1">
        <v>18</v>
      </c>
      <c r="G277" s="1" t="b">
        <v>0</v>
      </c>
      <c r="H277" s="1">
        <v>3</v>
      </c>
      <c r="I277" s="1">
        <v>2</v>
      </c>
      <c r="J277" s="1">
        <v>0.18</v>
      </c>
      <c r="K277" s="1">
        <v>0.16669999999999999</v>
      </c>
      <c r="L277" s="1">
        <v>0.47</v>
      </c>
      <c r="M277" s="1">
        <v>0.29849999999999999</v>
      </c>
      <c r="N277" s="1">
        <v>2</v>
      </c>
      <c r="O277" s="1">
        <v>168</v>
      </c>
      <c r="P277" s="1">
        <v>170</v>
      </c>
    </row>
    <row r="278" spans="1:16" x14ac:dyDescent="0.25">
      <c r="A278" s="1">
        <v>896</v>
      </c>
      <c r="B278" s="2">
        <v>40583</v>
      </c>
      <c r="C278" s="1">
        <v>1</v>
      </c>
      <c r="D278" s="1">
        <v>0</v>
      </c>
      <c r="E278" s="1">
        <v>2</v>
      </c>
      <c r="F278" s="1">
        <v>19</v>
      </c>
      <c r="G278" s="1" t="b">
        <v>0</v>
      </c>
      <c r="H278" s="1">
        <v>3</v>
      </c>
      <c r="I278" s="1">
        <v>3</v>
      </c>
      <c r="J278" s="1">
        <v>0.14000000000000001</v>
      </c>
      <c r="K278" s="1">
        <v>0.1212</v>
      </c>
      <c r="L278" s="1">
        <v>0.86</v>
      </c>
      <c r="M278" s="1">
        <v>0.25369999999999998</v>
      </c>
      <c r="N278" s="1">
        <v>1</v>
      </c>
      <c r="O278" s="1">
        <v>87</v>
      </c>
      <c r="P278" s="1">
        <v>88</v>
      </c>
    </row>
    <row r="279" spans="1:16" x14ac:dyDescent="0.25">
      <c r="A279" s="1">
        <v>897</v>
      </c>
      <c r="B279" s="2">
        <v>40583</v>
      </c>
      <c r="C279" s="1">
        <v>1</v>
      </c>
      <c r="D279" s="1">
        <v>0</v>
      </c>
      <c r="E279" s="1">
        <v>2</v>
      </c>
      <c r="F279" s="1">
        <v>20</v>
      </c>
      <c r="G279" s="1" t="b">
        <v>0</v>
      </c>
      <c r="H279" s="1">
        <v>3</v>
      </c>
      <c r="I279" s="1">
        <v>3</v>
      </c>
      <c r="J279" s="1">
        <v>0.14000000000000001</v>
      </c>
      <c r="K279" s="1">
        <v>0.1515</v>
      </c>
      <c r="L279" s="1">
        <v>0.86</v>
      </c>
      <c r="M279" s="1">
        <v>0.16420000000000001</v>
      </c>
      <c r="N279" s="1">
        <v>0</v>
      </c>
      <c r="O279" s="1">
        <v>84</v>
      </c>
      <c r="P279" s="1">
        <v>84</v>
      </c>
    </row>
    <row r="280" spans="1:16" x14ac:dyDescent="0.25">
      <c r="A280" s="1">
        <v>898</v>
      </c>
      <c r="B280" s="2">
        <v>40583</v>
      </c>
      <c r="C280" s="1">
        <v>1</v>
      </c>
      <c r="D280" s="1">
        <v>0</v>
      </c>
      <c r="E280" s="1">
        <v>2</v>
      </c>
      <c r="F280" s="1">
        <v>21</v>
      </c>
      <c r="G280" s="1" t="b">
        <v>0</v>
      </c>
      <c r="H280" s="1">
        <v>3</v>
      </c>
      <c r="I280" s="1">
        <v>2</v>
      </c>
      <c r="J280" s="1">
        <v>0.14000000000000001</v>
      </c>
      <c r="K280" s="1">
        <v>0.1515</v>
      </c>
      <c r="L280" s="1">
        <v>0.86</v>
      </c>
      <c r="M280" s="1">
        <v>0.16420000000000001</v>
      </c>
      <c r="N280" s="1">
        <v>0</v>
      </c>
      <c r="O280" s="1">
        <v>83</v>
      </c>
      <c r="P280" s="1">
        <v>83</v>
      </c>
    </row>
    <row r="281" spans="1:16" x14ac:dyDescent="0.25">
      <c r="A281" s="1">
        <v>899</v>
      </c>
      <c r="B281" s="2">
        <v>40583</v>
      </c>
      <c r="C281" s="1">
        <v>1</v>
      </c>
      <c r="D281" s="1">
        <v>0</v>
      </c>
      <c r="E281" s="1">
        <v>2</v>
      </c>
      <c r="F281" s="1">
        <v>22</v>
      </c>
      <c r="G281" s="1" t="b">
        <v>0</v>
      </c>
      <c r="H281" s="1">
        <v>3</v>
      </c>
      <c r="I281" s="1">
        <v>3</v>
      </c>
      <c r="J281" s="1">
        <v>0.16</v>
      </c>
      <c r="K281" s="1">
        <v>0.16669999999999999</v>
      </c>
      <c r="L281" s="1">
        <v>0.8</v>
      </c>
      <c r="M281" s="1">
        <v>0.16420000000000001</v>
      </c>
      <c r="N281" s="1">
        <v>4</v>
      </c>
      <c r="O281" s="1">
        <v>42</v>
      </c>
      <c r="P281" s="1">
        <v>46</v>
      </c>
    </row>
    <row r="282" spans="1:16" x14ac:dyDescent="0.25">
      <c r="A282" s="1">
        <v>900</v>
      </c>
      <c r="B282" s="2">
        <v>40583</v>
      </c>
      <c r="C282" s="1">
        <v>1</v>
      </c>
      <c r="D282" s="1">
        <v>0</v>
      </c>
      <c r="E282" s="1">
        <v>2</v>
      </c>
      <c r="F282" s="1">
        <v>23</v>
      </c>
      <c r="G282" s="1" t="b">
        <v>0</v>
      </c>
      <c r="H282" s="1">
        <v>3</v>
      </c>
      <c r="I282" s="1">
        <v>3</v>
      </c>
      <c r="J282" s="1">
        <v>0.16</v>
      </c>
      <c r="K282" s="1">
        <v>0.1515</v>
      </c>
      <c r="L282" s="1">
        <v>0.8</v>
      </c>
      <c r="M282" s="1">
        <v>0.19400000000000001</v>
      </c>
      <c r="N282" s="1">
        <v>0</v>
      </c>
      <c r="O282" s="1">
        <v>37</v>
      </c>
      <c r="P282" s="1">
        <v>37</v>
      </c>
    </row>
    <row r="283" spans="1:16" x14ac:dyDescent="0.25">
      <c r="A283" s="1">
        <v>901</v>
      </c>
      <c r="B283" s="2">
        <v>40584</v>
      </c>
      <c r="C283" s="1">
        <v>1</v>
      </c>
      <c r="D283" s="1">
        <v>0</v>
      </c>
      <c r="E283" s="1">
        <v>2</v>
      </c>
      <c r="F283" s="1">
        <v>0</v>
      </c>
      <c r="G283" s="1" t="b">
        <v>0</v>
      </c>
      <c r="H283" s="1">
        <v>4</v>
      </c>
      <c r="I283" s="1">
        <v>3</v>
      </c>
      <c r="J283" s="1">
        <v>0.14000000000000001</v>
      </c>
      <c r="K283" s="1">
        <v>0.13639999999999999</v>
      </c>
      <c r="L283" s="1">
        <v>0.86</v>
      </c>
      <c r="M283" s="1">
        <v>0.19400000000000001</v>
      </c>
      <c r="N283" s="1">
        <v>0</v>
      </c>
      <c r="O283" s="1">
        <v>16</v>
      </c>
      <c r="P283" s="1">
        <v>16</v>
      </c>
    </row>
    <row r="284" spans="1:16" x14ac:dyDescent="0.25">
      <c r="A284" s="1">
        <v>902</v>
      </c>
      <c r="B284" s="2">
        <v>40584</v>
      </c>
      <c r="C284" s="1">
        <v>1</v>
      </c>
      <c r="D284" s="1">
        <v>0</v>
      </c>
      <c r="E284" s="1">
        <v>2</v>
      </c>
      <c r="F284" s="1">
        <v>1</v>
      </c>
      <c r="G284" s="1" t="b">
        <v>0</v>
      </c>
      <c r="H284" s="1">
        <v>4</v>
      </c>
      <c r="I284" s="1">
        <v>3</v>
      </c>
      <c r="J284" s="1">
        <v>0.14000000000000001</v>
      </c>
      <c r="K284" s="1">
        <v>0.1515</v>
      </c>
      <c r="L284" s="1">
        <v>0.8</v>
      </c>
      <c r="M284" s="1">
        <v>0.1343</v>
      </c>
      <c r="N284" s="1">
        <v>0</v>
      </c>
      <c r="O284" s="1">
        <v>7</v>
      </c>
      <c r="P284" s="1">
        <v>7</v>
      </c>
    </row>
    <row r="285" spans="1:16" x14ac:dyDescent="0.25">
      <c r="A285" s="1">
        <v>903</v>
      </c>
      <c r="B285" s="2">
        <v>40584</v>
      </c>
      <c r="C285" s="1">
        <v>1</v>
      </c>
      <c r="D285" s="1">
        <v>0</v>
      </c>
      <c r="E285" s="1">
        <v>2</v>
      </c>
      <c r="F285" s="1">
        <v>2</v>
      </c>
      <c r="G285" s="1" t="b">
        <v>0</v>
      </c>
      <c r="H285" s="1">
        <v>4</v>
      </c>
      <c r="I285" s="1">
        <v>3</v>
      </c>
      <c r="J285" s="1">
        <v>0.14000000000000001</v>
      </c>
      <c r="K285" s="1">
        <v>0.1515</v>
      </c>
      <c r="L285" s="1">
        <v>0.8</v>
      </c>
      <c r="M285" s="1">
        <v>0.1343</v>
      </c>
      <c r="N285" s="1">
        <v>0</v>
      </c>
      <c r="O285" s="1">
        <v>3</v>
      </c>
      <c r="P285" s="1">
        <v>3</v>
      </c>
    </row>
    <row r="286" spans="1:16" x14ac:dyDescent="0.25">
      <c r="A286" s="1">
        <v>904</v>
      </c>
      <c r="B286" s="2">
        <v>40584</v>
      </c>
      <c r="C286" s="1">
        <v>1</v>
      </c>
      <c r="D286" s="1">
        <v>0</v>
      </c>
      <c r="E286" s="1">
        <v>2</v>
      </c>
      <c r="F286" s="1">
        <v>4</v>
      </c>
      <c r="G286" s="1" t="b">
        <v>0</v>
      </c>
      <c r="H286" s="1">
        <v>4</v>
      </c>
      <c r="I286" s="1">
        <v>2</v>
      </c>
      <c r="J286" s="1">
        <v>0.14000000000000001</v>
      </c>
      <c r="K286" s="1">
        <v>0.13639999999999999</v>
      </c>
      <c r="L286" s="1">
        <v>0.59</v>
      </c>
      <c r="M286" s="1">
        <v>0.22389999999999999</v>
      </c>
      <c r="N286" s="1">
        <v>0</v>
      </c>
      <c r="O286" s="1">
        <v>1</v>
      </c>
      <c r="P286" s="1">
        <v>1</v>
      </c>
    </row>
    <row r="287" spans="1:16" x14ac:dyDescent="0.25">
      <c r="A287" s="1">
        <v>905</v>
      </c>
      <c r="B287" s="2">
        <v>40584</v>
      </c>
      <c r="C287" s="1">
        <v>1</v>
      </c>
      <c r="D287" s="1">
        <v>0</v>
      </c>
      <c r="E287" s="1">
        <v>2</v>
      </c>
      <c r="F287" s="1">
        <v>5</v>
      </c>
      <c r="G287" s="1" t="b">
        <v>0</v>
      </c>
      <c r="H287" s="1">
        <v>4</v>
      </c>
      <c r="I287" s="1">
        <v>2</v>
      </c>
      <c r="J287" s="1">
        <v>0.12</v>
      </c>
      <c r="K287" s="1">
        <v>0.1212</v>
      </c>
      <c r="L287" s="1">
        <v>0.5</v>
      </c>
      <c r="M287" s="1">
        <v>0.22389999999999999</v>
      </c>
      <c r="N287" s="1">
        <v>0</v>
      </c>
      <c r="O287" s="1">
        <v>6</v>
      </c>
      <c r="P287" s="1">
        <v>6</v>
      </c>
    </row>
    <row r="288" spans="1:16" x14ac:dyDescent="0.25">
      <c r="A288" s="1">
        <v>906</v>
      </c>
      <c r="B288" s="2">
        <v>40584</v>
      </c>
      <c r="C288" s="1">
        <v>1</v>
      </c>
      <c r="D288" s="1">
        <v>0</v>
      </c>
      <c r="E288" s="1">
        <v>2</v>
      </c>
      <c r="F288" s="1">
        <v>6</v>
      </c>
      <c r="G288" s="1" t="b">
        <v>0</v>
      </c>
      <c r="H288" s="1">
        <v>4</v>
      </c>
      <c r="I288" s="1">
        <v>2</v>
      </c>
      <c r="J288" s="1">
        <v>0.12</v>
      </c>
      <c r="K288" s="1">
        <v>0.1212</v>
      </c>
      <c r="L288" s="1">
        <v>0.54</v>
      </c>
      <c r="M288" s="1">
        <v>0.28360000000000002</v>
      </c>
      <c r="N288" s="1">
        <v>0</v>
      </c>
      <c r="O288" s="1">
        <v>26</v>
      </c>
      <c r="P288" s="1">
        <v>26</v>
      </c>
    </row>
    <row r="289" spans="1:16" x14ac:dyDescent="0.25">
      <c r="A289" s="1">
        <v>907</v>
      </c>
      <c r="B289" s="2">
        <v>40584</v>
      </c>
      <c r="C289" s="1">
        <v>1</v>
      </c>
      <c r="D289" s="1">
        <v>0</v>
      </c>
      <c r="E289" s="1">
        <v>2</v>
      </c>
      <c r="F289" s="1">
        <v>7</v>
      </c>
      <c r="G289" s="1" t="b">
        <v>0</v>
      </c>
      <c r="H289" s="1">
        <v>4</v>
      </c>
      <c r="I289" s="1">
        <v>1</v>
      </c>
      <c r="J289" s="1">
        <v>0.1</v>
      </c>
      <c r="K289" s="1">
        <v>7.5800000000000006E-2</v>
      </c>
      <c r="L289" s="1">
        <v>0.5</v>
      </c>
      <c r="M289" s="1">
        <v>0.41789999999999999</v>
      </c>
      <c r="N289" s="1">
        <v>0</v>
      </c>
      <c r="O289" s="1">
        <v>99</v>
      </c>
      <c r="P289" s="1">
        <v>99</v>
      </c>
    </row>
    <row r="290" spans="1:16" x14ac:dyDescent="0.25">
      <c r="A290" s="1">
        <v>908</v>
      </c>
      <c r="B290" s="2">
        <v>40584</v>
      </c>
      <c r="C290" s="1">
        <v>1</v>
      </c>
      <c r="D290" s="1">
        <v>0</v>
      </c>
      <c r="E290" s="1">
        <v>2</v>
      </c>
      <c r="F290" s="1">
        <v>8</v>
      </c>
      <c r="G290" s="1" t="b">
        <v>0</v>
      </c>
      <c r="H290" s="1">
        <v>4</v>
      </c>
      <c r="I290" s="1">
        <v>1</v>
      </c>
      <c r="J290" s="1">
        <v>0.1</v>
      </c>
      <c r="K290" s="1">
        <v>7.5800000000000006E-2</v>
      </c>
      <c r="L290" s="1">
        <v>0.49</v>
      </c>
      <c r="M290" s="1">
        <v>0.32840000000000003</v>
      </c>
      <c r="N290" s="1">
        <v>5</v>
      </c>
      <c r="O290" s="1">
        <v>173</v>
      </c>
      <c r="P290" s="1">
        <v>178</v>
      </c>
    </row>
    <row r="291" spans="1:16" x14ac:dyDescent="0.25">
      <c r="A291" s="1">
        <v>909</v>
      </c>
      <c r="B291" s="2">
        <v>40584</v>
      </c>
      <c r="C291" s="1">
        <v>1</v>
      </c>
      <c r="D291" s="1">
        <v>0</v>
      </c>
      <c r="E291" s="1">
        <v>2</v>
      </c>
      <c r="F291" s="1">
        <v>9</v>
      </c>
      <c r="G291" s="1" t="b">
        <v>0</v>
      </c>
      <c r="H291" s="1">
        <v>4</v>
      </c>
      <c r="I291" s="1">
        <v>1</v>
      </c>
      <c r="J291" s="1">
        <v>0.12</v>
      </c>
      <c r="K291" s="1">
        <v>0.1061</v>
      </c>
      <c r="L291" s="1">
        <v>0.42</v>
      </c>
      <c r="M291" s="1">
        <v>0.35820000000000002</v>
      </c>
      <c r="N291" s="1">
        <v>1</v>
      </c>
      <c r="O291" s="1">
        <v>121</v>
      </c>
      <c r="P291" s="1">
        <v>122</v>
      </c>
    </row>
    <row r="292" spans="1:16" x14ac:dyDescent="0.25">
      <c r="A292" s="1">
        <v>910</v>
      </c>
      <c r="B292" s="2">
        <v>40584</v>
      </c>
      <c r="C292" s="1">
        <v>1</v>
      </c>
      <c r="D292" s="1">
        <v>0</v>
      </c>
      <c r="E292" s="1">
        <v>2</v>
      </c>
      <c r="F292" s="1">
        <v>10</v>
      </c>
      <c r="G292" s="1" t="b">
        <v>0</v>
      </c>
      <c r="H292" s="1">
        <v>4</v>
      </c>
      <c r="I292" s="1">
        <v>1</v>
      </c>
      <c r="J292" s="1">
        <v>0.12</v>
      </c>
      <c r="K292" s="1">
        <v>0.1061</v>
      </c>
      <c r="L292" s="1">
        <v>0.42</v>
      </c>
      <c r="M292" s="1">
        <v>0.29849999999999999</v>
      </c>
      <c r="N292" s="1">
        <v>1</v>
      </c>
      <c r="O292" s="1">
        <v>34</v>
      </c>
      <c r="P292" s="1">
        <v>35</v>
      </c>
    </row>
    <row r="293" spans="1:16" x14ac:dyDescent="0.25">
      <c r="A293" s="1">
        <v>911</v>
      </c>
      <c r="B293" s="2">
        <v>40584</v>
      </c>
      <c r="C293" s="1">
        <v>1</v>
      </c>
      <c r="D293" s="1">
        <v>0</v>
      </c>
      <c r="E293" s="1">
        <v>2</v>
      </c>
      <c r="F293" s="1">
        <v>11</v>
      </c>
      <c r="G293" s="1" t="b">
        <v>0</v>
      </c>
      <c r="H293" s="1">
        <v>4</v>
      </c>
      <c r="I293" s="1">
        <v>1</v>
      </c>
      <c r="J293" s="1">
        <v>0.14000000000000001</v>
      </c>
      <c r="K293" s="1">
        <v>0.1212</v>
      </c>
      <c r="L293" s="1">
        <v>0.39</v>
      </c>
      <c r="M293" s="1">
        <v>0.35820000000000002</v>
      </c>
      <c r="N293" s="1">
        <v>1</v>
      </c>
      <c r="O293" s="1">
        <v>44</v>
      </c>
      <c r="P293" s="1">
        <v>45</v>
      </c>
    </row>
    <row r="294" spans="1:16" x14ac:dyDescent="0.25">
      <c r="A294" s="1">
        <v>912</v>
      </c>
      <c r="B294" s="2">
        <v>40584</v>
      </c>
      <c r="C294" s="1">
        <v>1</v>
      </c>
      <c r="D294" s="1">
        <v>0</v>
      </c>
      <c r="E294" s="1">
        <v>2</v>
      </c>
      <c r="F294" s="1">
        <v>12</v>
      </c>
      <c r="G294" s="1" t="b">
        <v>0</v>
      </c>
      <c r="H294" s="1">
        <v>4</v>
      </c>
      <c r="I294" s="1">
        <v>1</v>
      </c>
      <c r="J294" s="1">
        <v>0.16</v>
      </c>
      <c r="K294" s="1">
        <v>0.13639999999999999</v>
      </c>
      <c r="L294" s="1">
        <v>0.34</v>
      </c>
      <c r="M294" s="1">
        <v>0.3881</v>
      </c>
      <c r="N294" s="1">
        <v>4</v>
      </c>
      <c r="O294" s="1">
        <v>65</v>
      </c>
      <c r="P294" s="1">
        <v>69</v>
      </c>
    </row>
    <row r="295" spans="1:16" x14ac:dyDescent="0.25">
      <c r="A295" s="1">
        <v>913</v>
      </c>
      <c r="B295" s="2">
        <v>40584</v>
      </c>
      <c r="C295" s="1">
        <v>1</v>
      </c>
      <c r="D295" s="1">
        <v>0</v>
      </c>
      <c r="E295" s="1">
        <v>2</v>
      </c>
      <c r="F295" s="1">
        <v>13</v>
      </c>
      <c r="G295" s="1" t="b">
        <v>0</v>
      </c>
      <c r="H295" s="1">
        <v>4</v>
      </c>
      <c r="I295" s="1">
        <v>1</v>
      </c>
      <c r="J295" s="1">
        <v>0.18</v>
      </c>
      <c r="K295" s="1">
        <v>0.16669999999999999</v>
      </c>
      <c r="L295" s="1">
        <v>0.28999999999999998</v>
      </c>
      <c r="M295" s="1">
        <v>0.29849999999999999</v>
      </c>
      <c r="N295" s="1">
        <v>3</v>
      </c>
      <c r="O295" s="1">
        <v>59</v>
      </c>
      <c r="P295" s="1">
        <v>62</v>
      </c>
    </row>
    <row r="296" spans="1:16" x14ac:dyDescent="0.25">
      <c r="A296" s="1">
        <v>914</v>
      </c>
      <c r="B296" s="2">
        <v>40584</v>
      </c>
      <c r="C296" s="1">
        <v>1</v>
      </c>
      <c r="D296" s="1">
        <v>0</v>
      </c>
      <c r="E296" s="1">
        <v>2</v>
      </c>
      <c r="F296" s="1">
        <v>14</v>
      </c>
      <c r="G296" s="1" t="b">
        <v>0</v>
      </c>
      <c r="H296" s="1">
        <v>4</v>
      </c>
      <c r="I296" s="1">
        <v>1</v>
      </c>
      <c r="J296" s="1">
        <v>0.2</v>
      </c>
      <c r="K296" s="1">
        <v>0.18179999999999999</v>
      </c>
      <c r="L296" s="1">
        <v>0.27</v>
      </c>
      <c r="M296" s="1">
        <v>0.28360000000000002</v>
      </c>
      <c r="N296" s="1">
        <v>6</v>
      </c>
      <c r="O296" s="1">
        <v>42</v>
      </c>
      <c r="P296" s="1">
        <v>48</v>
      </c>
    </row>
    <row r="297" spans="1:16" x14ac:dyDescent="0.25">
      <c r="A297" s="1">
        <v>915</v>
      </c>
      <c r="B297" s="2">
        <v>40584</v>
      </c>
      <c r="C297" s="1">
        <v>1</v>
      </c>
      <c r="D297" s="1">
        <v>0</v>
      </c>
      <c r="E297" s="1">
        <v>2</v>
      </c>
      <c r="F297" s="1">
        <v>15</v>
      </c>
      <c r="G297" s="1" t="b">
        <v>0</v>
      </c>
      <c r="H297" s="1">
        <v>4</v>
      </c>
      <c r="I297" s="1">
        <v>1</v>
      </c>
      <c r="J297" s="1">
        <v>0.2</v>
      </c>
      <c r="K297" s="1">
        <v>0.19700000000000001</v>
      </c>
      <c r="L297" s="1">
        <v>0.25</v>
      </c>
      <c r="M297" s="1">
        <v>0.25369999999999998</v>
      </c>
      <c r="N297" s="1">
        <v>0</v>
      </c>
      <c r="O297" s="1">
        <v>50</v>
      </c>
      <c r="P297" s="1">
        <v>50</v>
      </c>
    </row>
    <row r="298" spans="1:16" x14ac:dyDescent="0.25">
      <c r="A298" s="1">
        <v>916</v>
      </c>
      <c r="B298" s="2">
        <v>40584</v>
      </c>
      <c r="C298" s="1">
        <v>1</v>
      </c>
      <c r="D298" s="1">
        <v>0</v>
      </c>
      <c r="E298" s="1">
        <v>2</v>
      </c>
      <c r="F298" s="1">
        <v>16</v>
      </c>
      <c r="G298" s="1" t="b">
        <v>0</v>
      </c>
      <c r="H298" s="1">
        <v>4</v>
      </c>
      <c r="I298" s="1">
        <v>1</v>
      </c>
      <c r="J298" s="1">
        <v>0.2</v>
      </c>
      <c r="K298" s="1">
        <v>0.18179999999999999</v>
      </c>
      <c r="L298" s="1">
        <v>0.27</v>
      </c>
      <c r="M298" s="1">
        <v>0.29849999999999999</v>
      </c>
      <c r="N298" s="1">
        <v>4</v>
      </c>
      <c r="O298" s="1">
        <v>76</v>
      </c>
      <c r="P298" s="1">
        <v>80</v>
      </c>
    </row>
    <row r="299" spans="1:16" x14ac:dyDescent="0.25">
      <c r="A299" s="1">
        <v>917</v>
      </c>
      <c r="B299" s="2">
        <v>40584</v>
      </c>
      <c r="C299" s="1">
        <v>1</v>
      </c>
      <c r="D299" s="1">
        <v>0</v>
      </c>
      <c r="E299" s="1">
        <v>2</v>
      </c>
      <c r="F299" s="1">
        <v>17</v>
      </c>
      <c r="G299" s="1" t="b">
        <v>0</v>
      </c>
      <c r="H299" s="1">
        <v>4</v>
      </c>
      <c r="I299" s="1">
        <v>1</v>
      </c>
      <c r="J299" s="1">
        <v>0.18</v>
      </c>
      <c r="K299" s="1">
        <v>0.18179999999999999</v>
      </c>
      <c r="L299" s="1">
        <v>0.26</v>
      </c>
      <c r="M299" s="1">
        <v>0.19400000000000001</v>
      </c>
      <c r="N299" s="1">
        <v>6</v>
      </c>
      <c r="O299" s="1">
        <v>159</v>
      </c>
      <c r="P299" s="1">
        <v>165</v>
      </c>
    </row>
    <row r="300" spans="1:16" x14ac:dyDescent="0.25">
      <c r="A300" s="1">
        <v>918</v>
      </c>
      <c r="B300" s="2">
        <v>40584</v>
      </c>
      <c r="C300" s="1">
        <v>1</v>
      </c>
      <c r="D300" s="1">
        <v>0</v>
      </c>
      <c r="E300" s="1">
        <v>2</v>
      </c>
      <c r="F300" s="1">
        <v>18</v>
      </c>
      <c r="G300" s="1" t="b">
        <v>0</v>
      </c>
      <c r="H300" s="1">
        <v>4</v>
      </c>
      <c r="I300" s="1">
        <v>1</v>
      </c>
      <c r="J300" s="1">
        <v>0.16</v>
      </c>
      <c r="K300" s="1">
        <v>0.18179999999999999</v>
      </c>
      <c r="L300" s="1">
        <v>0.28000000000000003</v>
      </c>
      <c r="M300" s="1">
        <v>0.1343</v>
      </c>
      <c r="N300" s="1">
        <v>3</v>
      </c>
      <c r="O300" s="1">
        <v>157</v>
      </c>
      <c r="P300" s="1">
        <v>160</v>
      </c>
    </row>
    <row r="301" spans="1:16" x14ac:dyDescent="0.25">
      <c r="A301" s="1">
        <v>919</v>
      </c>
      <c r="B301" s="2">
        <v>40584</v>
      </c>
      <c r="C301" s="1">
        <v>1</v>
      </c>
      <c r="D301" s="1">
        <v>0</v>
      </c>
      <c r="E301" s="1">
        <v>2</v>
      </c>
      <c r="F301" s="1">
        <v>19</v>
      </c>
      <c r="G301" s="1" t="b">
        <v>0</v>
      </c>
      <c r="H301" s="1">
        <v>4</v>
      </c>
      <c r="I301" s="1">
        <v>1</v>
      </c>
      <c r="J301" s="1">
        <v>0.14000000000000001</v>
      </c>
      <c r="K301" s="1">
        <v>0.16669999999999999</v>
      </c>
      <c r="L301" s="1">
        <v>0.28000000000000003</v>
      </c>
      <c r="M301" s="1">
        <v>0.1045</v>
      </c>
      <c r="N301" s="1">
        <v>2</v>
      </c>
      <c r="O301" s="1">
        <v>110</v>
      </c>
      <c r="P301" s="1">
        <v>112</v>
      </c>
    </row>
    <row r="302" spans="1:16" x14ac:dyDescent="0.25">
      <c r="A302" s="1">
        <v>920</v>
      </c>
      <c r="B302" s="2">
        <v>40584</v>
      </c>
      <c r="C302" s="1">
        <v>1</v>
      </c>
      <c r="D302" s="1">
        <v>0</v>
      </c>
      <c r="E302" s="1">
        <v>2</v>
      </c>
      <c r="F302" s="1">
        <v>20</v>
      </c>
      <c r="G302" s="1" t="b">
        <v>0</v>
      </c>
      <c r="H302" s="1">
        <v>4</v>
      </c>
      <c r="I302" s="1">
        <v>1</v>
      </c>
      <c r="J302" s="1">
        <v>0.14000000000000001</v>
      </c>
      <c r="K302" s="1">
        <v>0.18179999999999999</v>
      </c>
      <c r="L302" s="1">
        <v>0.31</v>
      </c>
      <c r="M302" s="1">
        <v>8.9599999999999999E-2</v>
      </c>
      <c r="N302" s="1">
        <v>4</v>
      </c>
      <c r="O302" s="1">
        <v>93</v>
      </c>
      <c r="P302" s="1">
        <v>97</v>
      </c>
    </row>
    <row r="303" spans="1:16" x14ac:dyDescent="0.25">
      <c r="A303" s="1">
        <v>921</v>
      </c>
      <c r="B303" s="2">
        <v>40584</v>
      </c>
      <c r="C303" s="1">
        <v>1</v>
      </c>
      <c r="D303" s="1">
        <v>0</v>
      </c>
      <c r="E303" s="1">
        <v>2</v>
      </c>
      <c r="F303" s="1">
        <v>21</v>
      </c>
      <c r="G303" s="1" t="b">
        <v>0</v>
      </c>
      <c r="H303" s="1">
        <v>4</v>
      </c>
      <c r="I303" s="1">
        <v>1</v>
      </c>
      <c r="J303" s="1">
        <v>0.14000000000000001</v>
      </c>
      <c r="K303" s="1">
        <v>0.21210000000000001</v>
      </c>
      <c r="L303" s="1">
        <v>0.39</v>
      </c>
      <c r="M303" s="1">
        <v>0</v>
      </c>
      <c r="N303" s="1">
        <v>2</v>
      </c>
      <c r="O303" s="1">
        <v>70</v>
      </c>
      <c r="P303" s="1">
        <v>72</v>
      </c>
    </row>
    <row r="304" spans="1:16" x14ac:dyDescent="0.25">
      <c r="A304" s="1">
        <v>922</v>
      </c>
      <c r="B304" s="2">
        <v>40584</v>
      </c>
      <c r="C304" s="1">
        <v>1</v>
      </c>
      <c r="D304" s="1">
        <v>0</v>
      </c>
      <c r="E304" s="1">
        <v>2</v>
      </c>
      <c r="F304" s="1">
        <v>22</v>
      </c>
      <c r="G304" s="1" t="b">
        <v>0</v>
      </c>
      <c r="H304" s="1">
        <v>4</v>
      </c>
      <c r="I304" s="1">
        <v>1</v>
      </c>
      <c r="J304" s="1">
        <v>0.12</v>
      </c>
      <c r="K304" s="1">
        <v>0.19700000000000001</v>
      </c>
      <c r="L304" s="1">
        <v>0.39</v>
      </c>
      <c r="M304" s="1">
        <v>0</v>
      </c>
      <c r="N304" s="1">
        <v>4</v>
      </c>
      <c r="O304" s="1">
        <v>47</v>
      </c>
      <c r="P304" s="1">
        <v>51</v>
      </c>
    </row>
    <row r="305" spans="1:16" x14ac:dyDescent="0.25">
      <c r="A305" s="1">
        <v>923</v>
      </c>
      <c r="B305" s="2">
        <v>40584</v>
      </c>
      <c r="C305" s="1">
        <v>1</v>
      </c>
      <c r="D305" s="1">
        <v>0</v>
      </c>
      <c r="E305" s="1">
        <v>2</v>
      </c>
      <c r="F305" s="1">
        <v>23</v>
      </c>
      <c r="G305" s="1" t="b">
        <v>0</v>
      </c>
      <c r="H305" s="1">
        <v>4</v>
      </c>
      <c r="I305" s="1">
        <v>1</v>
      </c>
      <c r="J305" s="1">
        <v>0.12</v>
      </c>
      <c r="K305" s="1">
        <v>0.1515</v>
      </c>
      <c r="L305" s="1">
        <v>0.42</v>
      </c>
      <c r="M305" s="1">
        <v>0.1045</v>
      </c>
      <c r="N305" s="1">
        <v>1</v>
      </c>
      <c r="O305" s="1">
        <v>33</v>
      </c>
      <c r="P305" s="1">
        <v>34</v>
      </c>
    </row>
    <row r="306" spans="1:16" x14ac:dyDescent="0.25">
      <c r="A306" s="1">
        <v>924</v>
      </c>
      <c r="B306" s="2">
        <v>40585</v>
      </c>
      <c r="C306" s="1">
        <v>1</v>
      </c>
      <c r="D306" s="1">
        <v>0</v>
      </c>
      <c r="E306" s="1">
        <v>2</v>
      </c>
      <c r="F306" s="1">
        <v>0</v>
      </c>
      <c r="G306" s="1" t="b">
        <v>0</v>
      </c>
      <c r="H306" s="1">
        <v>5</v>
      </c>
      <c r="I306" s="1">
        <v>1</v>
      </c>
      <c r="J306" s="1">
        <v>0.1</v>
      </c>
      <c r="K306" s="1">
        <v>0.13639999999999999</v>
      </c>
      <c r="L306" s="1">
        <v>0.49</v>
      </c>
      <c r="M306" s="1">
        <v>0.1045</v>
      </c>
      <c r="N306" s="1">
        <v>2</v>
      </c>
      <c r="O306" s="1">
        <v>12</v>
      </c>
      <c r="P306" s="1">
        <v>14</v>
      </c>
    </row>
    <row r="307" spans="1:16" x14ac:dyDescent="0.25">
      <c r="A307" s="1">
        <v>925</v>
      </c>
      <c r="B307" s="2">
        <v>40585</v>
      </c>
      <c r="C307" s="1">
        <v>1</v>
      </c>
      <c r="D307" s="1">
        <v>0</v>
      </c>
      <c r="E307" s="1">
        <v>2</v>
      </c>
      <c r="F307" s="1">
        <v>1</v>
      </c>
      <c r="G307" s="1" t="b">
        <v>0</v>
      </c>
      <c r="H307" s="1">
        <v>5</v>
      </c>
      <c r="I307" s="1">
        <v>1</v>
      </c>
      <c r="J307" s="1">
        <v>0.1</v>
      </c>
      <c r="K307" s="1">
        <v>0.13639999999999999</v>
      </c>
      <c r="L307" s="1">
        <v>0.54</v>
      </c>
      <c r="M307" s="1">
        <v>8.9599999999999999E-2</v>
      </c>
      <c r="N307" s="1">
        <v>1</v>
      </c>
      <c r="O307" s="1">
        <v>6</v>
      </c>
      <c r="P307" s="1">
        <v>7</v>
      </c>
    </row>
    <row r="308" spans="1:16" x14ac:dyDescent="0.25">
      <c r="A308" s="1">
        <v>926</v>
      </c>
      <c r="B308" s="2">
        <v>40585</v>
      </c>
      <c r="C308" s="1">
        <v>1</v>
      </c>
      <c r="D308" s="1">
        <v>0</v>
      </c>
      <c r="E308" s="1">
        <v>2</v>
      </c>
      <c r="F308" s="1">
        <v>2</v>
      </c>
      <c r="G308" s="1" t="b">
        <v>0</v>
      </c>
      <c r="H308" s="1">
        <v>5</v>
      </c>
      <c r="I308" s="1">
        <v>1</v>
      </c>
      <c r="J308" s="1">
        <v>0.1</v>
      </c>
      <c r="K308" s="1">
        <v>0.13639999999999999</v>
      </c>
      <c r="L308" s="1">
        <v>0.54</v>
      </c>
      <c r="M308" s="1">
        <v>8.9599999999999999E-2</v>
      </c>
      <c r="N308" s="1">
        <v>0</v>
      </c>
      <c r="O308" s="1">
        <v>3</v>
      </c>
      <c r="P308" s="1">
        <v>3</v>
      </c>
    </row>
    <row r="309" spans="1:16" x14ac:dyDescent="0.25">
      <c r="A309" s="1">
        <v>927</v>
      </c>
      <c r="B309" s="2">
        <v>40585</v>
      </c>
      <c r="C309" s="1">
        <v>1</v>
      </c>
      <c r="D309" s="1">
        <v>0</v>
      </c>
      <c r="E309" s="1">
        <v>2</v>
      </c>
      <c r="F309" s="1">
        <v>5</v>
      </c>
      <c r="G309" s="1" t="b">
        <v>0</v>
      </c>
      <c r="H309" s="1">
        <v>5</v>
      </c>
      <c r="I309" s="1">
        <v>1</v>
      </c>
      <c r="J309" s="1">
        <v>0.08</v>
      </c>
      <c r="K309" s="1">
        <v>0.1212</v>
      </c>
      <c r="L309" s="1">
        <v>0.63</v>
      </c>
      <c r="M309" s="1">
        <v>8.9599999999999999E-2</v>
      </c>
      <c r="N309" s="1">
        <v>0</v>
      </c>
      <c r="O309" s="1">
        <v>4</v>
      </c>
      <c r="P309" s="1">
        <v>4</v>
      </c>
    </row>
    <row r="310" spans="1:16" x14ac:dyDescent="0.25">
      <c r="A310" s="1">
        <v>928</v>
      </c>
      <c r="B310" s="2">
        <v>40585</v>
      </c>
      <c r="C310" s="1">
        <v>1</v>
      </c>
      <c r="D310" s="1">
        <v>0</v>
      </c>
      <c r="E310" s="1">
        <v>2</v>
      </c>
      <c r="F310" s="1">
        <v>6</v>
      </c>
      <c r="G310" s="1" t="b">
        <v>0</v>
      </c>
      <c r="H310" s="1">
        <v>5</v>
      </c>
      <c r="I310" s="1">
        <v>1</v>
      </c>
      <c r="J310" s="1">
        <v>0.1</v>
      </c>
      <c r="K310" s="1">
        <v>0.18179999999999999</v>
      </c>
      <c r="L310" s="1">
        <v>0.68</v>
      </c>
      <c r="M310" s="1">
        <v>0</v>
      </c>
      <c r="N310" s="1">
        <v>1</v>
      </c>
      <c r="O310" s="1">
        <v>23</v>
      </c>
      <c r="P310" s="1">
        <v>24</v>
      </c>
    </row>
    <row r="311" spans="1:16" x14ac:dyDescent="0.25">
      <c r="A311" s="1">
        <v>929</v>
      </c>
      <c r="B311" s="2">
        <v>40585</v>
      </c>
      <c r="C311" s="1">
        <v>1</v>
      </c>
      <c r="D311" s="1">
        <v>0</v>
      </c>
      <c r="E311" s="1">
        <v>2</v>
      </c>
      <c r="F311" s="1">
        <v>7</v>
      </c>
      <c r="G311" s="1" t="b">
        <v>0</v>
      </c>
      <c r="H311" s="1">
        <v>5</v>
      </c>
      <c r="I311" s="1">
        <v>1</v>
      </c>
      <c r="J311" s="1">
        <v>0.08</v>
      </c>
      <c r="K311" s="1">
        <v>0.16669999999999999</v>
      </c>
      <c r="L311" s="1">
        <v>0.73</v>
      </c>
      <c r="M311" s="1">
        <v>0</v>
      </c>
      <c r="N311" s="1">
        <v>1</v>
      </c>
      <c r="O311" s="1">
        <v>73</v>
      </c>
      <c r="P311" s="1">
        <v>74</v>
      </c>
    </row>
    <row r="312" spans="1:16" x14ac:dyDescent="0.25">
      <c r="A312" s="1">
        <v>930</v>
      </c>
      <c r="B312" s="2">
        <v>40585</v>
      </c>
      <c r="C312" s="1">
        <v>1</v>
      </c>
      <c r="D312" s="1">
        <v>0</v>
      </c>
      <c r="E312" s="1">
        <v>2</v>
      </c>
      <c r="F312" s="1">
        <v>8</v>
      </c>
      <c r="G312" s="1" t="b">
        <v>0</v>
      </c>
      <c r="H312" s="1">
        <v>5</v>
      </c>
      <c r="I312" s="1">
        <v>1</v>
      </c>
      <c r="J312" s="1">
        <v>0.1</v>
      </c>
      <c r="K312" s="1">
        <v>0.1212</v>
      </c>
      <c r="L312" s="1">
        <v>0.74</v>
      </c>
      <c r="M312" s="1">
        <v>0.16420000000000001</v>
      </c>
      <c r="N312" s="1">
        <v>4</v>
      </c>
      <c r="O312" s="1">
        <v>212</v>
      </c>
      <c r="P312" s="1">
        <v>216</v>
      </c>
    </row>
    <row r="313" spans="1:16" x14ac:dyDescent="0.25">
      <c r="A313" s="1">
        <v>931</v>
      </c>
      <c r="B313" s="2">
        <v>40585</v>
      </c>
      <c r="C313" s="1">
        <v>1</v>
      </c>
      <c r="D313" s="1">
        <v>0</v>
      </c>
      <c r="E313" s="1">
        <v>2</v>
      </c>
      <c r="F313" s="1">
        <v>9</v>
      </c>
      <c r="G313" s="1" t="b">
        <v>0</v>
      </c>
      <c r="H313" s="1">
        <v>5</v>
      </c>
      <c r="I313" s="1">
        <v>1</v>
      </c>
      <c r="J313" s="1">
        <v>0.12</v>
      </c>
      <c r="K313" s="1">
        <v>0.1212</v>
      </c>
      <c r="L313" s="1">
        <v>0.74</v>
      </c>
      <c r="M313" s="1">
        <v>0.22389999999999999</v>
      </c>
      <c r="N313" s="1">
        <v>8</v>
      </c>
      <c r="O313" s="1">
        <v>132</v>
      </c>
      <c r="P313" s="1">
        <v>140</v>
      </c>
    </row>
    <row r="314" spans="1:16" x14ac:dyDescent="0.25">
      <c r="A314" s="1">
        <v>932</v>
      </c>
      <c r="B314" s="2">
        <v>40585</v>
      </c>
      <c r="C314" s="1">
        <v>1</v>
      </c>
      <c r="D314" s="1">
        <v>0</v>
      </c>
      <c r="E314" s="1">
        <v>2</v>
      </c>
      <c r="F314" s="1">
        <v>10</v>
      </c>
      <c r="G314" s="1" t="b">
        <v>0</v>
      </c>
      <c r="H314" s="1">
        <v>5</v>
      </c>
      <c r="I314" s="1">
        <v>1</v>
      </c>
      <c r="J314" s="1">
        <v>0.14000000000000001</v>
      </c>
      <c r="K314" s="1">
        <v>0.13639999999999999</v>
      </c>
      <c r="L314" s="1">
        <v>0.69</v>
      </c>
      <c r="M314" s="1">
        <v>0.19400000000000001</v>
      </c>
      <c r="N314" s="1">
        <v>5</v>
      </c>
      <c r="O314" s="1">
        <v>39</v>
      </c>
      <c r="P314" s="1">
        <v>44</v>
      </c>
    </row>
    <row r="315" spans="1:16" x14ac:dyDescent="0.25">
      <c r="A315" s="1">
        <v>933</v>
      </c>
      <c r="B315" s="2">
        <v>40585</v>
      </c>
      <c r="C315" s="1">
        <v>1</v>
      </c>
      <c r="D315" s="1">
        <v>0</v>
      </c>
      <c r="E315" s="1">
        <v>2</v>
      </c>
      <c r="F315" s="1">
        <v>11</v>
      </c>
      <c r="G315" s="1" t="b">
        <v>0</v>
      </c>
      <c r="H315" s="1">
        <v>5</v>
      </c>
      <c r="I315" s="1">
        <v>1</v>
      </c>
      <c r="J315" s="1">
        <v>0.22</v>
      </c>
      <c r="K315" s="1">
        <v>0.2273</v>
      </c>
      <c r="L315" s="1">
        <v>0.47</v>
      </c>
      <c r="M315" s="1">
        <v>0.1343</v>
      </c>
      <c r="N315" s="1">
        <v>12</v>
      </c>
      <c r="O315" s="1">
        <v>52</v>
      </c>
      <c r="P315" s="1">
        <v>64</v>
      </c>
    </row>
    <row r="316" spans="1:16" x14ac:dyDescent="0.25">
      <c r="A316" s="1">
        <v>934</v>
      </c>
      <c r="B316" s="2">
        <v>40585</v>
      </c>
      <c r="C316" s="1">
        <v>1</v>
      </c>
      <c r="D316" s="1">
        <v>0</v>
      </c>
      <c r="E316" s="1">
        <v>2</v>
      </c>
      <c r="F316" s="1">
        <v>12</v>
      </c>
      <c r="G316" s="1" t="b">
        <v>0</v>
      </c>
      <c r="H316" s="1">
        <v>5</v>
      </c>
      <c r="I316" s="1">
        <v>1</v>
      </c>
      <c r="J316" s="1">
        <v>0.22</v>
      </c>
      <c r="K316" s="1">
        <v>0.2273</v>
      </c>
      <c r="L316" s="1">
        <v>0.47</v>
      </c>
      <c r="M316" s="1">
        <v>0.1343</v>
      </c>
      <c r="N316" s="1">
        <v>7</v>
      </c>
      <c r="O316" s="1">
        <v>64</v>
      </c>
      <c r="P316" s="1">
        <v>71</v>
      </c>
    </row>
    <row r="317" spans="1:16" x14ac:dyDescent="0.25">
      <c r="A317" s="1">
        <v>935</v>
      </c>
      <c r="B317" s="2">
        <v>40585</v>
      </c>
      <c r="C317" s="1">
        <v>1</v>
      </c>
      <c r="D317" s="1">
        <v>0</v>
      </c>
      <c r="E317" s="1">
        <v>2</v>
      </c>
      <c r="F317" s="1">
        <v>13</v>
      </c>
      <c r="G317" s="1" t="b">
        <v>0</v>
      </c>
      <c r="H317" s="1">
        <v>5</v>
      </c>
      <c r="I317" s="1">
        <v>1</v>
      </c>
      <c r="J317" s="1">
        <v>0.24</v>
      </c>
      <c r="K317" s="1">
        <v>0.2273</v>
      </c>
      <c r="L317" s="1">
        <v>0.35</v>
      </c>
      <c r="M317" s="1">
        <v>0.19400000000000001</v>
      </c>
      <c r="N317" s="1">
        <v>21</v>
      </c>
      <c r="O317" s="1">
        <v>89</v>
      </c>
      <c r="P317" s="1">
        <v>110</v>
      </c>
    </row>
    <row r="318" spans="1:16" x14ac:dyDescent="0.25">
      <c r="A318" s="1">
        <v>936</v>
      </c>
      <c r="B318" s="2">
        <v>40585</v>
      </c>
      <c r="C318" s="1">
        <v>1</v>
      </c>
      <c r="D318" s="1">
        <v>0</v>
      </c>
      <c r="E318" s="1">
        <v>2</v>
      </c>
      <c r="F318" s="1">
        <v>14</v>
      </c>
      <c r="G318" s="1" t="b">
        <v>0</v>
      </c>
      <c r="H318" s="1">
        <v>5</v>
      </c>
      <c r="I318" s="1">
        <v>1</v>
      </c>
      <c r="J318" s="1">
        <v>0.3</v>
      </c>
      <c r="K318" s="1">
        <v>0.28789999999999999</v>
      </c>
      <c r="L318" s="1">
        <v>0.26</v>
      </c>
      <c r="M318" s="1">
        <v>0.25369999999999998</v>
      </c>
      <c r="N318" s="1">
        <v>17</v>
      </c>
      <c r="O318" s="1">
        <v>67</v>
      </c>
      <c r="P318" s="1">
        <v>84</v>
      </c>
    </row>
    <row r="319" spans="1:16" x14ac:dyDescent="0.25">
      <c r="A319" s="1">
        <v>937</v>
      </c>
      <c r="B319" s="2">
        <v>40585</v>
      </c>
      <c r="C319" s="1">
        <v>1</v>
      </c>
      <c r="D319" s="1">
        <v>0</v>
      </c>
      <c r="E319" s="1">
        <v>2</v>
      </c>
      <c r="F319" s="1">
        <v>15</v>
      </c>
      <c r="G319" s="1" t="b">
        <v>0</v>
      </c>
      <c r="H319" s="1">
        <v>5</v>
      </c>
      <c r="I319" s="1">
        <v>1</v>
      </c>
      <c r="J319" s="1">
        <v>0.32</v>
      </c>
      <c r="K319" s="1">
        <v>0.31819999999999998</v>
      </c>
      <c r="L319" s="1">
        <v>0.21</v>
      </c>
      <c r="M319" s="1">
        <v>0.16420000000000001</v>
      </c>
      <c r="N319" s="1">
        <v>12</v>
      </c>
      <c r="O319" s="1">
        <v>62</v>
      </c>
      <c r="P319" s="1">
        <v>74</v>
      </c>
    </row>
    <row r="320" spans="1:16" x14ac:dyDescent="0.25">
      <c r="A320" s="1">
        <v>938</v>
      </c>
      <c r="B320" s="2">
        <v>40585</v>
      </c>
      <c r="C320" s="1">
        <v>1</v>
      </c>
      <c r="D320" s="1">
        <v>0</v>
      </c>
      <c r="E320" s="1">
        <v>2</v>
      </c>
      <c r="F320" s="1">
        <v>16</v>
      </c>
      <c r="G320" s="1" t="b">
        <v>0</v>
      </c>
      <c r="H320" s="1">
        <v>5</v>
      </c>
      <c r="I320" s="1">
        <v>1</v>
      </c>
      <c r="J320" s="1">
        <v>0.3</v>
      </c>
      <c r="K320" s="1">
        <v>0.28789999999999999</v>
      </c>
      <c r="L320" s="1">
        <v>0.28000000000000003</v>
      </c>
      <c r="M320" s="1">
        <v>0.19400000000000001</v>
      </c>
      <c r="N320" s="1">
        <v>14</v>
      </c>
      <c r="O320" s="1">
        <v>111</v>
      </c>
      <c r="P320" s="1">
        <v>125</v>
      </c>
    </row>
    <row r="321" spans="1:16" x14ac:dyDescent="0.25">
      <c r="A321" s="1">
        <v>939</v>
      </c>
      <c r="B321" s="2">
        <v>40585</v>
      </c>
      <c r="C321" s="1">
        <v>1</v>
      </c>
      <c r="D321" s="1">
        <v>0</v>
      </c>
      <c r="E321" s="1">
        <v>2</v>
      </c>
      <c r="F321" s="1">
        <v>17</v>
      </c>
      <c r="G321" s="1" t="b">
        <v>0</v>
      </c>
      <c r="H321" s="1">
        <v>5</v>
      </c>
      <c r="I321" s="1">
        <v>1</v>
      </c>
      <c r="J321" s="1">
        <v>0.3</v>
      </c>
      <c r="K321" s="1">
        <v>0.33329999999999999</v>
      </c>
      <c r="L321" s="1">
        <v>0.24</v>
      </c>
      <c r="M321" s="1">
        <v>0</v>
      </c>
      <c r="N321" s="1">
        <v>18</v>
      </c>
      <c r="O321" s="1">
        <v>193</v>
      </c>
      <c r="P321" s="1">
        <v>211</v>
      </c>
    </row>
    <row r="322" spans="1:16" x14ac:dyDescent="0.25">
      <c r="A322" s="1">
        <v>940</v>
      </c>
      <c r="B322" s="2">
        <v>40585</v>
      </c>
      <c r="C322" s="1">
        <v>1</v>
      </c>
      <c r="D322" s="1">
        <v>0</v>
      </c>
      <c r="E322" s="1">
        <v>2</v>
      </c>
      <c r="F322" s="1">
        <v>18</v>
      </c>
      <c r="G322" s="1" t="b">
        <v>0</v>
      </c>
      <c r="H322" s="1">
        <v>5</v>
      </c>
      <c r="I322" s="1">
        <v>1</v>
      </c>
      <c r="J322" s="1">
        <v>0.28000000000000003</v>
      </c>
      <c r="K322" s="1">
        <v>0.31819999999999998</v>
      </c>
      <c r="L322" s="1">
        <v>0.28000000000000003</v>
      </c>
      <c r="M322" s="1">
        <v>0</v>
      </c>
      <c r="N322" s="1">
        <v>9</v>
      </c>
      <c r="O322" s="1">
        <v>165</v>
      </c>
      <c r="P322" s="1">
        <v>174</v>
      </c>
    </row>
    <row r="323" spans="1:16" x14ac:dyDescent="0.25">
      <c r="A323" s="1">
        <v>941</v>
      </c>
      <c r="B323" s="2">
        <v>40585</v>
      </c>
      <c r="C323" s="1">
        <v>1</v>
      </c>
      <c r="D323" s="1">
        <v>0</v>
      </c>
      <c r="E323" s="1">
        <v>2</v>
      </c>
      <c r="F323" s="1">
        <v>19</v>
      </c>
      <c r="G323" s="1" t="b">
        <v>0</v>
      </c>
      <c r="H323" s="1">
        <v>5</v>
      </c>
      <c r="I323" s="1">
        <v>1</v>
      </c>
      <c r="J323" s="1">
        <v>0.26</v>
      </c>
      <c r="K323" s="1">
        <v>0.30299999999999999</v>
      </c>
      <c r="L323" s="1">
        <v>0.33</v>
      </c>
      <c r="M323" s="1">
        <v>0</v>
      </c>
      <c r="N323" s="1">
        <v>7</v>
      </c>
      <c r="O323" s="1">
        <v>94</v>
      </c>
      <c r="P323" s="1">
        <v>101</v>
      </c>
    </row>
    <row r="324" spans="1:16" x14ac:dyDescent="0.25">
      <c r="A324" s="1">
        <v>942</v>
      </c>
      <c r="B324" s="2">
        <v>40585</v>
      </c>
      <c r="C324" s="1">
        <v>1</v>
      </c>
      <c r="D324" s="1">
        <v>0</v>
      </c>
      <c r="E324" s="1">
        <v>2</v>
      </c>
      <c r="F324" s="1">
        <v>20</v>
      </c>
      <c r="G324" s="1" t="b">
        <v>0</v>
      </c>
      <c r="H324" s="1">
        <v>5</v>
      </c>
      <c r="I324" s="1">
        <v>1</v>
      </c>
      <c r="J324" s="1">
        <v>0.22</v>
      </c>
      <c r="K324" s="1">
        <v>0.2273</v>
      </c>
      <c r="L324" s="1">
        <v>0.55000000000000004</v>
      </c>
      <c r="M324" s="1">
        <v>0.1343</v>
      </c>
      <c r="N324" s="1">
        <v>2</v>
      </c>
      <c r="O324" s="1">
        <v>61</v>
      </c>
      <c r="P324" s="1">
        <v>63</v>
      </c>
    </row>
    <row r="325" spans="1:16" x14ac:dyDescent="0.25">
      <c r="A325" s="1">
        <v>943</v>
      </c>
      <c r="B325" s="2">
        <v>40585</v>
      </c>
      <c r="C325" s="1">
        <v>1</v>
      </c>
      <c r="D325" s="1">
        <v>0</v>
      </c>
      <c r="E325" s="1">
        <v>2</v>
      </c>
      <c r="F325" s="1">
        <v>21</v>
      </c>
      <c r="G325" s="1" t="b">
        <v>0</v>
      </c>
      <c r="H325" s="1">
        <v>5</v>
      </c>
      <c r="I325" s="1">
        <v>1</v>
      </c>
      <c r="J325" s="1">
        <v>0.2</v>
      </c>
      <c r="K325" s="1">
        <v>0.21210000000000001</v>
      </c>
      <c r="L325" s="1">
        <v>0.59</v>
      </c>
      <c r="M325" s="1">
        <v>0.1343</v>
      </c>
      <c r="N325" s="1">
        <v>1</v>
      </c>
      <c r="O325" s="1">
        <v>46</v>
      </c>
      <c r="P325" s="1">
        <v>47</v>
      </c>
    </row>
    <row r="326" spans="1:16" x14ac:dyDescent="0.25">
      <c r="A326" s="1">
        <v>944</v>
      </c>
      <c r="B326" s="2">
        <v>40585</v>
      </c>
      <c r="C326" s="1">
        <v>1</v>
      </c>
      <c r="D326" s="1">
        <v>0</v>
      </c>
      <c r="E326" s="1">
        <v>2</v>
      </c>
      <c r="F326" s="1">
        <v>22</v>
      </c>
      <c r="G326" s="1" t="b">
        <v>0</v>
      </c>
      <c r="H326" s="1">
        <v>5</v>
      </c>
      <c r="I326" s="1">
        <v>1</v>
      </c>
      <c r="J326" s="1">
        <v>0.2</v>
      </c>
      <c r="K326" s="1">
        <v>0.2273</v>
      </c>
      <c r="L326" s="1">
        <v>0.64</v>
      </c>
      <c r="M326" s="1">
        <v>8.9599999999999999E-2</v>
      </c>
      <c r="N326" s="1">
        <v>2</v>
      </c>
      <c r="O326" s="1">
        <v>41</v>
      </c>
      <c r="P326" s="1">
        <v>43</v>
      </c>
    </row>
    <row r="327" spans="1:16" x14ac:dyDescent="0.25">
      <c r="A327" s="1">
        <v>945</v>
      </c>
      <c r="B327" s="2">
        <v>40585</v>
      </c>
      <c r="C327" s="1">
        <v>1</v>
      </c>
      <c r="D327" s="1">
        <v>0</v>
      </c>
      <c r="E327" s="1">
        <v>2</v>
      </c>
      <c r="F327" s="1">
        <v>23</v>
      </c>
      <c r="G327" s="1" t="b">
        <v>0</v>
      </c>
      <c r="H327" s="1">
        <v>5</v>
      </c>
      <c r="I327" s="1">
        <v>1</v>
      </c>
      <c r="J327" s="1">
        <v>0.18</v>
      </c>
      <c r="K327" s="1">
        <v>0.2424</v>
      </c>
      <c r="L327" s="1">
        <v>0.69</v>
      </c>
      <c r="M327" s="1">
        <v>0</v>
      </c>
      <c r="N327" s="1">
        <v>5</v>
      </c>
      <c r="O327" s="1">
        <v>48</v>
      </c>
      <c r="P327" s="1">
        <v>53</v>
      </c>
    </row>
    <row r="328" spans="1:16" x14ac:dyDescent="0.25">
      <c r="A328" s="1">
        <v>946</v>
      </c>
      <c r="B328" s="2">
        <v>40586</v>
      </c>
      <c r="C328" s="1">
        <v>1</v>
      </c>
      <c r="D328" s="1">
        <v>0</v>
      </c>
      <c r="E328" s="1">
        <v>2</v>
      </c>
      <c r="F328" s="1">
        <v>0</v>
      </c>
      <c r="G328" s="1" t="b">
        <v>0</v>
      </c>
      <c r="H328" s="1">
        <v>6</v>
      </c>
      <c r="I328" s="1">
        <v>1</v>
      </c>
      <c r="J328" s="1">
        <v>0.16</v>
      </c>
      <c r="K328" s="1">
        <v>0.19700000000000001</v>
      </c>
      <c r="L328" s="1">
        <v>0.69</v>
      </c>
      <c r="M328" s="1">
        <v>8.9599999999999999E-2</v>
      </c>
      <c r="N328" s="1">
        <v>3</v>
      </c>
      <c r="O328" s="1">
        <v>27</v>
      </c>
      <c r="P328" s="1">
        <v>30</v>
      </c>
    </row>
    <row r="329" spans="1:16" x14ac:dyDescent="0.25">
      <c r="A329" s="1">
        <v>947</v>
      </c>
      <c r="B329" s="2">
        <v>40586</v>
      </c>
      <c r="C329" s="1">
        <v>1</v>
      </c>
      <c r="D329" s="1">
        <v>0</v>
      </c>
      <c r="E329" s="1">
        <v>2</v>
      </c>
      <c r="F329" s="1">
        <v>1</v>
      </c>
      <c r="G329" s="1" t="b">
        <v>0</v>
      </c>
      <c r="H329" s="1">
        <v>6</v>
      </c>
      <c r="I329" s="1">
        <v>1</v>
      </c>
      <c r="J329" s="1">
        <v>0.14000000000000001</v>
      </c>
      <c r="K329" s="1">
        <v>0.21210000000000001</v>
      </c>
      <c r="L329" s="1">
        <v>0.86</v>
      </c>
      <c r="M329" s="1">
        <v>0</v>
      </c>
      <c r="N329" s="1">
        <v>2</v>
      </c>
      <c r="O329" s="1">
        <v>22</v>
      </c>
      <c r="P329" s="1">
        <v>24</v>
      </c>
    </row>
    <row r="330" spans="1:16" x14ac:dyDescent="0.25">
      <c r="A330" s="1">
        <v>948</v>
      </c>
      <c r="B330" s="2">
        <v>40586</v>
      </c>
      <c r="C330" s="1">
        <v>1</v>
      </c>
      <c r="D330" s="1">
        <v>0</v>
      </c>
      <c r="E330" s="1">
        <v>2</v>
      </c>
      <c r="F330" s="1">
        <v>2</v>
      </c>
      <c r="G330" s="1" t="b">
        <v>0</v>
      </c>
      <c r="H330" s="1">
        <v>6</v>
      </c>
      <c r="I330" s="1">
        <v>1</v>
      </c>
      <c r="J330" s="1">
        <v>0.14000000000000001</v>
      </c>
      <c r="K330" s="1">
        <v>0.21210000000000001</v>
      </c>
      <c r="L330" s="1">
        <v>0.8</v>
      </c>
      <c r="M330" s="1">
        <v>0</v>
      </c>
      <c r="N330" s="1">
        <v>2</v>
      </c>
      <c r="O330" s="1">
        <v>13</v>
      </c>
      <c r="P330" s="1">
        <v>15</v>
      </c>
    </row>
    <row r="331" spans="1:16" x14ac:dyDescent="0.25">
      <c r="A331" s="1">
        <v>949</v>
      </c>
      <c r="B331" s="2">
        <v>40586</v>
      </c>
      <c r="C331" s="1">
        <v>1</v>
      </c>
      <c r="D331" s="1">
        <v>0</v>
      </c>
      <c r="E331" s="1">
        <v>2</v>
      </c>
      <c r="F331" s="1">
        <v>3</v>
      </c>
      <c r="G331" s="1" t="b">
        <v>0</v>
      </c>
      <c r="H331" s="1">
        <v>6</v>
      </c>
      <c r="I331" s="1">
        <v>1</v>
      </c>
      <c r="J331" s="1">
        <v>0.12</v>
      </c>
      <c r="K331" s="1">
        <v>0.19700000000000001</v>
      </c>
      <c r="L331" s="1">
        <v>0.8</v>
      </c>
      <c r="M331" s="1">
        <v>0</v>
      </c>
      <c r="N331" s="1">
        <v>3</v>
      </c>
      <c r="O331" s="1">
        <v>7</v>
      </c>
      <c r="P331" s="1">
        <v>10</v>
      </c>
    </row>
    <row r="332" spans="1:16" x14ac:dyDescent="0.25">
      <c r="A332" s="1">
        <v>950</v>
      </c>
      <c r="B332" s="2">
        <v>40586</v>
      </c>
      <c r="C332" s="1">
        <v>1</v>
      </c>
      <c r="D332" s="1">
        <v>0</v>
      </c>
      <c r="E332" s="1">
        <v>2</v>
      </c>
      <c r="F332" s="1">
        <v>4</v>
      </c>
      <c r="G332" s="1" t="b">
        <v>0</v>
      </c>
      <c r="H332" s="1">
        <v>6</v>
      </c>
      <c r="I332" s="1">
        <v>1</v>
      </c>
      <c r="J332" s="1">
        <v>0.12</v>
      </c>
      <c r="K332" s="1">
        <v>0.16669999999999999</v>
      </c>
      <c r="L332" s="1">
        <v>0.74</v>
      </c>
      <c r="M332" s="1">
        <v>8.9599999999999999E-2</v>
      </c>
      <c r="N332" s="1">
        <v>0</v>
      </c>
      <c r="O332" s="1">
        <v>4</v>
      </c>
      <c r="P332" s="1">
        <v>4</v>
      </c>
    </row>
    <row r="333" spans="1:16" x14ac:dyDescent="0.25">
      <c r="A333" s="1">
        <v>951</v>
      </c>
      <c r="B333" s="2">
        <v>40586</v>
      </c>
      <c r="C333" s="1">
        <v>1</v>
      </c>
      <c r="D333" s="1">
        <v>0</v>
      </c>
      <c r="E333" s="1">
        <v>2</v>
      </c>
      <c r="F333" s="1">
        <v>5</v>
      </c>
      <c r="G333" s="1" t="b">
        <v>0</v>
      </c>
      <c r="H333" s="1">
        <v>6</v>
      </c>
      <c r="I333" s="1">
        <v>1</v>
      </c>
      <c r="J333" s="1">
        <v>0.12</v>
      </c>
      <c r="K333" s="1">
        <v>0.16669999999999999</v>
      </c>
      <c r="L333" s="1">
        <v>0.74</v>
      </c>
      <c r="M333" s="1">
        <v>8.9599999999999999E-2</v>
      </c>
      <c r="N333" s="1">
        <v>0</v>
      </c>
      <c r="O333" s="1">
        <v>1</v>
      </c>
      <c r="P333" s="1">
        <v>1</v>
      </c>
    </row>
    <row r="334" spans="1:16" x14ac:dyDescent="0.25">
      <c r="A334" s="1">
        <v>952</v>
      </c>
      <c r="B334" s="2">
        <v>40586</v>
      </c>
      <c r="C334" s="1">
        <v>1</v>
      </c>
      <c r="D334" s="1">
        <v>0</v>
      </c>
      <c r="E334" s="1">
        <v>2</v>
      </c>
      <c r="F334" s="1">
        <v>6</v>
      </c>
      <c r="G334" s="1" t="b">
        <v>0</v>
      </c>
      <c r="H334" s="1">
        <v>6</v>
      </c>
      <c r="I334" s="1">
        <v>1</v>
      </c>
      <c r="J334" s="1">
        <v>0.12</v>
      </c>
      <c r="K334" s="1">
        <v>0.13639999999999999</v>
      </c>
      <c r="L334" s="1">
        <v>0.93</v>
      </c>
      <c r="M334" s="1">
        <v>0.19400000000000001</v>
      </c>
      <c r="N334" s="1">
        <v>1</v>
      </c>
      <c r="O334" s="1">
        <v>1</v>
      </c>
      <c r="P334" s="1">
        <v>2</v>
      </c>
    </row>
    <row r="335" spans="1:16" x14ac:dyDescent="0.25">
      <c r="A335" s="1">
        <v>953</v>
      </c>
      <c r="B335" s="2">
        <v>40586</v>
      </c>
      <c r="C335" s="1">
        <v>1</v>
      </c>
      <c r="D335" s="1">
        <v>0</v>
      </c>
      <c r="E335" s="1">
        <v>2</v>
      </c>
      <c r="F335" s="1">
        <v>7</v>
      </c>
      <c r="G335" s="1" t="b">
        <v>0</v>
      </c>
      <c r="H335" s="1">
        <v>6</v>
      </c>
      <c r="I335" s="1">
        <v>1</v>
      </c>
      <c r="J335" s="1">
        <v>0.12</v>
      </c>
      <c r="K335" s="1">
        <v>0.1515</v>
      </c>
      <c r="L335" s="1">
        <v>0.8</v>
      </c>
      <c r="M335" s="1">
        <v>0.1045</v>
      </c>
      <c r="N335" s="1">
        <v>2</v>
      </c>
      <c r="O335" s="1">
        <v>9</v>
      </c>
      <c r="P335" s="1">
        <v>11</v>
      </c>
    </row>
    <row r="336" spans="1:16" x14ac:dyDescent="0.25">
      <c r="A336" s="1">
        <v>954</v>
      </c>
      <c r="B336" s="2">
        <v>40586</v>
      </c>
      <c r="C336" s="1">
        <v>1</v>
      </c>
      <c r="D336" s="1">
        <v>0</v>
      </c>
      <c r="E336" s="1">
        <v>2</v>
      </c>
      <c r="F336" s="1">
        <v>8</v>
      </c>
      <c r="G336" s="1" t="b">
        <v>0</v>
      </c>
      <c r="H336" s="1">
        <v>6</v>
      </c>
      <c r="I336" s="1">
        <v>1</v>
      </c>
      <c r="J336" s="1">
        <v>0.14000000000000001</v>
      </c>
      <c r="K336" s="1">
        <v>0.1515</v>
      </c>
      <c r="L336" s="1">
        <v>0.86</v>
      </c>
      <c r="M336" s="1">
        <v>0.1343</v>
      </c>
      <c r="N336" s="1">
        <v>2</v>
      </c>
      <c r="O336" s="1">
        <v>28</v>
      </c>
      <c r="P336" s="1">
        <v>30</v>
      </c>
    </row>
    <row r="337" spans="1:16" x14ac:dyDescent="0.25">
      <c r="A337" s="1">
        <v>955</v>
      </c>
      <c r="B337" s="2">
        <v>40586</v>
      </c>
      <c r="C337" s="1">
        <v>1</v>
      </c>
      <c r="D337" s="1">
        <v>0</v>
      </c>
      <c r="E337" s="1">
        <v>2</v>
      </c>
      <c r="F337" s="1">
        <v>9</v>
      </c>
      <c r="G337" s="1" t="b">
        <v>0</v>
      </c>
      <c r="H337" s="1">
        <v>6</v>
      </c>
      <c r="I337" s="1">
        <v>1</v>
      </c>
      <c r="J337" s="1">
        <v>0.16</v>
      </c>
      <c r="K337" s="1">
        <v>0.18179999999999999</v>
      </c>
      <c r="L337" s="1">
        <v>0.64</v>
      </c>
      <c r="M337" s="1">
        <v>0.1343</v>
      </c>
      <c r="N337" s="1">
        <v>5</v>
      </c>
      <c r="O337" s="1">
        <v>38</v>
      </c>
      <c r="P337" s="1">
        <v>43</v>
      </c>
    </row>
    <row r="338" spans="1:16" x14ac:dyDescent="0.25">
      <c r="A338" s="1">
        <v>956</v>
      </c>
      <c r="B338" s="2">
        <v>40586</v>
      </c>
      <c r="C338" s="1">
        <v>1</v>
      </c>
      <c r="D338" s="1">
        <v>0</v>
      </c>
      <c r="E338" s="1">
        <v>2</v>
      </c>
      <c r="F338" s="1">
        <v>10</v>
      </c>
      <c r="G338" s="1" t="b">
        <v>0</v>
      </c>
      <c r="H338" s="1">
        <v>6</v>
      </c>
      <c r="I338" s="1">
        <v>1</v>
      </c>
      <c r="J338" s="1">
        <v>0.22</v>
      </c>
      <c r="K338" s="1">
        <v>0.21210000000000001</v>
      </c>
      <c r="L338" s="1">
        <v>0.41</v>
      </c>
      <c r="M338" s="1">
        <v>0.25369999999999998</v>
      </c>
      <c r="N338" s="1">
        <v>13</v>
      </c>
      <c r="O338" s="1">
        <v>71</v>
      </c>
      <c r="P338" s="1">
        <v>84</v>
      </c>
    </row>
    <row r="339" spans="1:16" x14ac:dyDescent="0.25">
      <c r="A339" s="1">
        <v>957</v>
      </c>
      <c r="B339" s="2">
        <v>40586</v>
      </c>
      <c r="C339" s="1">
        <v>1</v>
      </c>
      <c r="D339" s="1">
        <v>0</v>
      </c>
      <c r="E339" s="1">
        <v>2</v>
      </c>
      <c r="F339" s="1">
        <v>11</v>
      </c>
      <c r="G339" s="1" t="b">
        <v>0</v>
      </c>
      <c r="H339" s="1">
        <v>6</v>
      </c>
      <c r="I339" s="1">
        <v>1</v>
      </c>
      <c r="J339" s="1">
        <v>0.3</v>
      </c>
      <c r="K339" s="1">
        <v>0.2727</v>
      </c>
      <c r="L339" s="1">
        <v>0.28000000000000003</v>
      </c>
      <c r="M339" s="1">
        <v>0.32840000000000003</v>
      </c>
      <c r="N339" s="1">
        <v>30</v>
      </c>
      <c r="O339" s="1">
        <v>84</v>
      </c>
      <c r="P339" s="1">
        <v>114</v>
      </c>
    </row>
    <row r="340" spans="1:16" x14ac:dyDescent="0.25">
      <c r="A340" s="1">
        <v>958</v>
      </c>
      <c r="B340" s="2">
        <v>40586</v>
      </c>
      <c r="C340" s="1">
        <v>1</v>
      </c>
      <c r="D340" s="1">
        <v>0</v>
      </c>
      <c r="E340" s="1">
        <v>2</v>
      </c>
      <c r="F340" s="1">
        <v>12</v>
      </c>
      <c r="G340" s="1" t="b">
        <v>0</v>
      </c>
      <c r="H340" s="1">
        <v>6</v>
      </c>
      <c r="I340" s="1">
        <v>1</v>
      </c>
      <c r="J340" s="1">
        <v>0.3</v>
      </c>
      <c r="K340" s="1">
        <v>0.2727</v>
      </c>
      <c r="L340" s="1">
        <v>0.39</v>
      </c>
      <c r="M340" s="1">
        <v>0.4627</v>
      </c>
      <c r="N340" s="1">
        <v>27</v>
      </c>
      <c r="O340" s="1">
        <v>93</v>
      </c>
      <c r="P340" s="1">
        <v>120</v>
      </c>
    </row>
    <row r="341" spans="1:16" x14ac:dyDescent="0.25">
      <c r="A341" s="1">
        <v>959</v>
      </c>
      <c r="B341" s="2">
        <v>40586</v>
      </c>
      <c r="C341" s="1">
        <v>1</v>
      </c>
      <c r="D341" s="1">
        <v>0</v>
      </c>
      <c r="E341" s="1">
        <v>2</v>
      </c>
      <c r="F341" s="1">
        <v>13</v>
      </c>
      <c r="G341" s="1" t="b">
        <v>0</v>
      </c>
      <c r="H341" s="1">
        <v>6</v>
      </c>
      <c r="I341" s="1">
        <v>1</v>
      </c>
      <c r="J341" s="1">
        <v>0.3</v>
      </c>
      <c r="K341" s="1">
        <v>0.2727</v>
      </c>
      <c r="L341" s="1">
        <v>0.39</v>
      </c>
      <c r="M341" s="1">
        <v>0.41789999999999999</v>
      </c>
      <c r="N341" s="1">
        <v>32</v>
      </c>
      <c r="O341" s="1">
        <v>103</v>
      </c>
      <c r="P341" s="1">
        <v>135</v>
      </c>
    </row>
    <row r="342" spans="1:16" x14ac:dyDescent="0.25">
      <c r="A342" s="1">
        <v>960</v>
      </c>
      <c r="B342" s="2">
        <v>40586</v>
      </c>
      <c r="C342" s="1">
        <v>1</v>
      </c>
      <c r="D342" s="1">
        <v>0</v>
      </c>
      <c r="E342" s="1">
        <v>2</v>
      </c>
      <c r="F342" s="1">
        <v>14</v>
      </c>
      <c r="G342" s="1" t="b">
        <v>0</v>
      </c>
      <c r="H342" s="1">
        <v>6</v>
      </c>
      <c r="I342" s="1">
        <v>1</v>
      </c>
      <c r="J342" s="1">
        <v>0.34</v>
      </c>
      <c r="K342" s="1">
        <v>0.31819999999999998</v>
      </c>
      <c r="L342" s="1">
        <v>0.31</v>
      </c>
      <c r="M342" s="1">
        <v>0.28360000000000002</v>
      </c>
      <c r="N342" s="1">
        <v>30</v>
      </c>
      <c r="O342" s="1">
        <v>90</v>
      </c>
      <c r="P342" s="1">
        <v>120</v>
      </c>
    </row>
    <row r="343" spans="1:16" x14ac:dyDescent="0.25">
      <c r="A343" s="1">
        <v>961</v>
      </c>
      <c r="B343" s="2">
        <v>40586</v>
      </c>
      <c r="C343" s="1">
        <v>1</v>
      </c>
      <c r="D343" s="1">
        <v>0</v>
      </c>
      <c r="E343" s="1">
        <v>2</v>
      </c>
      <c r="F343" s="1">
        <v>15</v>
      </c>
      <c r="G343" s="1" t="b">
        <v>0</v>
      </c>
      <c r="H343" s="1">
        <v>6</v>
      </c>
      <c r="I343" s="1">
        <v>1</v>
      </c>
      <c r="J343" s="1">
        <v>0.34</v>
      </c>
      <c r="K343" s="1">
        <v>0.30299999999999999</v>
      </c>
      <c r="L343" s="1">
        <v>0.28999999999999998</v>
      </c>
      <c r="M343" s="1">
        <v>0.41789999999999999</v>
      </c>
      <c r="N343" s="1">
        <v>47</v>
      </c>
      <c r="O343" s="1">
        <v>127</v>
      </c>
      <c r="P343" s="1">
        <v>174</v>
      </c>
    </row>
    <row r="344" spans="1:16" x14ac:dyDescent="0.25">
      <c r="A344" s="1">
        <v>962</v>
      </c>
      <c r="B344" s="2">
        <v>40586</v>
      </c>
      <c r="C344" s="1">
        <v>1</v>
      </c>
      <c r="D344" s="1">
        <v>0</v>
      </c>
      <c r="E344" s="1">
        <v>2</v>
      </c>
      <c r="F344" s="1">
        <v>16</v>
      </c>
      <c r="G344" s="1" t="b">
        <v>0</v>
      </c>
      <c r="H344" s="1">
        <v>6</v>
      </c>
      <c r="I344" s="1">
        <v>1</v>
      </c>
      <c r="J344" s="1">
        <v>0.34</v>
      </c>
      <c r="K344" s="1">
        <v>0.30299999999999999</v>
      </c>
      <c r="L344" s="1">
        <v>0.28999999999999998</v>
      </c>
      <c r="M344" s="1">
        <v>0.41789999999999999</v>
      </c>
      <c r="N344" s="1">
        <v>42</v>
      </c>
      <c r="O344" s="1">
        <v>103</v>
      </c>
      <c r="P344" s="1">
        <v>145</v>
      </c>
    </row>
    <row r="345" spans="1:16" x14ac:dyDescent="0.25">
      <c r="A345" s="1">
        <v>963</v>
      </c>
      <c r="B345" s="2">
        <v>40586</v>
      </c>
      <c r="C345" s="1">
        <v>1</v>
      </c>
      <c r="D345" s="1">
        <v>0</v>
      </c>
      <c r="E345" s="1">
        <v>2</v>
      </c>
      <c r="F345" s="1">
        <v>17</v>
      </c>
      <c r="G345" s="1" t="b">
        <v>0</v>
      </c>
      <c r="H345" s="1">
        <v>6</v>
      </c>
      <c r="I345" s="1">
        <v>1</v>
      </c>
      <c r="J345" s="1">
        <v>0.32</v>
      </c>
      <c r="K345" s="1">
        <v>0.28789999999999999</v>
      </c>
      <c r="L345" s="1">
        <v>0.31</v>
      </c>
      <c r="M345" s="1">
        <v>0.52239999999999998</v>
      </c>
      <c r="N345" s="1">
        <v>24</v>
      </c>
      <c r="O345" s="1">
        <v>113</v>
      </c>
      <c r="P345" s="1">
        <v>137</v>
      </c>
    </row>
    <row r="346" spans="1:16" x14ac:dyDescent="0.25">
      <c r="A346" s="1">
        <v>964</v>
      </c>
      <c r="B346" s="2">
        <v>40586</v>
      </c>
      <c r="C346" s="1">
        <v>1</v>
      </c>
      <c r="D346" s="1">
        <v>0</v>
      </c>
      <c r="E346" s="1">
        <v>2</v>
      </c>
      <c r="F346" s="1">
        <v>18</v>
      </c>
      <c r="G346" s="1" t="b">
        <v>0</v>
      </c>
      <c r="H346" s="1">
        <v>6</v>
      </c>
      <c r="I346" s="1">
        <v>1</v>
      </c>
      <c r="J346" s="1">
        <v>0.28000000000000003</v>
      </c>
      <c r="K346" s="1">
        <v>0.2576</v>
      </c>
      <c r="L346" s="1">
        <v>0.38</v>
      </c>
      <c r="M346" s="1">
        <v>0.32840000000000003</v>
      </c>
      <c r="N346" s="1">
        <v>4</v>
      </c>
      <c r="O346" s="1">
        <v>60</v>
      </c>
      <c r="P346" s="1">
        <v>64</v>
      </c>
    </row>
    <row r="347" spans="1:16" x14ac:dyDescent="0.25">
      <c r="A347" s="1">
        <v>965</v>
      </c>
      <c r="B347" s="2">
        <v>40586</v>
      </c>
      <c r="C347" s="1">
        <v>1</v>
      </c>
      <c r="D347" s="1">
        <v>0</v>
      </c>
      <c r="E347" s="1">
        <v>2</v>
      </c>
      <c r="F347" s="1">
        <v>19</v>
      </c>
      <c r="G347" s="1" t="b">
        <v>0</v>
      </c>
      <c r="H347" s="1">
        <v>6</v>
      </c>
      <c r="I347" s="1">
        <v>1</v>
      </c>
      <c r="J347" s="1">
        <v>0.28000000000000003</v>
      </c>
      <c r="K347" s="1">
        <v>0.2727</v>
      </c>
      <c r="L347" s="1">
        <v>0.38</v>
      </c>
      <c r="M347" s="1">
        <v>0.16420000000000001</v>
      </c>
      <c r="N347" s="1">
        <v>2</v>
      </c>
      <c r="O347" s="1">
        <v>39</v>
      </c>
      <c r="P347" s="1">
        <v>41</v>
      </c>
    </row>
    <row r="348" spans="1:16" x14ac:dyDescent="0.25">
      <c r="A348" s="1">
        <v>966</v>
      </c>
      <c r="B348" s="2">
        <v>40586</v>
      </c>
      <c r="C348" s="1">
        <v>1</v>
      </c>
      <c r="D348" s="1">
        <v>0</v>
      </c>
      <c r="E348" s="1">
        <v>2</v>
      </c>
      <c r="F348" s="1">
        <v>20</v>
      </c>
      <c r="G348" s="1" t="b">
        <v>0</v>
      </c>
      <c r="H348" s="1">
        <v>6</v>
      </c>
      <c r="I348" s="1">
        <v>1</v>
      </c>
      <c r="J348" s="1">
        <v>0.26</v>
      </c>
      <c r="K348" s="1">
        <v>0.2576</v>
      </c>
      <c r="L348" s="1">
        <v>0.41</v>
      </c>
      <c r="M348" s="1">
        <v>0.22389999999999999</v>
      </c>
      <c r="N348" s="1">
        <v>1</v>
      </c>
      <c r="O348" s="1">
        <v>39</v>
      </c>
      <c r="P348" s="1">
        <v>40</v>
      </c>
    </row>
    <row r="349" spans="1:16" x14ac:dyDescent="0.25">
      <c r="A349" s="1">
        <v>967</v>
      </c>
      <c r="B349" s="2">
        <v>40586</v>
      </c>
      <c r="C349" s="1">
        <v>1</v>
      </c>
      <c r="D349" s="1">
        <v>0</v>
      </c>
      <c r="E349" s="1">
        <v>2</v>
      </c>
      <c r="F349" s="1">
        <v>21</v>
      </c>
      <c r="G349" s="1" t="b">
        <v>0</v>
      </c>
      <c r="H349" s="1">
        <v>6</v>
      </c>
      <c r="I349" s="1">
        <v>1</v>
      </c>
      <c r="J349" s="1">
        <v>0.26</v>
      </c>
      <c r="K349" s="1">
        <v>0.30299999999999999</v>
      </c>
      <c r="L349" s="1">
        <v>0.41</v>
      </c>
      <c r="M349" s="1">
        <v>0</v>
      </c>
      <c r="N349" s="1">
        <v>9</v>
      </c>
      <c r="O349" s="1">
        <v>42</v>
      </c>
      <c r="P349" s="1">
        <v>51</v>
      </c>
    </row>
    <row r="350" spans="1:16" x14ac:dyDescent="0.25">
      <c r="A350" s="1">
        <v>968</v>
      </c>
      <c r="B350" s="2">
        <v>40586</v>
      </c>
      <c r="C350" s="1">
        <v>1</v>
      </c>
      <c r="D350" s="1">
        <v>0</v>
      </c>
      <c r="E350" s="1">
        <v>2</v>
      </c>
      <c r="F350" s="1">
        <v>22</v>
      </c>
      <c r="G350" s="1" t="b">
        <v>0</v>
      </c>
      <c r="H350" s="1">
        <v>6</v>
      </c>
      <c r="I350" s="1">
        <v>1</v>
      </c>
      <c r="J350" s="1">
        <v>0.24</v>
      </c>
      <c r="K350" s="1">
        <v>0.2576</v>
      </c>
      <c r="L350" s="1">
        <v>0.44</v>
      </c>
      <c r="M350" s="1">
        <v>8.9599999999999999E-2</v>
      </c>
      <c r="N350" s="1">
        <v>6</v>
      </c>
      <c r="O350" s="1">
        <v>39</v>
      </c>
      <c r="P350" s="1">
        <v>45</v>
      </c>
    </row>
    <row r="351" spans="1:16" x14ac:dyDescent="0.25">
      <c r="A351" s="1">
        <v>969</v>
      </c>
      <c r="B351" s="2">
        <v>40586</v>
      </c>
      <c r="C351" s="1">
        <v>1</v>
      </c>
      <c r="D351" s="1">
        <v>0</v>
      </c>
      <c r="E351" s="1">
        <v>2</v>
      </c>
      <c r="F351" s="1">
        <v>23</v>
      </c>
      <c r="G351" s="1" t="b">
        <v>0</v>
      </c>
      <c r="H351" s="1">
        <v>6</v>
      </c>
      <c r="I351" s="1">
        <v>1</v>
      </c>
      <c r="J351" s="1">
        <v>0.22</v>
      </c>
      <c r="K351" s="1">
        <v>0.2273</v>
      </c>
      <c r="L351" s="1">
        <v>0.51</v>
      </c>
      <c r="M351" s="1">
        <v>0.1343</v>
      </c>
      <c r="N351" s="1">
        <v>1</v>
      </c>
      <c r="O351" s="1">
        <v>31</v>
      </c>
      <c r="P351" s="1">
        <v>32</v>
      </c>
    </row>
    <row r="352" spans="1:16" x14ac:dyDescent="0.25">
      <c r="A352" s="1">
        <v>970</v>
      </c>
      <c r="B352" s="2">
        <v>40587</v>
      </c>
      <c r="C352" s="1">
        <v>1</v>
      </c>
      <c r="D352" s="1">
        <v>0</v>
      </c>
      <c r="E352" s="1">
        <v>2</v>
      </c>
      <c r="F352" s="1">
        <v>0</v>
      </c>
      <c r="G352" s="1" t="b">
        <v>0</v>
      </c>
      <c r="H352" s="1">
        <v>0</v>
      </c>
      <c r="I352" s="1">
        <v>1</v>
      </c>
      <c r="J352" s="1">
        <v>0.2</v>
      </c>
      <c r="K352" s="1">
        <v>0.2273</v>
      </c>
      <c r="L352" s="1">
        <v>0.64</v>
      </c>
      <c r="M352" s="1">
        <v>0.1045</v>
      </c>
      <c r="N352" s="1">
        <v>5</v>
      </c>
      <c r="O352" s="1">
        <v>34</v>
      </c>
      <c r="P352" s="1">
        <v>39</v>
      </c>
    </row>
    <row r="353" spans="1:16" x14ac:dyDescent="0.25">
      <c r="A353" s="1">
        <v>971</v>
      </c>
      <c r="B353" s="2">
        <v>40587</v>
      </c>
      <c r="C353" s="1">
        <v>1</v>
      </c>
      <c r="D353" s="1">
        <v>0</v>
      </c>
      <c r="E353" s="1">
        <v>2</v>
      </c>
      <c r="F353" s="1">
        <v>1</v>
      </c>
      <c r="G353" s="1" t="b">
        <v>0</v>
      </c>
      <c r="H353" s="1">
        <v>0</v>
      </c>
      <c r="I353" s="1">
        <v>1</v>
      </c>
      <c r="J353" s="1">
        <v>0.2</v>
      </c>
      <c r="K353" s="1">
        <v>0.2273</v>
      </c>
      <c r="L353" s="1">
        <v>0.59</v>
      </c>
      <c r="M353" s="1">
        <v>8.9599999999999999E-2</v>
      </c>
      <c r="N353" s="1">
        <v>1</v>
      </c>
      <c r="O353" s="1">
        <v>23</v>
      </c>
      <c r="P353" s="1">
        <v>24</v>
      </c>
    </row>
    <row r="354" spans="1:16" x14ac:dyDescent="0.25">
      <c r="A354" s="1">
        <v>972</v>
      </c>
      <c r="B354" s="2">
        <v>40587</v>
      </c>
      <c r="C354" s="1">
        <v>1</v>
      </c>
      <c r="D354" s="1">
        <v>0</v>
      </c>
      <c r="E354" s="1">
        <v>2</v>
      </c>
      <c r="F354" s="1">
        <v>2</v>
      </c>
      <c r="G354" s="1" t="b">
        <v>0</v>
      </c>
      <c r="H354" s="1">
        <v>0</v>
      </c>
      <c r="I354" s="1">
        <v>2</v>
      </c>
      <c r="J354" s="1">
        <v>0.2</v>
      </c>
      <c r="K354" s="1">
        <v>0.2273</v>
      </c>
      <c r="L354" s="1">
        <v>0.75</v>
      </c>
      <c r="M354" s="1">
        <v>8.9599999999999999E-2</v>
      </c>
      <c r="N354" s="1">
        <v>1</v>
      </c>
      <c r="O354" s="1">
        <v>19</v>
      </c>
      <c r="P354" s="1">
        <v>20</v>
      </c>
    </row>
    <row r="355" spans="1:16" x14ac:dyDescent="0.25">
      <c r="A355" s="1">
        <v>973</v>
      </c>
      <c r="B355" s="2">
        <v>40587</v>
      </c>
      <c r="C355" s="1">
        <v>1</v>
      </c>
      <c r="D355" s="1">
        <v>0</v>
      </c>
      <c r="E355" s="1">
        <v>2</v>
      </c>
      <c r="F355" s="1">
        <v>3</v>
      </c>
      <c r="G355" s="1" t="b">
        <v>0</v>
      </c>
      <c r="H355" s="1">
        <v>0</v>
      </c>
      <c r="I355" s="1">
        <v>2</v>
      </c>
      <c r="J355" s="1">
        <v>0.2</v>
      </c>
      <c r="K355" s="1">
        <v>0.2273</v>
      </c>
      <c r="L355" s="1">
        <v>0.69</v>
      </c>
      <c r="M355" s="1">
        <v>0.1045</v>
      </c>
      <c r="N355" s="1">
        <v>4</v>
      </c>
      <c r="O355" s="1">
        <v>8</v>
      </c>
      <c r="P355" s="1">
        <v>12</v>
      </c>
    </row>
    <row r="356" spans="1:16" x14ac:dyDescent="0.25">
      <c r="A356" s="1">
        <v>974</v>
      </c>
      <c r="B356" s="2">
        <v>40587</v>
      </c>
      <c r="C356" s="1">
        <v>1</v>
      </c>
      <c r="D356" s="1">
        <v>0</v>
      </c>
      <c r="E356" s="1">
        <v>2</v>
      </c>
      <c r="F356" s="1">
        <v>4</v>
      </c>
      <c r="G356" s="1" t="b">
        <v>0</v>
      </c>
      <c r="H356" s="1">
        <v>0</v>
      </c>
      <c r="I356" s="1">
        <v>2</v>
      </c>
      <c r="J356" s="1">
        <v>0.2</v>
      </c>
      <c r="K356" s="1">
        <v>0.21210000000000001</v>
      </c>
      <c r="L356" s="1">
        <v>0.69</v>
      </c>
      <c r="M356" s="1">
        <v>0.16420000000000001</v>
      </c>
      <c r="N356" s="1">
        <v>0</v>
      </c>
      <c r="O356" s="1">
        <v>2</v>
      </c>
      <c r="P356" s="1">
        <v>2</v>
      </c>
    </row>
    <row r="357" spans="1:16" x14ac:dyDescent="0.25">
      <c r="A357" s="1">
        <v>975</v>
      </c>
      <c r="B357" s="2">
        <v>40587</v>
      </c>
      <c r="C357" s="1">
        <v>1</v>
      </c>
      <c r="D357" s="1">
        <v>0</v>
      </c>
      <c r="E357" s="1">
        <v>2</v>
      </c>
      <c r="F357" s="1">
        <v>6</v>
      </c>
      <c r="G357" s="1" t="b">
        <v>0</v>
      </c>
      <c r="H357" s="1">
        <v>0</v>
      </c>
      <c r="I357" s="1">
        <v>2</v>
      </c>
      <c r="J357" s="1">
        <v>0.2</v>
      </c>
      <c r="K357" s="1">
        <v>0.21210000000000001</v>
      </c>
      <c r="L357" s="1">
        <v>0.69</v>
      </c>
      <c r="M357" s="1">
        <v>0.1343</v>
      </c>
      <c r="N357" s="1">
        <v>2</v>
      </c>
      <c r="O357" s="1">
        <v>3</v>
      </c>
      <c r="P357" s="1">
        <v>5</v>
      </c>
    </row>
    <row r="358" spans="1:16" x14ac:dyDescent="0.25">
      <c r="A358" s="1">
        <v>976</v>
      </c>
      <c r="B358" s="2">
        <v>40587</v>
      </c>
      <c r="C358" s="1">
        <v>1</v>
      </c>
      <c r="D358" s="1">
        <v>0</v>
      </c>
      <c r="E358" s="1">
        <v>2</v>
      </c>
      <c r="F358" s="1">
        <v>7</v>
      </c>
      <c r="G358" s="1" t="b">
        <v>0</v>
      </c>
      <c r="H358" s="1">
        <v>0</v>
      </c>
      <c r="I358" s="1">
        <v>2</v>
      </c>
      <c r="J358" s="1">
        <v>0.22</v>
      </c>
      <c r="K358" s="1">
        <v>0.2727</v>
      </c>
      <c r="L358" s="1">
        <v>0.55000000000000004</v>
      </c>
      <c r="M358" s="1">
        <v>0</v>
      </c>
      <c r="N358" s="1">
        <v>0</v>
      </c>
      <c r="O358" s="1">
        <v>3</v>
      </c>
      <c r="P358" s="1">
        <v>3</v>
      </c>
    </row>
    <row r="359" spans="1:16" x14ac:dyDescent="0.25">
      <c r="A359" s="1">
        <v>977</v>
      </c>
      <c r="B359" s="2">
        <v>40587</v>
      </c>
      <c r="C359" s="1">
        <v>1</v>
      </c>
      <c r="D359" s="1">
        <v>0</v>
      </c>
      <c r="E359" s="1">
        <v>2</v>
      </c>
      <c r="F359" s="1">
        <v>8</v>
      </c>
      <c r="G359" s="1" t="b">
        <v>0</v>
      </c>
      <c r="H359" s="1">
        <v>0</v>
      </c>
      <c r="I359" s="1">
        <v>2</v>
      </c>
      <c r="J359" s="1">
        <v>0.22</v>
      </c>
      <c r="K359" s="1">
        <v>0.2273</v>
      </c>
      <c r="L359" s="1">
        <v>0.64</v>
      </c>
      <c r="M359" s="1">
        <v>0.19400000000000001</v>
      </c>
      <c r="N359" s="1">
        <v>1</v>
      </c>
      <c r="O359" s="1">
        <v>11</v>
      </c>
      <c r="P359" s="1">
        <v>12</v>
      </c>
    </row>
    <row r="360" spans="1:16" x14ac:dyDescent="0.25">
      <c r="A360" s="1">
        <v>978</v>
      </c>
      <c r="B360" s="2">
        <v>40587</v>
      </c>
      <c r="C360" s="1">
        <v>1</v>
      </c>
      <c r="D360" s="1">
        <v>0</v>
      </c>
      <c r="E360" s="1">
        <v>2</v>
      </c>
      <c r="F360" s="1">
        <v>9</v>
      </c>
      <c r="G360" s="1" t="b">
        <v>0</v>
      </c>
      <c r="H360" s="1">
        <v>0</v>
      </c>
      <c r="I360" s="1">
        <v>2</v>
      </c>
      <c r="J360" s="1">
        <v>0.24</v>
      </c>
      <c r="K360" s="1">
        <v>0.2273</v>
      </c>
      <c r="L360" s="1">
        <v>0.6</v>
      </c>
      <c r="M360" s="1">
        <v>0.22389999999999999</v>
      </c>
      <c r="N360" s="1">
        <v>12</v>
      </c>
      <c r="O360" s="1">
        <v>35</v>
      </c>
      <c r="P360" s="1">
        <v>47</v>
      </c>
    </row>
    <row r="361" spans="1:16" x14ac:dyDescent="0.25">
      <c r="A361" s="1">
        <v>979</v>
      </c>
      <c r="B361" s="2">
        <v>40587</v>
      </c>
      <c r="C361" s="1">
        <v>1</v>
      </c>
      <c r="D361" s="1">
        <v>0</v>
      </c>
      <c r="E361" s="1">
        <v>2</v>
      </c>
      <c r="F361" s="1">
        <v>10</v>
      </c>
      <c r="G361" s="1" t="b">
        <v>0</v>
      </c>
      <c r="H361" s="1">
        <v>0</v>
      </c>
      <c r="I361" s="1">
        <v>1</v>
      </c>
      <c r="J361" s="1">
        <v>0.3</v>
      </c>
      <c r="K361" s="1">
        <v>0.2727</v>
      </c>
      <c r="L361" s="1">
        <v>0.45</v>
      </c>
      <c r="M361" s="1">
        <v>0.32840000000000003</v>
      </c>
      <c r="N361" s="1">
        <v>19</v>
      </c>
      <c r="O361" s="1">
        <v>86</v>
      </c>
      <c r="P361" s="1">
        <v>105</v>
      </c>
    </row>
    <row r="362" spans="1:16" x14ac:dyDescent="0.25">
      <c r="A362" s="1">
        <v>980</v>
      </c>
      <c r="B362" s="2">
        <v>40587</v>
      </c>
      <c r="C362" s="1">
        <v>1</v>
      </c>
      <c r="D362" s="1">
        <v>0</v>
      </c>
      <c r="E362" s="1">
        <v>2</v>
      </c>
      <c r="F362" s="1">
        <v>11</v>
      </c>
      <c r="G362" s="1" t="b">
        <v>0</v>
      </c>
      <c r="H362" s="1">
        <v>0</v>
      </c>
      <c r="I362" s="1">
        <v>1</v>
      </c>
      <c r="J362" s="1">
        <v>0.32</v>
      </c>
      <c r="K362" s="1">
        <v>0.28789999999999999</v>
      </c>
      <c r="L362" s="1">
        <v>0.39</v>
      </c>
      <c r="M362" s="1">
        <v>0.44779999999999998</v>
      </c>
      <c r="N362" s="1">
        <v>26</v>
      </c>
      <c r="O362" s="1">
        <v>86</v>
      </c>
      <c r="P362" s="1">
        <v>112</v>
      </c>
    </row>
    <row r="363" spans="1:16" x14ac:dyDescent="0.25">
      <c r="A363" s="1">
        <v>981</v>
      </c>
      <c r="B363" s="2">
        <v>40587</v>
      </c>
      <c r="C363" s="1">
        <v>1</v>
      </c>
      <c r="D363" s="1">
        <v>0</v>
      </c>
      <c r="E363" s="1">
        <v>2</v>
      </c>
      <c r="F363" s="1">
        <v>12</v>
      </c>
      <c r="G363" s="1" t="b">
        <v>0</v>
      </c>
      <c r="H363" s="1">
        <v>0</v>
      </c>
      <c r="I363" s="1">
        <v>1</v>
      </c>
      <c r="J363" s="1">
        <v>0.36</v>
      </c>
      <c r="K363" s="1">
        <v>0.31819999999999998</v>
      </c>
      <c r="L363" s="1">
        <v>0.32</v>
      </c>
      <c r="M363" s="1">
        <v>0.4627</v>
      </c>
      <c r="N363" s="1">
        <v>58</v>
      </c>
      <c r="O363" s="1">
        <v>94</v>
      </c>
      <c r="P363" s="1">
        <v>152</v>
      </c>
    </row>
    <row r="364" spans="1:16" x14ac:dyDescent="0.25">
      <c r="A364" s="1">
        <v>982</v>
      </c>
      <c r="B364" s="2">
        <v>40587</v>
      </c>
      <c r="C364" s="1">
        <v>1</v>
      </c>
      <c r="D364" s="1">
        <v>0</v>
      </c>
      <c r="E364" s="1">
        <v>2</v>
      </c>
      <c r="F364" s="1">
        <v>13</v>
      </c>
      <c r="G364" s="1" t="b">
        <v>0</v>
      </c>
      <c r="H364" s="1">
        <v>0</v>
      </c>
      <c r="I364" s="1">
        <v>1</v>
      </c>
      <c r="J364" s="1">
        <v>0.38</v>
      </c>
      <c r="K364" s="1">
        <v>0.39389999999999997</v>
      </c>
      <c r="L364" s="1">
        <v>0.28999999999999998</v>
      </c>
      <c r="M364" s="1">
        <v>0.35820000000000002</v>
      </c>
      <c r="N364" s="1">
        <v>62</v>
      </c>
      <c r="O364" s="1">
        <v>92</v>
      </c>
      <c r="P364" s="1">
        <v>154</v>
      </c>
    </row>
    <row r="365" spans="1:16" x14ac:dyDescent="0.25">
      <c r="A365" s="1">
        <v>983</v>
      </c>
      <c r="B365" s="2">
        <v>40587</v>
      </c>
      <c r="C365" s="1">
        <v>1</v>
      </c>
      <c r="D365" s="1">
        <v>0</v>
      </c>
      <c r="E365" s="1">
        <v>2</v>
      </c>
      <c r="F365" s="1">
        <v>14</v>
      </c>
      <c r="G365" s="1" t="b">
        <v>0</v>
      </c>
      <c r="H365" s="1">
        <v>0</v>
      </c>
      <c r="I365" s="1">
        <v>2</v>
      </c>
      <c r="J365" s="1">
        <v>0.4</v>
      </c>
      <c r="K365" s="1">
        <v>0.40910000000000002</v>
      </c>
      <c r="L365" s="1">
        <v>0.3</v>
      </c>
      <c r="M365" s="1">
        <v>0.41789999999999999</v>
      </c>
      <c r="N365" s="1">
        <v>51</v>
      </c>
      <c r="O365" s="1">
        <v>110</v>
      </c>
      <c r="P365" s="1">
        <v>161</v>
      </c>
    </row>
    <row r="366" spans="1:16" x14ac:dyDescent="0.25">
      <c r="A366" s="1">
        <v>984</v>
      </c>
      <c r="B366" s="2">
        <v>40587</v>
      </c>
      <c r="C366" s="1">
        <v>1</v>
      </c>
      <c r="D366" s="1">
        <v>0</v>
      </c>
      <c r="E366" s="1">
        <v>2</v>
      </c>
      <c r="F366" s="1">
        <v>15</v>
      </c>
      <c r="G366" s="1" t="b">
        <v>0</v>
      </c>
      <c r="H366" s="1">
        <v>0</v>
      </c>
      <c r="I366" s="1">
        <v>2</v>
      </c>
      <c r="J366" s="1">
        <v>0.4</v>
      </c>
      <c r="K366" s="1">
        <v>0.40910000000000002</v>
      </c>
      <c r="L366" s="1">
        <v>0.3</v>
      </c>
      <c r="M366" s="1">
        <v>0.29849999999999999</v>
      </c>
      <c r="N366" s="1">
        <v>40</v>
      </c>
      <c r="O366" s="1">
        <v>122</v>
      </c>
      <c r="P366" s="1">
        <v>162</v>
      </c>
    </row>
    <row r="367" spans="1:16" x14ac:dyDescent="0.25">
      <c r="A367" s="1">
        <v>985</v>
      </c>
      <c r="B367" s="2">
        <v>40587</v>
      </c>
      <c r="C367" s="1">
        <v>1</v>
      </c>
      <c r="D367" s="1">
        <v>0</v>
      </c>
      <c r="E367" s="1">
        <v>2</v>
      </c>
      <c r="F367" s="1">
        <v>16</v>
      </c>
      <c r="G367" s="1" t="b">
        <v>0</v>
      </c>
      <c r="H367" s="1">
        <v>0</v>
      </c>
      <c r="I367" s="1">
        <v>2</v>
      </c>
      <c r="J367" s="1">
        <v>0.42</v>
      </c>
      <c r="K367" s="1">
        <v>0.42420000000000002</v>
      </c>
      <c r="L367" s="1">
        <v>0.28000000000000003</v>
      </c>
      <c r="M367" s="1">
        <v>0.32840000000000003</v>
      </c>
      <c r="N367" s="1">
        <v>28</v>
      </c>
      <c r="O367" s="1">
        <v>106</v>
      </c>
      <c r="P367" s="1">
        <v>134</v>
      </c>
    </row>
    <row r="368" spans="1:16" x14ac:dyDescent="0.25">
      <c r="A368" s="1">
        <v>986</v>
      </c>
      <c r="B368" s="2">
        <v>40587</v>
      </c>
      <c r="C368" s="1">
        <v>1</v>
      </c>
      <c r="D368" s="1">
        <v>0</v>
      </c>
      <c r="E368" s="1">
        <v>2</v>
      </c>
      <c r="F368" s="1">
        <v>17</v>
      </c>
      <c r="G368" s="1" t="b">
        <v>0</v>
      </c>
      <c r="H368" s="1">
        <v>0</v>
      </c>
      <c r="I368" s="1">
        <v>1</v>
      </c>
      <c r="J368" s="1">
        <v>0.42</v>
      </c>
      <c r="K368" s="1">
        <v>0.42420000000000002</v>
      </c>
      <c r="L368" s="1">
        <v>0.28000000000000003</v>
      </c>
      <c r="M368" s="1">
        <v>0.32840000000000003</v>
      </c>
      <c r="N368" s="1">
        <v>30</v>
      </c>
      <c r="O368" s="1">
        <v>95</v>
      </c>
      <c r="P368" s="1">
        <v>125</v>
      </c>
    </row>
    <row r="369" spans="1:16" x14ac:dyDescent="0.25">
      <c r="A369" s="1">
        <v>987</v>
      </c>
      <c r="B369" s="2">
        <v>40587</v>
      </c>
      <c r="C369" s="1">
        <v>1</v>
      </c>
      <c r="D369" s="1">
        <v>0</v>
      </c>
      <c r="E369" s="1">
        <v>2</v>
      </c>
      <c r="F369" s="1">
        <v>18</v>
      </c>
      <c r="G369" s="1" t="b">
        <v>0</v>
      </c>
      <c r="H369" s="1">
        <v>0</v>
      </c>
      <c r="I369" s="1">
        <v>1</v>
      </c>
      <c r="J369" s="1">
        <v>0.4</v>
      </c>
      <c r="K369" s="1">
        <v>0.40910000000000002</v>
      </c>
      <c r="L369" s="1">
        <v>0.32</v>
      </c>
      <c r="M369" s="1">
        <v>0.29849999999999999</v>
      </c>
      <c r="N369" s="1">
        <v>17</v>
      </c>
      <c r="O369" s="1">
        <v>78</v>
      </c>
      <c r="P369" s="1">
        <v>95</v>
      </c>
    </row>
    <row r="370" spans="1:16" x14ac:dyDescent="0.25">
      <c r="A370" s="1">
        <v>988</v>
      </c>
      <c r="B370" s="2">
        <v>40587</v>
      </c>
      <c r="C370" s="1">
        <v>1</v>
      </c>
      <c r="D370" s="1">
        <v>0</v>
      </c>
      <c r="E370" s="1">
        <v>2</v>
      </c>
      <c r="F370" s="1">
        <v>19</v>
      </c>
      <c r="G370" s="1" t="b">
        <v>0</v>
      </c>
      <c r="H370" s="1">
        <v>0</v>
      </c>
      <c r="I370" s="1">
        <v>1</v>
      </c>
      <c r="J370" s="1">
        <v>0.4</v>
      </c>
      <c r="K370" s="1">
        <v>0.40910000000000002</v>
      </c>
      <c r="L370" s="1">
        <v>0.35</v>
      </c>
      <c r="M370" s="1">
        <v>0.28360000000000002</v>
      </c>
      <c r="N370" s="1">
        <v>11</v>
      </c>
      <c r="O370" s="1">
        <v>50</v>
      </c>
      <c r="P370" s="1">
        <v>61</v>
      </c>
    </row>
    <row r="371" spans="1:16" x14ac:dyDescent="0.25">
      <c r="A371" s="1">
        <v>989</v>
      </c>
      <c r="B371" s="2">
        <v>40587</v>
      </c>
      <c r="C371" s="1">
        <v>1</v>
      </c>
      <c r="D371" s="1">
        <v>0</v>
      </c>
      <c r="E371" s="1">
        <v>2</v>
      </c>
      <c r="F371" s="1">
        <v>20</v>
      </c>
      <c r="G371" s="1" t="b">
        <v>0</v>
      </c>
      <c r="H371" s="1">
        <v>0</v>
      </c>
      <c r="I371" s="1">
        <v>1</v>
      </c>
      <c r="J371" s="1">
        <v>0.4</v>
      </c>
      <c r="K371" s="1">
        <v>0.40910000000000002</v>
      </c>
      <c r="L371" s="1">
        <v>0.35</v>
      </c>
      <c r="M371" s="1">
        <v>0.32840000000000003</v>
      </c>
      <c r="N371" s="1">
        <v>15</v>
      </c>
      <c r="O371" s="1">
        <v>32</v>
      </c>
      <c r="P371" s="1">
        <v>47</v>
      </c>
    </row>
    <row r="372" spans="1:16" x14ac:dyDescent="0.25">
      <c r="A372" s="1">
        <v>990</v>
      </c>
      <c r="B372" s="2">
        <v>40587</v>
      </c>
      <c r="C372" s="1">
        <v>1</v>
      </c>
      <c r="D372" s="1">
        <v>0</v>
      </c>
      <c r="E372" s="1">
        <v>2</v>
      </c>
      <c r="F372" s="1">
        <v>21</v>
      </c>
      <c r="G372" s="1" t="b">
        <v>0</v>
      </c>
      <c r="H372" s="1">
        <v>0</v>
      </c>
      <c r="I372" s="1">
        <v>1</v>
      </c>
      <c r="J372" s="1">
        <v>0.4</v>
      </c>
      <c r="K372" s="1">
        <v>0.40910000000000002</v>
      </c>
      <c r="L372" s="1">
        <v>0.35</v>
      </c>
      <c r="M372" s="1">
        <v>0.35820000000000002</v>
      </c>
      <c r="N372" s="1">
        <v>6</v>
      </c>
      <c r="O372" s="1">
        <v>45</v>
      </c>
      <c r="P372" s="1">
        <v>51</v>
      </c>
    </row>
    <row r="373" spans="1:16" x14ac:dyDescent="0.25">
      <c r="A373" s="1">
        <v>991</v>
      </c>
      <c r="B373" s="2">
        <v>40587</v>
      </c>
      <c r="C373" s="1">
        <v>1</v>
      </c>
      <c r="D373" s="1">
        <v>0</v>
      </c>
      <c r="E373" s="1">
        <v>2</v>
      </c>
      <c r="F373" s="1">
        <v>22</v>
      </c>
      <c r="G373" s="1" t="b">
        <v>0</v>
      </c>
      <c r="H373" s="1">
        <v>0</v>
      </c>
      <c r="I373" s="1">
        <v>1</v>
      </c>
      <c r="J373" s="1">
        <v>0.4</v>
      </c>
      <c r="K373" s="1">
        <v>0.40910000000000002</v>
      </c>
      <c r="L373" s="1">
        <v>0.35</v>
      </c>
      <c r="M373" s="1">
        <v>0.29849999999999999</v>
      </c>
      <c r="N373" s="1">
        <v>5</v>
      </c>
      <c r="O373" s="1">
        <v>31</v>
      </c>
      <c r="P373" s="1">
        <v>36</v>
      </c>
    </row>
    <row r="374" spans="1:16" x14ac:dyDescent="0.25">
      <c r="A374" s="1">
        <v>992</v>
      </c>
      <c r="B374" s="2">
        <v>40587</v>
      </c>
      <c r="C374" s="1">
        <v>1</v>
      </c>
      <c r="D374" s="1">
        <v>0</v>
      </c>
      <c r="E374" s="1">
        <v>2</v>
      </c>
      <c r="F374" s="1">
        <v>23</v>
      </c>
      <c r="G374" s="1" t="b">
        <v>0</v>
      </c>
      <c r="H374" s="1">
        <v>0</v>
      </c>
      <c r="I374" s="1">
        <v>1</v>
      </c>
      <c r="J374" s="1">
        <v>0.4</v>
      </c>
      <c r="K374" s="1">
        <v>0.40910000000000002</v>
      </c>
      <c r="L374" s="1">
        <v>0.35</v>
      </c>
      <c r="M374" s="1">
        <v>0.35820000000000002</v>
      </c>
      <c r="N374" s="1">
        <v>3</v>
      </c>
      <c r="O374" s="1">
        <v>27</v>
      </c>
      <c r="P374" s="1">
        <v>30</v>
      </c>
    </row>
    <row r="375" spans="1:16" x14ac:dyDescent="0.25">
      <c r="A375" s="1">
        <v>993</v>
      </c>
      <c r="B375" s="2">
        <v>40588</v>
      </c>
      <c r="C375" s="1">
        <v>1</v>
      </c>
      <c r="D375" s="1">
        <v>0</v>
      </c>
      <c r="E375" s="1">
        <v>2</v>
      </c>
      <c r="F375" s="1">
        <v>0</v>
      </c>
      <c r="G375" s="1" t="b">
        <v>0</v>
      </c>
      <c r="H375" s="1">
        <v>1</v>
      </c>
      <c r="I375" s="1">
        <v>1</v>
      </c>
      <c r="J375" s="1">
        <v>0.38</v>
      </c>
      <c r="K375" s="1">
        <v>0.39389999999999997</v>
      </c>
      <c r="L375" s="1">
        <v>0.37</v>
      </c>
      <c r="M375" s="1">
        <v>0.35820000000000002</v>
      </c>
      <c r="N375" s="1">
        <v>3</v>
      </c>
      <c r="O375" s="1">
        <v>8</v>
      </c>
      <c r="P375" s="1">
        <v>11</v>
      </c>
    </row>
    <row r="376" spans="1:16" x14ac:dyDescent="0.25">
      <c r="A376" s="1">
        <v>994</v>
      </c>
      <c r="B376" s="2">
        <v>40588</v>
      </c>
      <c r="C376" s="1">
        <v>1</v>
      </c>
      <c r="D376" s="1">
        <v>0</v>
      </c>
      <c r="E376" s="1">
        <v>2</v>
      </c>
      <c r="F376" s="1">
        <v>1</v>
      </c>
      <c r="G376" s="1" t="b">
        <v>0</v>
      </c>
      <c r="H376" s="1">
        <v>1</v>
      </c>
      <c r="I376" s="1">
        <v>1</v>
      </c>
      <c r="J376" s="1">
        <v>0.38</v>
      </c>
      <c r="K376" s="1">
        <v>0.39389999999999997</v>
      </c>
      <c r="L376" s="1">
        <v>0.37</v>
      </c>
      <c r="M376" s="1">
        <v>0.35820000000000002</v>
      </c>
      <c r="N376" s="1">
        <v>1</v>
      </c>
      <c r="O376" s="1">
        <v>6</v>
      </c>
      <c r="P376" s="1">
        <v>7</v>
      </c>
    </row>
    <row r="377" spans="1:16" x14ac:dyDescent="0.25">
      <c r="A377" s="1">
        <v>995</v>
      </c>
      <c r="B377" s="2">
        <v>40588</v>
      </c>
      <c r="C377" s="1">
        <v>1</v>
      </c>
      <c r="D377" s="1">
        <v>0</v>
      </c>
      <c r="E377" s="1">
        <v>2</v>
      </c>
      <c r="F377" s="1">
        <v>2</v>
      </c>
      <c r="G377" s="1" t="b">
        <v>0</v>
      </c>
      <c r="H377" s="1">
        <v>1</v>
      </c>
      <c r="I377" s="1">
        <v>1</v>
      </c>
      <c r="J377" s="1">
        <v>0.36</v>
      </c>
      <c r="K377" s="1">
        <v>0.33329999999999999</v>
      </c>
      <c r="L377" s="1">
        <v>0.4</v>
      </c>
      <c r="M377" s="1">
        <v>0.29849999999999999</v>
      </c>
      <c r="N377" s="1">
        <v>0</v>
      </c>
      <c r="O377" s="1">
        <v>2</v>
      </c>
      <c r="P377" s="1">
        <v>2</v>
      </c>
    </row>
    <row r="378" spans="1:16" x14ac:dyDescent="0.25">
      <c r="A378" s="1">
        <v>996</v>
      </c>
      <c r="B378" s="2">
        <v>40588</v>
      </c>
      <c r="C378" s="1">
        <v>1</v>
      </c>
      <c r="D378" s="1">
        <v>0</v>
      </c>
      <c r="E378" s="1">
        <v>2</v>
      </c>
      <c r="F378" s="1">
        <v>3</v>
      </c>
      <c r="G378" s="1" t="b">
        <v>0</v>
      </c>
      <c r="H378" s="1">
        <v>1</v>
      </c>
      <c r="I378" s="1">
        <v>1</v>
      </c>
      <c r="J378" s="1">
        <v>0.34</v>
      </c>
      <c r="K378" s="1">
        <v>0.31819999999999998</v>
      </c>
      <c r="L378" s="1">
        <v>0.46</v>
      </c>
      <c r="M378" s="1">
        <v>0.22389999999999999</v>
      </c>
      <c r="N378" s="1">
        <v>1</v>
      </c>
      <c r="O378" s="1">
        <v>1</v>
      </c>
      <c r="P378" s="1">
        <v>2</v>
      </c>
    </row>
    <row r="379" spans="1:16" x14ac:dyDescent="0.25">
      <c r="A379" s="1">
        <v>997</v>
      </c>
      <c r="B379" s="2">
        <v>40588</v>
      </c>
      <c r="C379" s="1">
        <v>1</v>
      </c>
      <c r="D379" s="1">
        <v>0</v>
      </c>
      <c r="E379" s="1">
        <v>2</v>
      </c>
      <c r="F379" s="1">
        <v>4</v>
      </c>
      <c r="G379" s="1" t="b">
        <v>0</v>
      </c>
      <c r="H379" s="1">
        <v>1</v>
      </c>
      <c r="I379" s="1">
        <v>1</v>
      </c>
      <c r="J379" s="1">
        <v>0.32</v>
      </c>
      <c r="K379" s="1">
        <v>0.30299999999999999</v>
      </c>
      <c r="L379" s="1">
        <v>0.53</v>
      </c>
      <c r="M379" s="1">
        <v>0.28360000000000002</v>
      </c>
      <c r="N379" s="1">
        <v>0</v>
      </c>
      <c r="O379" s="1">
        <v>2</v>
      </c>
      <c r="P379" s="1">
        <v>2</v>
      </c>
    </row>
    <row r="380" spans="1:16" x14ac:dyDescent="0.25">
      <c r="A380" s="1">
        <v>998</v>
      </c>
      <c r="B380" s="2">
        <v>40588</v>
      </c>
      <c r="C380" s="1">
        <v>1</v>
      </c>
      <c r="D380" s="1">
        <v>0</v>
      </c>
      <c r="E380" s="1">
        <v>2</v>
      </c>
      <c r="F380" s="1">
        <v>5</v>
      </c>
      <c r="G380" s="1" t="b">
        <v>0</v>
      </c>
      <c r="H380" s="1">
        <v>1</v>
      </c>
      <c r="I380" s="1">
        <v>1</v>
      </c>
      <c r="J380" s="1">
        <v>0.32</v>
      </c>
      <c r="K380" s="1">
        <v>0.30299999999999999</v>
      </c>
      <c r="L380" s="1">
        <v>0.53</v>
      </c>
      <c r="M380" s="1">
        <v>0.28360000000000002</v>
      </c>
      <c r="N380" s="1">
        <v>0</v>
      </c>
      <c r="O380" s="1">
        <v>3</v>
      </c>
      <c r="P380" s="1">
        <v>3</v>
      </c>
    </row>
    <row r="381" spans="1:16" x14ac:dyDescent="0.25">
      <c r="A381" s="1">
        <v>999</v>
      </c>
      <c r="B381" s="2">
        <v>40588</v>
      </c>
      <c r="C381" s="1">
        <v>1</v>
      </c>
      <c r="D381" s="1">
        <v>0</v>
      </c>
      <c r="E381" s="1">
        <v>2</v>
      </c>
      <c r="F381" s="1">
        <v>6</v>
      </c>
      <c r="G381" s="1" t="b">
        <v>0</v>
      </c>
      <c r="H381" s="1">
        <v>1</v>
      </c>
      <c r="I381" s="1">
        <v>1</v>
      </c>
      <c r="J381" s="1">
        <v>0.34</v>
      </c>
      <c r="K381" s="1">
        <v>0.30299999999999999</v>
      </c>
      <c r="L381" s="1">
        <v>0.46</v>
      </c>
      <c r="M381" s="1">
        <v>0.29849999999999999</v>
      </c>
      <c r="N381" s="1">
        <v>1</v>
      </c>
      <c r="O381" s="1">
        <v>25</v>
      </c>
      <c r="P381" s="1">
        <v>26</v>
      </c>
    </row>
    <row r="382" spans="1:16" x14ac:dyDescent="0.25">
      <c r="A382" s="1">
        <v>1000</v>
      </c>
      <c r="B382" s="2">
        <v>40588</v>
      </c>
      <c r="C382" s="1">
        <v>1</v>
      </c>
      <c r="D382" s="1">
        <v>0</v>
      </c>
      <c r="E382" s="1">
        <v>2</v>
      </c>
      <c r="F382" s="1">
        <v>7</v>
      </c>
      <c r="G382" s="1" t="b">
        <v>0</v>
      </c>
      <c r="H382" s="1">
        <v>1</v>
      </c>
      <c r="I382" s="1">
        <v>1</v>
      </c>
      <c r="J382" s="1">
        <v>0.34</v>
      </c>
      <c r="K382" s="1">
        <v>0.30299999999999999</v>
      </c>
      <c r="L382" s="1">
        <v>0.46</v>
      </c>
      <c r="M382" s="1">
        <v>0.29849999999999999</v>
      </c>
      <c r="N382" s="1">
        <v>2</v>
      </c>
      <c r="O382" s="1">
        <v>96</v>
      </c>
      <c r="P382" s="1">
        <v>98</v>
      </c>
    </row>
    <row r="383" spans="1:16" x14ac:dyDescent="0.25">
      <c r="A383" s="1">
        <v>611</v>
      </c>
      <c r="B383" s="2">
        <v>40571</v>
      </c>
      <c r="C383" s="1">
        <v>1</v>
      </c>
      <c r="D383" s="1">
        <v>0</v>
      </c>
      <c r="E383" s="1">
        <v>1</v>
      </c>
      <c r="F383" s="1">
        <v>16</v>
      </c>
      <c r="G383" s="1" t="b">
        <v>0</v>
      </c>
      <c r="H383" s="1">
        <v>5</v>
      </c>
      <c r="I383" s="1">
        <v>1</v>
      </c>
      <c r="J383" s="1">
        <v>0.22</v>
      </c>
      <c r="K383" s="1">
        <v>0.2727</v>
      </c>
      <c r="L383" s="1">
        <v>0.8</v>
      </c>
      <c r="M383" s="1">
        <v>0</v>
      </c>
      <c r="N383" s="1">
        <v>10</v>
      </c>
      <c r="O383" s="1">
        <v>70</v>
      </c>
      <c r="P383" s="1">
        <v>80</v>
      </c>
    </row>
    <row r="384" spans="1:16" x14ac:dyDescent="0.25">
      <c r="A384" s="1">
        <v>612</v>
      </c>
      <c r="B384" s="2">
        <v>40571</v>
      </c>
      <c r="C384" s="1">
        <v>1</v>
      </c>
      <c r="D384" s="1">
        <v>0</v>
      </c>
      <c r="E384" s="1">
        <v>1</v>
      </c>
      <c r="F384" s="1">
        <v>17</v>
      </c>
      <c r="G384" s="1" t="b">
        <v>0</v>
      </c>
      <c r="H384" s="1">
        <v>5</v>
      </c>
      <c r="I384" s="1">
        <v>1</v>
      </c>
      <c r="J384" s="1">
        <v>0.24</v>
      </c>
      <c r="K384" s="1">
        <v>0.2424</v>
      </c>
      <c r="L384" s="1">
        <v>0.75</v>
      </c>
      <c r="M384" s="1">
        <v>0.1343</v>
      </c>
      <c r="N384" s="1">
        <v>2</v>
      </c>
      <c r="O384" s="1">
        <v>147</v>
      </c>
      <c r="P384" s="1">
        <v>149</v>
      </c>
    </row>
    <row r="385" spans="1:16" x14ac:dyDescent="0.25">
      <c r="A385" s="1">
        <v>613</v>
      </c>
      <c r="B385" s="2">
        <v>40571</v>
      </c>
      <c r="C385" s="1">
        <v>1</v>
      </c>
      <c r="D385" s="1">
        <v>0</v>
      </c>
      <c r="E385" s="1">
        <v>1</v>
      </c>
      <c r="F385" s="1">
        <v>18</v>
      </c>
      <c r="G385" s="1" t="b">
        <v>0</v>
      </c>
      <c r="H385" s="1">
        <v>5</v>
      </c>
      <c r="I385" s="1">
        <v>1</v>
      </c>
      <c r="J385" s="1">
        <v>0.24</v>
      </c>
      <c r="K385" s="1">
        <v>0.2273</v>
      </c>
      <c r="L385" s="1">
        <v>0.75</v>
      </c>
      <c r="M385" s="1">
        <v>0.19400000000000001</v>
      </c>
      <c r="N385" s="1">
        <v>2</v>
      </c>
      <c r="O385" s="1">
        <v>107</v>
      </c>
      <c r="P385" s="1">
        <v>109</v>
      </c>
    </row>
    <row r="386" spans="1:16" x14ac:dyDescent="0.25">
      <c r="A386" s="1">
        <v>614</v>
      </c>
      <c r="B386" s="2">
        <v>40571</v>
      </c>
      <c r="C386" s="1">
        <v>1</v>
      </c>
      <c r="D386" s="1">
        <v>0</v>
      </c>
      <c r="E386" s="1">
        <v>1</v>
      </c>
      <c r="F386" s="1">
        <v>19</v>
      </c>
      <c r="G386" s="1" t="b">
        <v>0</v>
      </c>
      <c r="H386" s="1">
        <v>5</v>
      </c>
      <c r="I386" s="1">
        <v>2</v>
      </c>
      <c r="J386" s="1">
        <v>0.24</v>
      </c>
      <c r="K386" s="1">
        <v>0.2424</v>
      </c>
      <c r="L386" s="1">
        <v>0.75</v>
      </c>
      <c r="M386" s="1">
        <v>0.1343</v>
      </c>
      <c r="N386" s="1">
        <v>5</v>
      </c>
      <c r="O386" s="1">
        <v>84</v>
      </c>
      <c r="P386" s="1">
        <v>89</v>
      </c>
    </row>
    <row r="387" spans="1:16" x14ac:dyDescent="0.25">
      <c r="A387" s="1">
        <v>615</v>
      </c>
      <c r="B387" s="2">
        <v>40571</v>
      </c>
      <c r="C387" s="1">
        <v>1</v>
      </c>
      <c r="D387" s="1">
        <v>0</v>
      </c>
      <c r="E387" s="1">
        <v>1</v>
      </c>
      <c r="F387" s="1">
        <v>20</v>
      </c>
      <c r="G387" s="1" t="b">
        <v>0</v>
      </c>
      <c r="H387" s="1">
        <v>5</v>
      </c>
      <c r="I387" s="1">
        <v>2</v>
      </c>
      <c r="J387" s="1">
        <v>0.24</v>
      </c>
      <c r="K387" s="1">
        <v>0.2273</v>
      </c>
      <c r="L387" s="1">
        <v>0.7</v>
      </c>
      <c r="M387" s="1">
        <v>0.19400000000000001</v>
      </c>
      <c r="N387" s="1">
        <v>1</v>
      </c>
      <c r="O387" s="1">
        <v>61</v>
      </c>
      <c r="P387" s="1">
        <v>62</v>
      </c>
    </row>
    <row r="388" spans="1:16" x14ac:dyDescent="0.25">
      <c r="A388" s="1">
        <v>616</v>
      </c>
      <c r="B388" s="2">
        <v>40571</v>
      </c>
      <c r="C388" s="1">
        <v>1</v>
      </c>
      <c r="D388" s="1">
        <v>0</v>
      </c>
      <c r="E388" s="1">
        <v>1</v>
      </c>
      <c r="F388" s="1">
        <v>21</v>
      </c>
      <c r="G388" s="1" t="b">
        <v>0</v>
      </c>
      <c r="H388" s="1">
        <v>5</v>
      </c>
      <c r="I388" s="1">
        <v>2</v>
      </c>
      <c r="J388" s="1">
        <v>0.22</v>
      </c>
      <c r="K388" s="1">
        <v>0.2273</v>
      </c>
      <c r="L388" s="1">
        <v>0.75</v>
      </c>
      <c r="M388" s="1">
        <v>0.1343</v>
      </c>
      <c r="N388" s="1">
        <v>1</v>
      </c>
      <c r="O388" s="1">
        <v>57</v>
      </c>
      <c r="P388" s="1">
        <v>58</v>
      </c>
    </row>
    <row r="389" spans="1:16" x14ac:dyDescent="0.25">
      <c r="A389" s="1">
        <v>617</v>
      </c>
      <c r="B389" s="2">
        <v>40571</v>
      </c>
      <c r="C389" s="1">
        <v>1</v>
      </c>
      <c r="D389" s="1">
        <v>0</v>
      </c>
      <c r="E389" s="1">
        <v>1</v>
      </c>
      <c r="F389" s="1">
        <v>22</v>
      </c>
      <c r="G389" s="1" t="b">
        <v>0</v>
      </c>
      <c r="H389" s="1">
        <v>5</v>
      </c>
      <c r="I389" s="1">
        <v>1</v>
      </c>
      <c r="J389" s="1">
        <v>0.24</v>
      </c>
      <c r="K389" s="1">
        <v>0.21210000000000001</v>
      </c>
      <c r="L389" s="1">
        <v>0.65</v>
      </c>
      <c r="M389" s="1">
        <v>0.35820000000000002</v>
      </c>
      <c r="N389" s="1">
        <v>0</v>
      </c>
      <c r="O389" s="1">
        <v>26</v>
      </c>
      <c r="P389" s="1">
        <v>26</v>
      </c>
    </row>
    <row r="390" spans="1:16" x14ac:dyDescent="0.25">
      <c r="A390" s="1">
        <v>618</v>
      </c>
      <c r="B390" s="2">
        <v>40571</v>
      </c>
      <c r="C390" s="1">
        <v>1</v>
      </c>
      <c r="D390" s="1">
        <v>0</v>
      </c>
      <c r="E390" s="1">
        <v>1</v>
      </c>
      <c r="F390" s="1">
        <v>23</v>
      </c>
      <c r="G390" s="1" t="b">
        <v>0</v>
      </c>
      <c r="H390" s="1">
        <v>5</v>
      </c>
      <c r="I390" s="1">
        <v>1</v>
      </c>
      <c r="J390" s="1">
        <v>0.24</v>
      </c>
      <c r="K390" s="1">
        <v>0.2273</v>
      </c>
      <c r="L390" s="1">
        <v>0.6</v>
      </c>
      <c r="M390" s="1">
        <v>0.22389999999999999</v>
      </c>
      <c r="N390" s="1">
        <v>1</v>
      </c>
      <c r="O390" s="1">
        <v>22</v>
      </c>
      <c r="P390" s="1">
        <v>23</v>
      </c>
    </row>
    <row r="391" spans="1:16" x14ac:dyDescent="0.25">
      <c r="A391" s="1">
        <v>619</v>
      </c>
      <c r="B391" s="2">
        <v>40572</v>
      </c>
      <c r="C391" s="1">
        <v>1</v>
      </c>
      <c r="D391" s="1">
        <v>0</v>
      </c>
      <c r="E391" s="1">
        <v>1</v>
      </c>
      <c r="F391" s="1">
        <v>0</v>
      </c>
      <c r="G391" s="1" t="b">
        <v>0</v>
      </c>
      <c r="H391" s="1">
        <v>6</v>
      </c>
      <c r="I391" s="1">
        <v>1</v>
      </c>
      <c r="J391" s="1">
        <v>0.22</v>
      </c>
      <c r="K391" s="1">
        <v>0.19700000000000001</v>
      </c>
      <c r="L391" s="1">
        <v>0.64</v>
      </c>
      <c r="M391" s="1">
        <v>0.35820000000000002</v>
      </c>
      <c r="N391" s="1">
        <v>2</v>
      </c>
      <c r="O391" s="1">
        <v>26</v>
      </c>
      <c r="P391" s="1">
        <v>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E5A03-1C23-4DA8-8E9B-0B79C93D24BB}">
  <dimension ref="A1:E60"/>
  <sheetViews>
    <sheetView workbookViewId="0">
      <selection sqref="A1:E1"/>
    </sheetView>
  </sheetViews>
  <sheetFormatPr defaultRowHeight="12.5" x14ac:dyDescent="0.25"/>
  <cols>
    <col min="1" max="1" width="8.90625" bestFit="1" customWidth="1"/>
    <col min="2" max="2" width="8.81640625" bestFit="1" customWidth="1"/>
    <col min="3" max="3" width="17.1796875" customWidth="1"/>
    <col min="4" max="4" width="31.36328125" customWidth="1"/>
    <col min="5" max="5" width="31.26953125" customWidth="1"/>
  </cols>
  <sheetData>
    <row r="1" spans="1:5" x14ac:dyDescent="0.25">
      <c r="A1" t="s">
        <v>1</v>
      </c>
      <c r="B1" t="s">
        <v>14</v>
      </c>
      <c r="C1" t="s">
        <v>81</v>
      </c>
      <c r="D1" t="s">
        <v>82</v>
      </c>
      <c r="E1" t="s">
        <v>83</v>
      </c>
    </row>
    <row r="2" spans="1:5" x14ac:dyDescent="0.25">
      <c r="A2" s="15">
        <v>40544</v>
      </c>
      <c r="B2">
        <v>13.791666666666666</v>
      </c>
    </row>
    <row r="3" spans="1:5" x14ac:dyDescent="0.25">
      <c r="A3" s="15">
        <v>40545</v>
      </c>
      <c r="B3">
        <v>5.6956521739130439</v>
      </c>
    </row>
    <row r="4" spans="1:5" x14ac:dyDescent="0.25">
      <c r="A4" s="15">
        <v>40546</v>
      </c>
      <c r="B4">
        <v>5.4545454545454541</v>
      </c>
    </row>
    <row r="5" spans="1:5" x14ac:dyDescent="0.25">
      <c r="A5" s="15">
        <v>40547</v>
      </c>
      <c r="B5">
        <v>4.6956521739130439</v>
      </c>
    </row>
    <row r="6" spans="1:5" x14ac:dyDescent="0.25">
      <c r="A6" s="15">
        <v>40548</v>
      </c>
      <c r="B6">
        <v>3.5652173913043477</v>
      </c>
    </row>
    <row r="7" spans="1:5" x14ac:dyDescent="0.25">
      <c r="A7" s="15">
        <v>40549</v>
      </c>
      <c r="B7">
        <v>3.8260869565217392</v>
      </c>
    </row>
    <row r="8" spans="1:5" x14ac:dyDescent="0.25">
      <c r="A8" s="15">
        <v>40550</v>
      </c>
      <c r="B8">
        <v>6.4347826086956523</v>
      </c>
    </row>
    <row r="9" spans="1:5" x14ac:dyDescent="0.25">
      <c r="A9" s="15">
        <v>40551</v>
      </c>
      <c r="B9">
        <v>2.8333333333333335</v>
      </c>
    </row>
    <row r="10" spans="1:5" x14ac:dyDescent="0.25">
      <c r="A10" s="15">
        <v>40552</v>
      </c>
      <c r="B10">
        <v>2.25</v>
      </c>
    </row>
    <row r="11" spans="1:5" x14ac:dyDescent="0.25">
      <c r="A11" s="15">
        <v>40553</v>
      </c>
      <c r="B11">
        <v>1.7083333333333333</v>
      </c>
    </row>
    <row r="12" spans="1:5" x14ac:dyDescent="0.25">
      <c r="A12" s="15">
        <v>40554</v>
      </c>
      <c r="B12">
        <v>1.9545454545454546</v>
      </c>
    </row>
    <row r="13" spans="1:5" x14ac:dyDescent="0.25">
      <c r="A13" s="15">
        <v>40555</v>
      </c>
      <c r="B13">
        <v>1.1363636363636365</v>
      </c>
    </row>
    <row r="14" spans="1:5" x14ac:dyDescent="0.25">
      <c r="A14" s="15">
        <v>40556</v>
      </c>
      <c r="B14">
        <v>1.5833333333333333</v>
      </c>
    </row>
    <row r="15" spans="1:5" x14ac:dyDescent="0.25">
      <c r="A15" s="15">
        <v>40557</v>
      </c>
      <c r="B15">
        <v>2.347826086956522</v>
      </c>
    </row>
    <row r="16" spans="1:5" x14ac:dyDescent="0.25">
      <c r="A16" s="15">
        <v>40558</v>
      </c>
      <c r="B16">
        <v>9.25</v>
      </c>
    </row>
    <row r="17" spans="1:2" x14ac:dyDescent="0.25">
      <c r="A17" s="15">
        <v>40559</v>
      </c>
      <c r="B17">
        <v>10.458333333333334</v>
      </c>
    </row>
    <row r="18" spans="1:2" x14ac:dyDescent="0.25">
      <c r="A18" s="15">
        <v>40560</v>
      </c>
      <c r="B18">
        <v>4.875</v>
      </c>
    </row>
    <row r="19" spans="1:2" x14ac:dyDescent="0.25">
      <c r="A19" s="15">
        <v>40561</v>
      </c>
      <c r="B19">
        <v>0.75</v>
      </c>
    </row>
    <row r="20" spans="1:2" x14ac:dyDescent="0.25">
      <c r="A20" s="15">
        <v>40562</v>
      </c>
      <c r="B20">
        <v>3.3913043478260869</v>
      </c>
    </row>
    <row r="21" spans="1:2" x14ac:dyDescent="0.25">
      <c r="A21" s="15">
        <v>40563</v>
      </c>
      <c r="B21">
        <v>3.4583333333333335</v>
      </c>
    </row>
    <row r="22" spans="1:2" x14ac:dyDescent="0.25">
      <c r="A22" s="15">
        <v>40564</v>
      </c>
      <c r="B22">
        <v>3.125</v>
      </c>
    </row>
    <row r="23" spans="1:2" x14ac:dyDescent="0.25">
      <c r="A23" s="15">
        <v>40565</v>
      </c>
      <c r="B23">
        <v>4.0434782608695654</v>
      </c>
    </row>
    <row r="24" spans="1:2" x14ac:dyDescent="0.25">
      <c r="A24" s="15">
        <v>40566</v>
      </c>
      <c r="B24">
        <v>6.5217391304347823</v>
      </c>
    </row>
    <row r="25" spans="1:2" x14ac:dyDescent="0.25">
      <c r="A25" s="15">
        <v>40567</v>
      </c>
      <c r="B25">
        <v>3.7391304347826089</v>
      </c>
    </row>
    <row r="26" spans="1:2" x14ac:dyDescent="0.25">
      <c r="A26" s="15">
        <v>40568</v>
      </c>
      <c r="B26">
        <v>8.0869565217391308</v>
      </c>
    </row>
    <row r="27" spans="1:2" x14ac:dyDescent="0.25">
      <c r="A27" s="15">
        <v>40569</v>
      </c>
      <c r="B27">
        <v>2.125</v>
      </c>
    </row>
    <row r="28" spans="1:2" x14ac:dyDescent="0.25">
      <c r="A28" s="15">
        <v>40570</v>
      </c>
      <c r="B28">
        <v>1.875</v>
      </c>
    </row>
    <row r="29" spans="1:2" x14ac:dyDescent="0.25">
      <c r="A29" s="15">
        <v>40571</v>
      </c>
      <c r="B29">
        <v>1.6521739130434783</v>
      </c>
    </row>
    <row r="30" spans="1:2" x14ac:dyDescent="0.25">
      <c r="A30" s="15">
        <v>40572</v>
      </c>
      <c r="B30">
        <v>5.3478260869565215</v>
      </c>
    </row>
    <row r="31" spans="1:2" x14ac:dyDescent="0.25">
      <c r="A31" s="15">
        <v>40573</v>
      </c>
      <c r="B31">
        <v>6.0869565217391308</v>
      </c>
    </row>
    <row r="32" spans="1:2" x14ac:dyDescent="0.25">
      <c r="A32" s="15">
        <v>40574</v>
      </c>
      <c r="B32">
        <v>1.75</v>
      </c>
    </row>
    <row r="33" spans="1:5" x14ac:dyDescent="0.25">
      <c r="A33" s="15">
        <v>40575</v>
      </c>
      <c r="B33">
        <v>2.0434782608695654</v>
      </c>
    </row>
    <row r="34" spans="1:5" x14ac:dyDescent="0.25">
      <c r="A34" s="15">
        <v>40576</v>
      </c>
      <c r="B34">
        <v>3</v>
      </c>
    </row>
    <row r="35" spans="1:5" x14ac:dyDescent="0.25">
      <c r="A35" s="15">
        <v>40577</v>
      </c>
      <c r="B35">
        <v>2.652173913043478</v>
      </c>
    </row>
    <row r="36" spans="1:5" x14ac:dyDescent="0.25">
      <c r="A36" s="15">
        <v>40578</v>
      </c>
      <c r="B36">
        <v>3.8260869565217392</v>
      </c>
    </row>
    <row r="37" spans="1:5" x14ac:dyDescent="0.25">
      <c r="A37" s="15">
        <v>40579</v>
      </c>
      <c r="B37">
        <v>4.166666666666667</v>
      </c>
    </row>
    <row r="38" spans="1:5" x14ac:dyDescent="0.25">
      <c r="A38" s="15">
        <v>40580</v>
      </c>
      <c r="B38">
        <v>14.75</v>
      </c>
    </row>
    <row r="39" spans="1:5" x14ac:dyDescent="0.25">
      <c r="A39" s="15">
        <v>40581</v>
      </c>
      <c r="B39">
        <v>5</v>
      </c>
    </row>
    <row r="40" spans="1:5" x14ac:dyDescent="0.25">
      <c r="A40" s="15">
        <v>40582</v>
      </c>
      <c r="B40">
        <v>2.6666666666666665</v>
      </c>
    </row>
    <row r="41" spans="1:5" x14ac:dyDescent="0.25">
      <c r="A41" s="15">
        <v>40583</v>
      </c>
      <c r="B41">
        <v>2.3043478260869565</v>
      </c>
    </row>
    <row r="42" spans="1:5" x14ac:dyDescent="0.25">
      <c r="A42" s="15">
        <v>40584</v>
      </c>
      <c r="B42">
        <v>2.0434782608695654</v>
      </c>
    </row>
    <row r="43" spans="1:5" x14ac:dyDescent="0.25">
      <c r="A43" s="15">
        <v>40585</v>
      </c>
      <c r="B43">
        <v>6.7727272727272725</v>
      </c>
    </row>
    <row r="44" spans="1:5" x14ac:dyDescent="0.25">
      <c r="A44" s="15">
        <v>40586</v>
      </c>
      <c r="B44">
        <v>12</v>
      </c>
    </row>
    <row r="45" spans="1:5" x14ac:dyDescent="0.25">
      <c r="A45" s="15">
        <v>40587</v>
      </c>
      <c r="B45">
        <v>17.260869565217391</v>
      </c>
    </row>
    <row r="46" spans="1:5" x14ac:dyDescent="0.25">
      <c r="A46" s="15">
        <v>40588</v>
      </c>
      <c r="B46">
        <v>1</v>
      </c>
      <c r="C46">
        <v>1</v>
      </c>
      <c r="D46" s="5">
        <v>1</v>
      </c>
      <c r="E46" s="5">
        <v>1</v>
      </c>
    </row>
    <row r="47" spans="1:5" x14ac:dyDescent="0.25">
      <c r="A47" s="15">
        <v>40589</v>
      </c>
      <c r="C47">
        <f t="shared" ref="C47:C60" si="0">_xlfn.FORECAST.ETS(A47,$B$2:$B$46,$A$2:$A$46,1,1)</f>
        <v>4.8565291352862721</v>
      </c>
      <c r="D47" s="5">
        <f t="shared" ref="D47:D60" si="1">C47-_xlfn.FORECAST.ETS.CONFINT(A47,$B$2:$B$46,$A$2:$A$46,0.95,1,1)</f>
        <v>-1.9648029938527323</v>
      </c>
      <c r="E47" s="5">
        <f t="shared" ref="E47:E60" si="2">C47+_xlfn.FORECAST.ETS.CONFINT(A47,$B$2:$B$46,$A$2:$A$46,0.95,1,1)</f>
        <v>11.677861264425276</v>
      </c>
    </row>
    <row r="48" spans="1:5" x14ac:dyDescent="0.25">
      <c r="A48" s="15">
        <v>40590</v>
      </c>
      <c r="C48">
        <f t="shared" si="0"/>
        <v>4.9858122840924839</v>
      </c>
      <c r="D48" s="5">
        <f t="shared" si="1"/>
        <v>-2.6467798238581421</v>
      </c>
      <c r="E48" s="5">
        <f t="shared" si="2"/>
        <v>12.618404392043111</v>
      </c>
    </row>
    <row r="49" spans="1:5" x14ac:dyDescent="0.25">
      <c r="A49" s="15">
        <v>40591</v>
      </c>
      <c r="C49">
        <f t="shared" si="0"/>
        <v>5.2999640566995723</v>
      </c>
      <c r="D49" s="5">
        <f t="shared" si="1"/>
        <v>-3.0683760284996673</v>
      </c>
      <c r="E49" s="5">
        <f t="shared" si="2"/>
        <v>13.668304141898812</v>
      </c>
    </row>
    <row r="50" spans="1:5" x14ac:dyDescent="0.25">
      <c r="A50" s="15">
        <v>40592</v>
      </c>
      <c r="C50">
        <f t="shared" si="0"/>
        <v>6.2511965261380391</v>
      </c>
      <c r="D50" s="5">
        <f t="shared" si="1"/>
        <v>-2.7958264959822641</v>
      </c>
      <c r="E50" s="5">
        <f t="shared" si="2"/>
        <v>15.298219548258341</v>
      </c>
    </row>
    <row r="51" spans="1:5" x14ac:dyDescent="0.25">
      <c r="A51" s="15">
        <v>40593</v>
      </c>
      <c r="C51">
        <f t="shared" si="0"/>
        <v>7.6676802572171017</v>
      </c>
      <c r="D51" s="5">
        <f t="shared" si="1"/>
        <v>-2.0129749216001525</v>
      </c>
      <c r="E51" s="5">
        <f t="shared" si="2"/>
        <v>17.348335436034354</v>
      </c>
    </row>
    <row r="52" spans="1:5" x14ac:dyDescent="0.25">
      <c r="A52" s="15">
        <v>40594</v>
      </c>
      <c r="C52">
        <f t="shared" si="0"/>
        <v>8.7400881986367693</v>
      </c>
      <c r="D52" s="5">
        <f t="shared" si="1"/>
        <v>-1.5374886669408383</v>
      </c>
      <c r="E52" s="5">
        <f t="shared" si="2"/>
        <v>19.017665064214377</v>
      </c>
    </row>
    <row r="53" spans="1:5" x14ac:dyDescent="0.25">
      <c r="A53" s="15">
        <v>40595</v>
      </c>
      <c r="C53">
        <f t="shared" si="0"/>
        <v>6.3030619770642149</v>
      </c>
      <c r="D53" s="5">
        <f t="shared" si="1"/>
        <v>-4.5407944971797614</v>
      </c>
      <c r="E53" s="5">
        <f t="shared" si="2"/>
        <v>17.146918451308192</v>
      </c>
    </row>
    <row r="54" spans="1:5" x14ac:dyDescent="0.25">
      <c r="A54" s="15">
        <v>40596</v>
      </c>
      <c r="C54">
        <f t="shared" si="0"/>
        <v>4.9656241862848125</v>
      </c>
      <c r="D54" s="5">
        <f t="shared" si="1"/>
        <v>-6.4205257496016168</v>
      </c>
      <c r="E54" s="5">
        <f t="shared" si="2"/>
        <v>16.351774122171243</v>
      </c>
    </row>
    <row r="55" spans="1:5" x14ac:dyDescent="0.25">
      <c r="A55" s="15">
        <v>40597</v>
      </c>
      <c r="C55">
        <f t="shared" si="0"/>
        <v>5.0949073350910226</v>
      </c>
      <c r="D55" s="5">
        <f t="shared" si="1"/>
        <v>-6.8088566700869233</v>
      </c>
      <c r="E55" s="5">
        <f t="shared" si="2"/>
        <v>16.99867134026897</v>
      </c>
    </row>
    <row r="56" spans="1:5" x14ac:dyDescent="0.25">
      <c r="A56" s="15">
        <v>40598</v>
      </c>
      <c r="C56">
        <f t="shared" si="0"/>
        <v>5.4090591076981127</v>
      </c>
      <c r="D56" s="5">
        <f t="shared" si="1"/>
        <v>-6.9926423591304587</v>
      </c>
      <c r="E56" s="5">
        <f t="shared" si="2"/>
        <v>17.810760574526682</v>
      </c>
    </row>
    <row r="57" spans="1:5" x14ac:dyDescent="0.25">
      <c r="A57" s="15">
        <v>40599</v>
      </c>
      <c r="C57">
        <f t="shared" si="0"/>
        <v>6.3602915771365787</v>
      </c>
      <c r="D57" s="5">
        <f t="shared" si="1"/>
        <v>-6.5219562378891105</v>
      </c>
      <c r="E57" s="5">
        <f t="shared" si="2"/>
        <v>19.242539392162268</v>
      </c>
    </row>
    <row r="58" spans="1:5" x14ac:dyDescent="0.25">
      <c r="A58" s="15">
        <v>40600</v>
      </c>
      <c r="C58">
        <f t="shared" si="0"/>
        <v>7.7767753082156421</v>
      </c>
      <c r="D58" s="5">
        <f t="shared" si="1"/>
        <v>-5.5705097729648294</v>
      </c>
      <c r="E58" s="5">
        <f t="shared" si="2"/>
        <v>21.124060389396114</v>
      </c>
    </row>
    <row r="59" spans="1:5" x14ac:dyDescent="0.25">
      <c r="A59" s="15">
        <v>40601</v>
      </c>
      <c r="C59">
        <f t="shared" si="0"/>
        <v>8.849183249635308</v>
      </c>
      <c r="D59" s="5">
        <f t="shared" si="1"/>
        <v>-4.9492015524053947</v>
      </c>
      <c r="E59" s="5">
        <f t="shared" si="2"/>
        <v>22.647568051676011</v>
      </c>
    </row>
    <row r="60" spans="1:5" x14ac:dyDescent="0.25">
      <c r="A60" s="15">
        <v>40602</v>
      </c>
      <c r="C60">
        <f t="shared" si="0"/>
        <v>6.4121570280627553</v>
      </c>
      <c r="D60" s="5">
        <f t="shared" si="1"/>
        <v>-7.8247181259003957</v>
      </c>
      <c r="E60" s="5">
        <f t="shared" si="2"/>
        <v>20.649032182025906</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9D67D-EC49-4A51-8FE0-514F550319D6}">
  <dimension ref="A1:E60"/>
  <sheetViews>
    <sheetView topLeftCell="A37" workbookViewId="0">
      <selection sqref="A1:XFD1"/>
    </sheetView>
  </sheetViews>
  <sheetFormatPr defaultRowHeight="12.5" x14ac:dyDescent="0.25"/>
  <cols>
    <col min="1" max="1" width="8.90625" bestFit="1" customWidth="1"/>
    <col min="2" max="2" width="11.54296875" customWidth="1"/>
    <col min="3" max="3" width="20.36328125" customWidth="1"/>
    <col min="4" max="4" width="34.54296875" customWidth="1"/>
    <col min="5" max="5" width="34.453125" customWidth="1"/>
  </cols>
  <sheetData>
    <row r="1" spans="1:5" x14ac:dyDescent="0.25">
      <c r="A1" t="s">
        <v>1</v>
      </c>
      <c r="B1" t="s">
        <v>15</v>
      </c>
      <c r="C1" t="s">
        <v>84</v>
      </c>
      <c r="D1" t="s">
        <v>85</v>
      </c>
      <c r="E1" t="s">
        <v>86</v>
      </c>
    </row>
    <row r="2" spans="1:5" x14ac:dyDescent="0.25">
      <c r="A2" s="15">
        <v>40544</v>
      </c>
      <c r="B2">
        <v>27.25</v>
      </c>
    </row>
    <row r="3" spans="1:5" x14ac:dyDescent="0.25">
      <c r="A3" s="15">
        <v>40545</v>
      </c>
      <c r="B3">
        <v>29.130434782608695</v>
      </c>
    </row>
    <row r="4" spans="1:5" x14ac:dyDescent="0.25">
      <c r="A4" s="15">
        <v>40546</v>
      </c>
      <c r="B4">
        <v>55.863636363636367</v>
      </c>
    </row>
    <row r="5" spans="1:5" x14ac:dyDescent="0.25">
      <c r="A5" s="15">
        <v>40547</v>
      </c>
      <c r="B5">
        <v>63.217391304347828</v>
      </c>
    </row>
    <row r="6" spans="1:5" x14ac:dyDescent="0.25">
      <c r="A6" s="15">
        <v>40548</v>
      </c>
      <c r="B6">
        <v>66</v>
      </c>
    </row>
    <row r="7" spans="1:5" x14ac:dyDescent="0.25">
      <c r="A7" s="15">
        <v>40549</v>
      </c>
      <c r="B7">
        <v>66</v>
      </c>
    </row>
    <row r="8" spans="1:5" x14ac:dyDescent="0.25">
      <c r="A8" s="15">
        <v>40550</v>
      </c>
      <c r="B8">
        <v>59.217391304347828</v>
      </c>
    </row>
    <row r="9" spans="1:5" x14ac:dyDescent="0.25">
      <c r="A9" s="15">
        <v>40551</v>
      </c>
      <c r="B9">
        <v>37.125</v>
      </c>
    </row>
    <row r="10" spans="1:5" x14ac:dyDescent="0.25">
      <c r="A10" s="15">
        <v>40552</v>
      </c>
      <c r="B10">
        <v>32</v>
      </c>
    </row>
    <row r="11" spans="1:5" x14ac:dyDescent="0.25">
      <c r="A11" s="15">
        <v>40553</v>
      </c>
      <c r="B11">
        <v>53.333333333333336</v>
      </c>
    </row>
    <row r="12" spans="1:5" x14ac:dyDescent="0.25">
      <c r="A12" s="15">
        <v>40554</v>
      </c>
      <c r="B12">
        <v>55.454545454545453</v>
      </c>
    </row>
    <row r="13" spans="1:5" x14ac:dyDescent="0.25">
      <c r="A13" s="15">
        <v>40555</v>
      </c>
      <c r="B13">
        <v>51.68181818181818</v>
      </c>
    </row>
    <row r="14" spans="1:5" x14ac:dyDescent="0.25">
      <c r="A14" s="15">
        <v>40556</v>
      </c>
      <c r="B14">
        <v>57</v>
      </c>
    </row>
    <row r="15" spans="1:5" x14ac:dyDescent="0.25">
      <c r="A15" s="15">
        <v>40557</v>
      </c>
      <c r="B15">
        <v>59.434782608695649</v>
      </c>
    </row>
    <row r="16" spans="1:5" x14ac:dyDescent="0.25">
      <c r="A16" s="15">
        <v>40558</v>
      </c>
      <c r="B16">
        <v>42.75</v>
      </c>
    </row>
    <row r="17" spans="1:2" x14ac:dyDescent="0.25">
      <c r="A17" s="15">
        <v>40559</v>
      </c>
      <c r="B17">
        <v>39.708333333333336</v>
      </c>
    </row>
    <row r="18" spans="1:2" x14ac:dyDescent="0.25">
      <c r="A18" s="15">
        <v>40560</v>
      </c>
      <c r="B18">
        <v>36.791666666666664</v>
      </c>
    </row>
    <row r="19" spans="1:2" x14ac:dyDescent="0.25">
      <c r="A19" s="15">
        <v>40561</v>
      </c>
      <c r="B19">
        <v>56.166666666666664</v>
      </c>
    </row>
    <row r="20" spans="1:2" x14ac:dyDescent="0.25">
      <c r="A20" s="15">
        <v>40562</v>
      </c>
      <c r="B20">
        <v>68.347826086956516</v>
      </c>
    </row>
    <row r="21" spans="1:2" x14ac:dyDescent="0.25">
      <c r="A21" s="15">
        <v>40563</v>
      </c>
      <c r="B21">
        <v>76.833333333333329</v>
      </c>
    </row>
    <row r="22" spans="1:2" x14ac:dyDescent="0.25">
      <c r="A22" s="15">
        <v>40564</v>
      </c>
      <c r="B22">
        <v>61.166666666666664</v>
      </c>
    </row>
    <row r="23" spans="1:2" x14ac:dyDescent="0.25">
      <c r="A23" s="15">
        <v>40565</v>
      </c>
      <c r="B23">
        <v>38.608695652173914</v>
      </c>
    </row>
    <row r="24" spans="1:2" x14ac:dyDescent="0.25">
      <c r="A24" s="15">
        <v>40566</v>
      </c>
      <c r="B24">
        <v>36.347826086956523</v>
      </c>
    </row>
    <row r="25" spans="1:2" x14ac:dyDescent="0.25">
      <c r="A25" s="15">
        <v>40567</v>
      </c>
      <c r="B25">
        <v>57.826086956521742</v>
      </c>
    </row>
    <row r="26" spans="1:2" x14ac:dyDescent="0.25">
      <c r="A26" s="15">
        <v>40568</v>
      </c>
      <c r="B26">
        <v>78.217391304347828</v>
      </c>
    </row>
    <row r="27" spans="1:2" x14ac:dyDescent="0.25">
      <c r="A27" s="15">
        <v>40569</v>
      </c>
      <c r="B27">
        <v>29.5</v>
      </c>
    </row>
    <row r="28" spans="1:2" x14ac:dyDescent="0.25">
      <c r="A28" s="15">
        <v>40570</v>
      </c>
      <c r="B28">
        <v>52</v>
      </c>
    </row>
    <row r="29" spans="1:2" x14ac:dyDescent="0.25">
      <c r="A29" s="15">
        <v>40571</v>
      </c>
      <c r="B29">
        <v>49.086956521739133</v>
      </c>
    </row>
    <row r="30" spans="1:2" x14ac:dyDescent="0.25">
      <c r="A30" s="15">
        <v>40572</v>
      </c>
      <c r="B30">
        <v>42.391304347826086</v>
      </c>
    </row>
    <row r="31" spans="1:2" x14ac:dyDescent="0.25">
      <c r="A31" s="15">
        <v>40573</v>
      </c>
      <c r="B31">
        <v>41.565217391304351</v>
      </c>
    </row>
    <row r="32" spans="1:2" x14ac:dyDescent="0.25">
      <c r="A32" s="15">
        <v>40574</v>
      </c>
      <c r="B32">
        <v>60.791666666666664</v>
      </c>
    </row>
    <row r="33" spans="1:5" x14ac:dyDescent="0.25">
      <c r="A33" s="15">
        <v>40575</v>
      </c>
      <c r="B33">
        <v>57.086956521739133</v>
      </c>
    </row>
    <row r="34" spans="1:5" x14ac:dyDescent="0.25">
      <c r="A34" s="15">
        <v>40576</v>
      </c>
      <c r="B34">
        <v>60.583333333333336</v>
      </c>
    </row>
    <row r="35" spans="1:5" x14ac:dyDescent="0.25">
      <c r="A35" s="15">
        <v>40577</v>
      </c>
      <c r="B35">
        <v>64.739130434782609</v>
      </c>
    </row>
    <row r="36" spans="1:5" x14ac:dyDescent="0.25">
      <c r="A36" s="15">
        <v>40578</v>
      </c>
      <c r="B36">
        <v>70.434782608695656</v>
      </c>
    </row>
    <row r="37" spans="1:5" x14ac:dyDescent="0.25">
      <c r="A37" s="15">
        <v>40579</v>
      </c>
      <c r="B37">
        <v>37.708333333333336</v>
      </c>
    </row>
    <row r="38" spans="1:5" x14ac:dyDescent="0.25">
      <c r="A38" s="15">
        <v>40580</v>
      </c>
      <c r="B38">
        <v>52.875</v>
      </c>
    </row>
    <row r="39" spans="1:5" x14ac:dyDescent="0.25">
      <c r="A39" s="15">
        <v>40581</v>
      </c>
      <c r="B39">
        <v>66.333333333333329</v>
      </c>
    </row>
    <row r="40" spans="1:5" x14ac:dyDescent="0.25">
      <c r="A40" s="15">
        <v>40582</v>
      </c>
      <c r="B40">
        <v>61.083333333333336</v>
      </c>
    </row>
    <row r="41" spans="1:5" x14ac:dyDescent="0.25">
      <c r="A41" s="15">
        <v>40583</v>
      </c>
      <c r="B41">
        <v>67.478260869565219</v>
      </c>
    </row>
    <row r="42" spans="1:5" x14ac:dyDescent="0.25">
      <c r="A42" s="15">
        <v>40584</v>
      </c>
      <c r="B42">
        <v>64.826086956521735</v>
      </c>
    </row>
    <row r="43" spans="1:5" x14ac:dyDescent="0.25">
      <c r="A43" s="15">
        <v>40585</v>
      </c>
      <c r="B43">
        <v>72.590909090909093</v>
      </c>
    </row>
    <row r="44" spans="1:5" x14ac:dyDescent="0.25">
      <c r="A44" s="15">
        <v>40586</v>
      </c>
      <c r="B44">
        <v>49.333333333333336</v>
      </c>
    </row>
    <row r="45" spans="1:5" x14ac:dyDescent="0.25">
      <c r="A45" s="15">
        <v>40587</v>
      </c>
      <c r="B45">
        <v>51.826086956521742</v>
      </c>
    </row>
    <row r="46" spans="1:5" x14ac:dyDescent="0.25">
      <c r="A46" s="15">
        <v>40588</v>
      </c>
      <c r="B46">
        <v>17.875</v>
      </c>
      <c r="C46">
        <v>17.875</v>
      </c>
      <c r="D46" s="5">
        <v>17.875</v>
      </c>
      <c r="E46" s="5">
        <v>17.875</v>
      </c>
    </row>
    <row r="47" spans="1:5" x14ac:dyDescent="0.25">
      <c r="A47" s="15">
        <v>40589</v>
      </c>
      <c r="C47">
        <f t="shared" ref="C47:C60" si="0">_xlfn.FORECAST.ETS(A47,$B$2:$B$46,$A$2:$A$46,1,1)</f>
        <v>62.263210337816645</v>
      </c>
      <c r="D47" s="5">
        <f t="shared" ref="D47:D60" si="1">C47-_xlfn.FORECAST.ETS.CONFINT(A47,$B$2:$B$46,$A$2:$A$46,0.95,1,1)</f>
        <v>39.903506226854297</v>
      </c>
      <c r="E47" s="5">
        <f t="shared" ref="E47:E60" si="2">C47+_xlfn.FORECAST.ETS.CONFINT(A47,$B$2:$B$46,$A$2:$A$46,0.95,1,1)</f>
        <v>84.622914448778999</v>
      </c>
    </row>
    <row r="48" spans="1:5" x14ac:dyDescent="0.25">
      <c r="A48" s="15">
        <v>40590</v>
      </c>
      <c r="C48">
        <f t="shared" si="0"/>
        <v>65.743016796662502</v>
      </c>
      <c r="D48" s="5">
        <f t="shared" si="1"/>
        <v>43.20371414134226</v>
      </c>
      <c r="E48" s="5">
        <f t="shared" si="2"/>
        <v>88.282319451982744</v>
      </c>
    </row>
    <row r="49" spans="1:5" x14ac:dyDescent="0.25">
      <c r="A49" s="15">
        <v>40591</v>
      </c>
      <c r="C49">
        <f t="shared" si="0"/>
        <v>70.334537753982971</v>
      </c>
      <c r="D49" s="5">
        <f t="shared" si="1"/>
        <v>47.614250578854936</v>
      </c>
      <c r="E49" s="5">
        <f t="shared" si="2"/>
        <v>93.054824929111007</v>
      </c>
    </row>
    <row r="50" spans="1:5" x14ac:dyDescent="0.25">
      <c r="A50" s="15">
        <v>40592</v>
      </c>
      <c r="C50">
        <f t="shared" si="0"/>
        <v>63.50128361457493</v>
      </c>
      <c r="D50" s="5">
        <f t="shared" si="1"/>
        <v>40.598636971904845</v>
      </c>
      <c r="E50" s="5">
        <f t="shared" si="2"/>
        <v>86.403930257245008</v>
      </c>
    </row>
    <row r="51" spans="1:5" x14ac:dyDescent="0.25">
      <c r="A51" s="15">
        <v>40593</v>
      </c>
      <c r="C51">
        <f t="shared" si="0"/>
        <v>43.905158501825994</v>
      </c>
      <c r="D51" s="5">
        <f t="shared" si="1"/>
        <v>20.818788370143952</v>
      </c>
      <c r="E51" s="5">
        <f t="shared" si="2"/>
        <v>66.99152863350804</v>
      </c>
    </row>
    <row r="52" spans="1:5" x14ac:dyDescent="0.25">
      <c r="A52" s="15">
        <v>40594</v>
      </c>
      <c r="C52">
        <f t="shared" si="0"/>
        <v>40.807977773729228</v>
      </c>
      <c r="D52" s="5">
        <f t="shared" si="1"/>
        <v>17.536530953923123</v>
      </c>
      <c r="E52" s="5">
        <f t="shared" si="2"/>
        <v>64.079424593535336</v>
      </c>
    </row>
    <row r="53" spans="1:5" x14ac:dyDescent="0.25">
      <c r="A53" s="15">
        <v>40595</v>
      </c>
      <c r="C53">
        <f t="shared" si="0"/>
        <v>54.228588031677255</v>
      </c>
      <c r="D53" s="5">
        <f t="shared" si="1"/>
        <v>30.770722040887037</v>
      </c>
      <c r="E53" s="5">
        <f t="shared" si="2"/>
        <v>77.686454022467473</v>
      </c>
    </row>
    <row r="54" spans="1:5" x14ac:dyDescent="0.25">
      <c r="A54" s="15">
        <v>40596</v>
      </c>
      <c r="C54">
        <f t="shared" si="0"/>
        <v>63.668219565596708</v>
      </c>
      <c r="D54" s="5">
        <f t="shared" si="1"/>
        <v>40.019780010640453</v>
      </c>
      <c r="E54" s="5">
        <f t="shared" si="2"/>
        <v>87.31665912055297</v>
      </c>
    </row>
    <row r="55" spans="1:5" x14ac:dyDescent="0.25">
      <c r="A55" s="15">
        <v>40597</v>
      </c>
      <c r="C55">
        <f t="shared" si="0"/>
        <v>67.148026024442558</v>
      </c>
      <c r="D55" s="5">
        <f t="shared" si="1"/>
        <v>43.310536434996131</v>
      </c>
      <c r="E55" s="5">
        <f t="shared" si="2"/>
        <v>90.985515613888992</v>
      </c>
    </row>
    <row r="56" spans="1:5" x14ac:dyDescent="0.25">
      <c r="A56" s="15">
        <v>40598</v>
      </c>
      <c r="C56">
        <f t="shared" si="0"/>
        <v>71.739546981763027</v>
      </c>
      <c r="D56" s="5">
        <f t="shared" si="1"/>
        <v>47.711696167916045</v>
      </c>
      <c r="E56" s="5">
        <f t="shared" si="2"/>
        <v>95.767397795610009</v>
      </c>
    </row>
    <row r="57" spans="1:5" x14ac:dyDescent="0.25">
      <c r="A57" s="15">
        <v>40599</v>
      </c>
      <c r="C57">
        <f t="shared" si="0"/>
        <v>64.906292842354986</v>
      </c>
      <c r="D57" s="5">
        <f t="shared" si="1"/>
        <v>40.686779888669967</v>
      </c>
      <c r="E57" s="5">
        <f t="shared" si="2"/>
        <v>89.125805796039998</v>
      </c>
    </row>
    <row r="58" spans="1:5" x14ac:dyDescent="0.25">
      <c r="A58" s="15">
        <v>40600</v>
      </c>
      <c r="C58">
        <f t="shared" si="0"/>
        <v>45.31016772960605</v>
      </c>
      <c r="D58" s="5">
        <f t="shared" si="1"/>
        <v>20.897701881531816</v>
      </c>
      <c r="E58" s="5">
        <f t="shared" si="2"/>
        <v>69.722633577680284</v>
      </c>
    </row>
    <row r="59" spans="1:5" x14ac:dyDescent="0.25">
      <c r="A59" s="15">
        <v>40601</v>
      </c>
      <c r="C59">
        <f t="shared" si="0"/>
        <v>42.212987001509291</v>
      </c>
      <c r="D59" s="5">
        <f t="shared" si="1"/>
        <v>17.606287550866881</v>
      </c>
      <c r="E59" s="5">
        <f t="shared" si="2"/>
        <v>66.8196864521517</v>
      </c>
    </row>
    <row r="60" spans="1:5" x14ac:dyDescent="0.25">
      <c r="A60" s="15">
        <v>40602</v>
      </c>
      <c r="C60">
        <f t="shared" si="0"/>
        <v>55.633597259457318</v>
      </c>
      <c r="D60" s="5">
        <f t="shared" si="1"/>
        <v>30.831393429172053</v>
      </c>
      <c r="E60" s="5">
        <f t="shared" si="2"/>
        <v>80.435801089742583</v>
      </c>
    </row>
  </sheetData>
  <pageMargins left="0.7" right="0.7" top="0.75" bottom="0.75" header="0.3" footer="0.3"/>
  <drawing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F698E-E3D7-41FE-98EB-3B1DDE5F0F1F}">
  <dimension ref="A1:E60"/>
  <sheetViews>
    <sheetView topLeftCell="A40" workbookViewId="0">
      <selection activeCell="C47" sqref="C47:E60"/>
    </sheetView>
  </sheetViews>
  <sheetFormatPr defaultRowHeight="12.5" x14ac:dyDescent="0.25"/>
  <cols>
    <col min="1" max="1" width="8.90625" bestFit="1" customWidth="1"/>
    <col min="2" max="2" width="8.81640625" bestFit="1" customWidth="1"/>
    <col min="3" max="3" width="14.36328125" customWidth="1"/>
    <col min="4" max="4" width="28.54296875" customWidth="1"/>
    <col min="5" max="5" width="28.453125" customWidth="1"/>
  </cols>
  <sheetData>
    <row r="1" spans="1:5" x14ac:dyDescent="0.25">
      <c r="A1" t="s">
        <v>1</v>
      </c>
      <c r="B1" t="s">
        <v>16</v>
      </c>
      <c r="C1" t="s">
        <v>88</v>
      </c>
      <c r="D1" t="s">
        <v>89</v>
      </c>
      <c r="E1" t="s">
        <v>90</v>
      </c>
    </row>
    <row r="2" spans="1:5" x14ac:dyDescent="0.25">
      <c r="A2" s="15">
        <v>40544</v>
      </c>
      <c r="B2">
        <v>41.041666666666664</v>
      </c>
    </row>
    <row r="3" spans="1:5" x14ac:dyDescent="0.25">
      <c r="A3" s="15">
        <v>40545</v>
      </c>
      <c r="B3">
        <v>34.826086956521742</v>
      </c>
    </row>
    <row r="4" spans="1:5" x14ac:dyDescent="0.25">
      <c r="A4" s="15">
        <v>40546</v>
      </c>
      <c r="B4">
        <v>61.31818181818182</v>
      </c>
    </row>
    <row r="5" spans="1:5" x14ac:dyDescent="0.25">
      <c r="A5" s="15">
        <v>40547</v>
      </c>
      <c r="B5">
        <v>67.913043478260875</v>
      </c>
    </row>
    <row r="6" spans="1:5" x14ac:dyDescent="0.25">
      <c r="A6" s="15">
        <v>40548</v>
      </c>
      <c r="B6">
        <v>69.565217391304344</v>
      </c>
    </row>
    <row r="7" spans="1:5" x14ac:dyDescent="0.25">
      <c r="A7" s="15">
        <v>40549</v>
      </c>
      <c r="B7">
        <v>69.826086956521735</v>
      </c>
    </row>
    <row r="8" spans="1:5" x14ac:dyDescent="0.25">
      <c r="A8" s="15">
        <v>40550</v>
      </c>
      <c r="B8">
        <v>65.652173913043484</v>
      </c>
    </row>
    <row r="9" spans="1:5" x14ac:dyDescent="0.25">
      <c r="A9" s="15">
        <v>40551</v>
      </c>
      <c r="B9">
        <v>39.958333333333336</v>
      </c>
    </row>
    <row r="10" spans="1:5" x14ac:dyDescent="0.25">
      <c r="A10" s="15">
        <v>40552</v>
      </c>
      <c r="B10">
        <v>34.25</v>
      </c>
    </row>
    <row r="11" spans="1:5" x14ac:dyDescent="0.25">
      <c r="A11" s="15">
        <v>40553</v>
      </c>
      <c r="B11">
        <v>55.041666666666664</v>
      </c>
    </row>
    <row r="12" spans="1:5" x14ac:dyDescent="0.25">
      <c r="A12" s="15">
        <v>40554</v>
      </c>
      <c r="B12">
        <v>57.409090909090907</v>
      </c>
    </row>
    <row r="13" spans="1:5" x14ac:dyDescent="0.25">
      <c r="A13" s="15">
        <v>40555</v>
      </c>
      <c r="B13">
        <v>52.81818181818182</v>
      </c>
    </row>
    <row r="14" spans="1:5" x14ac:dyDescent="0.25">
      <c r="A14" s="15">
        <v>40556</v>
      </c>
      <c r="B14">
        <v>58.583333333333336</v>
      </c>
    </row>
    <row r="15" spans="1:5" x14ac:dyDescent="0.25">
      <c r="A15" s="15">
        <v>40557</v>
      </c>
      <c r="B15">
        <v>61.782608695652172</v>
      </c>
    </row>
    <row r="16" spans="1:5" x14ac:dyDescent="0.25">
      <c r="A16" s="15">
        <v>40558</v>
      </c>
      <c r="B16">
        <v>52</v>
      </c>
    </row>
    <row r="17" spans="1:2" x14ac:dyDescent="0.25">
      <c r="A17" s="15">
        <v>40559</v>
      </c>
      <c r="B17">
        <v>50.166666666666664</v>
      </c>
    </row>
    <row r="18" spans="1:2" x14ac:dyDescent="0.25">
      <c r="A18" s="15">
        <v>40560</v>
      </c>
      <c r="B18">
        <v>41.666666666666664</v>
      </c>
    </row>
    <row r="19" spans="1:2" x14ac:dyDescent="0.25">
      <c r="A19" s="15">
        <v>40561</v>
      </c>
      <c r="B19">
        <v>56.916666666666664</v>
      </c>
    </row>
    <row r="20" spans="1:2" x14ac:dyDescent="0.25">
      <c r="A20" s="15">
        <v>40562</v>
      </c>
      <c r="B20">
        <v>71.739130434782609</v>
      </c>
    </row>
    <row r="21" spans="1:2" x14ac:dyDescent="0.25">
      <c r="A21" s="15">
        <v>40563</v>
      </c>
      <c r="B21">
        <v>80.291666666666671</v>
      </c>
    </row>
    <row r="22" spans="1:2" x14ac:dyDescent="0.25">
      <c r="A22" s="15">
        <v>40564</v>
      </c>
      <c r="B22">
        <v>64.291666666666671</v>
      </c>
    </row>
    <row r="23" spans="1:2" x14ac:dyDescent="0.25">
      <c r="A23" s="15">
        <v>40565</v>
      </c>
      <c r="B23">
        <v>42.652173913043477</v>
      </c>
    </row>
    <row r="24" spans="1:2" x14ac:dyDescent="0.25">
      <c r="A24" s="15">
        <v>40566</v>
      </c>
      <c r="B24">
        <v>42.869565217391305</v>
      </c>
    </row>
    <row r="25" spans="1:2" x14ac:dyDescent="0.25">
      <c r="A25" s="15">
        <v>40567</v>
      </c>
      <c r="B25">
        <v>61.565217391304351</v>
      </c>
    </row>
    <row r="26" spans="1:2" x14ac:dyDescent="0.25">
      <c r="A26" s="15">
        <v>40568</v>
      </c>
      <c r="B26">
        <v>86.304347826086953</v>
      </c>
    </row>
    <row r="27" spans="1:2" x14ac:dyDescent="0.25">
      <c r="A27" s="15">
        <v>40569</v>
      </c>
      <c r="B27">
        <v>31.625</v>
      </c>
    </row>
    <row r="28" spans="1:2" x14ac:dyDescent="0.25">
      <c r="A28" s="15">
        <v>40570</v>
      </c>
      <c r="B28">
        <v>53.875</v>
      </c>
    </row>
    <row r="29" spans="1:2" x14ac:dyDescent="0.25">
      <c r="A29" s="15">
        <v>40571</v>
      </c>
      <c r="B29">
        <v>50.739130434782609</v>
      </c>
    </row>
    <row r="30" spans="1:2" x14ac:dyDescent="0.25">
      <c r="A30" s="15">
        <v>40572</v>
      </c>
      <c r="B30">
        <v>47.739130434782609</v>
      </c>
    </row>
    <row r="31" spans="1:2" x14ac:dyDescent="0.25">
      <c r="A31" s="15">
        <v>40573</v>
      </c>
      <c r="B31">
        <v>47.652173913043477</v>
      </c>
    </row>
    <row r="32" spans="1:2" x14ac:dyDescent="0.25">
      <c r="A32" s="15">
        <v>40574</v>
      </c>
      <c r="B32">
        <v>62.541666666666664</v>
      </c>
    </row>
    <row r="33" spans="1:5" x14ac:dyDescent="0.25">
      <c r="A33" s="15">
        <v>40575</v>
      </c>
      <c r="B33">
        <v>59.130434782608695</v>
      </c>
    </row>
    <row r="34" spans="1:5" x14ac:dyDescent="0.25">
      <c r="A34" s="15">
        <v>40576</v>
      </c>
      <c r="B34">
        <v>63.583333333333336</v>
      </c>
    </row>
    <row r="35" spans="1:5" x14ac:dyDescent="0.25">
      <c r="A35" s="15">
        <v>40577</v>
      </c>
      <c r="B35">
        <v>67.391304347826093</v>
      </c>
    </row>
    <row r="36" spans="1:5" x14ac:dyDescent="0.25">
      <c r="A36" s="15">
        <v>40578</v>
      </c>
      <c r="B36">
        <v>74.260869565217391</v>
      </c>
    </row>
    <row r="37" spans="1:5" x14ac:dyDescent="0.25">
      <c r="A37" s="15">
        <v>40579</v>
      </c>
      <c r="B37">
        <v>41.875</v>
      </c>
    </row>
    <row r="38" spans="1:5" x14ac:dyDescent="0.25">
      <c r="A38" s="15">
        <v>40580</v>
      </c>
      <c r="B38">
        <v>67.625</v>
      </c>
    </row>
    <row r="39" spans="1:5" x14ac:dyDescent="0.25">
      <c r="A39" s="15">
        <v>40581</v>
      </c>
      <c r="B39">
        <v>71.333333333333329</v>
      </c>
    </row>
    <row r="40" spans="1:5" x14ac:dyDescent="0.25">
      <c r="A40" s="15">
        <v>40582</v>
      </c>
      <c r="B40">
        <v>63.75</v>
      </c>
    </row>
    <row r="41" spans="1:5" x14ac:dyDescent="0.25">
      <c r="A41" s="15">
        <v>40583</v>
      </c>
      <c r="B41">
        <v>69.782608695652172</v>
      </c>
    </row>
    <row r="42" spans="1:5" x14ac:dyDescent="0.25">
      <c r="A42" s="15">
        <v>40584</v>
      </c>
      <c r="B42">
        <v>66.869565217391298</v>
      </c>
    </row>
    <row r="43" spans="1:5" x14ac:dyDescent="0.25">
      <c r="A43" s="15">
        <v>40585</v>
      </c>
      <c r="B43">
        <v>79.36363636363636</v>
      </c>
    </row>
    <row r="44" spans="1:5" x14ac:dyDescent="0.25">
      <c r="A44" s="15">
        <v>40586</v>
      </c>
      <c r="B44">
        <v>61.333333333333336</v>
      </c>
    </row>
    <row r="45" spans="1:5" x14ac:dyDescent="0.25">
      <c r="A45" s="15">
        <v>40587</v>
      </c>
      <c r="B45">
        <v>69.086956521739125</v>
      </c>
    </row>
    <row r="46" spans="1:5" x14ac:dyDescent="0.25">
      <c r="A46" s="15">
        <v>40588</v>
      </c>
      <c r="B46">
        <v>18.875</v>
      </c>
      <c r="C46">
        <v>18.875</v>
      </c>
      <c r="D46" s="5">
        <v>18.875</v>
      </c>
      <c r="E46" s="5">
        <v>18.875</v>
      </c>
    </row>
    <row r="47" spans="1:5" x14ac:dyDescent="0.25">
      <c r="A47" s="15">
        <v>40589</v>
      </c>
      <c r="C47">
        <f t="shared" ref="C47:C60" si="0">_xlfn.FORECAST.ETS(A47,$B$2:$B$46,$A$2:$A$46,1,1)</f>
        <v>61.270134143024279</v>
      </c>
      <c r="D47" s="5">
        <f t="shared" ref="D47:D60" si="1">C47-_xlfn.FORECAST.ETS.CONFINT(A47,$B$2:$B$46,$A$2:$A$46,0.95,1,1)</f>
        <v>31.858655883675784</v>
      </c>
      <c r="E47" s="5">
        <f t="shared" ref="E47:E60" si="2">C47+_xlfn.FORECAST.ETS.CONFINT(A47,$B$2:$B$46,$A$2:$A$46,0.95,1,1)</f>
        <v>90.681612402372778</v>
      </c>
    </row>
    <row r="48" spans="1:5" x14ac:dyDescent="0.25">
      <c r="A48" s="15">
        <v>40590</v>
      </c>
      <c r="C48">
        <f t="shared" si="0"/>
        <v>61.525827765725516</v>
      </c>
      <c r="D48" s="5">
        <f t="shared" si="1"/>
        <v>31.878109408718345</v>
      </c>
      <c r="E48" s="5">
        <f t="shared" si="2"/>
        <v>91.173546122732688</v>
      </c>
    </row>
    <row r="49" spans="1:5" x14ac:dyDescent="0.25">
      <c r="A49" s="15">
        <v>40591</v>
      </c>
      <c r="C49">
        <f t="shared" si="0"/>
        <v>61.781521388426746</v>
      </c>
      <c r="D49" s="5">
        <f t="shared" si="1"/>
        <v>31.895739851191895</v>
      </c>
      <c r="E49" s="5">
        <f t="shared" si="2"/>
        <v>91.667302925661602</v>
      </c>
    </row>
    <row r="50" spans="1:5" x14ac:dyDescent="0.25">
      <c r="A50" s="15">
        <v>40592</v>
      </c>
      <c r="C50">
        <f t="shared" si="0"/>
        <v>62.037215011127984</v>
      </c>
      <c r="D50" s="5">
        <f t="shared" si="1"/>
        <v>31.911561716718598</v>
      </c>
      <c r="E50" s="5">
        <f t="shared" si="2"/>
        <v>92.162868305537373</v>
      </c>
    </row>
    <row r="51" spans="1:5" x14ac:dyDescent="0.25">
      <c r="A51" s="15">
        <v>40593</v>
      </c>
      <c r="C51">
        <f t="shared" si="0"/>
        <v>62.292908633829221</v>
      </c>
      <c r="D51" s="5">
        <f t="shared" si="1"/>
        <v>31.925589377473688</v>
      </c>
      <c r="E51" s="5">
        <f t="shared" si="2"/>
        <v>92.660227890184757</v>
      </c>
    </row>
    <row r="52" spans="1:5" x14ac:dyDescent="0.25">
      <c r="A52" s="15">
        <v>40594</v>
      </c>
      <c r="C52">
        <f t="shared" si="0"/>
        <v>62.548602256530458</v>
      </c>
      <c r="D52" s="5">
        <f t="shared" si="1"/>
        <v>31.937837068955986</v>
      </c>
      <c r="E52" s="5">
        <f t="shared" si="2"/>
        <v>93.15936744410493</v>
      </c>
    </row>
    <row r="53" spans="1:5" x14ac:dyDescent="0.25">
      <c r="A53" s="15">
        <v>40595</v>
      </c>
      <c r="C53">
        <f t="shared" si="0"/>
        <v>62.804295879231688</v>
      </c>
      <c r="D53" s="5">
        <f t="shared" si="1"/>
        <v>31.948318887095059</v>
      </c>
      <c r="E53" s="5">
        <f t="shared" si="2"/>
        <v>93.660272871368321</v>
      </c>
    </row>
    <row r="54" spans="1:5" x14ac:dyDescent="0.25">
      <c r="A54" s="15">
        <v>40596</v>
      </c>
      <c r="C54">
        <f t="shared" si="0"/>
        <v>63.059989501932925</v>
      </c>
      <c r="D54" s="5">
        <f t="shared" si="1"/>
        <v>31.95704878567814</v>
      </c>
      <c r="E54" s="5">
        <f t="shared" si="2"/>
        <v>94.162930218187711</v>
      </c>
    </row>
    <row r="55" spans="1:5" x14ac:dyDescent="0.25">
      <c r="A55" s="15">
        <v>40597</v>
      </c>
      <c r="C55">
        <f t="shared" si="0"/>
        <v>63.315683124634162</v>
      </c>
      <c r="D55" s="5">
        <f t="shared" si="1"/>
        <v>31.964040574080091</v>
      </c>
      <c r="E55" s="5">
        <f t="shared" si="2"/>
        <v>94.667325675188238</v>
      </c>
    </row>
    <row r="56" spans="1:5" x14ac:dyDescent="0.25">
      <c r="A56" s="15">
        <v>40598</v>
      </c>
      <c r="C56">
        <f t="shared" si="0"/>
        <v>63.5713767473354</v>
      </c>
      <c r="D56" s="5">
        <f t="shared" si="1"/>
        <v>31.969307915280588</v>
      </c>
      <c r="E56" s="5">
        <f t="shared" si="2"/>
        <v>95.173445579390204</v>
      </c>
    </row>
    <row r="57" spans="1:5" x14ac:dyDescent="0.25">
      <c r="A57" s="15">
        <v>40599</v>
      </c>
      <c r="C57">
        <f t="shared" si="0"/>
        <v>63.827070370036637</v>
      </c>
      <c r="D57" s="5">
        <f t="shared" si="1"/>
        <v>31.972864324152855</v>
      </c>
      <c r="E57" s="5">
        <f t="shared" si="2"/>
        <v>95.681276415920422</v>
      </c>
    </row>
    <row r="58" spans="1:5" x14ac:dyDescent="0.25">
      <c r="A58" s="15">
        <v>40600</v>
      </c>
      <c r="C58">
        <f t="shared" si="0"/>
        <v>64.082763992737867</v>
      </c>
      <c r="D58" s="5">
        <f t="shared" si="1"/>
        <v>31.974723166009028</v>
      </c>
      <c r="E58" s="5">
        <f t="shared" si="2"/>
        <v>96.190804819466706</v>
      </c>
    </row>
    <row r="59" spans="1:5" x14ac:dyDescent="0.25">
      <c r="A59" s="15">
        <v>40601</v>
      </c>
      <c r="C59">
        <f t="shared" si="0"/>
        <v>64.338457615439111</v>
      </c>
      <c r="D59" s="5">
        <f t="shared" si="1"/>
        <v>31.974897655387771</v>
      </c>
      <c r="E59" s="5">
        <f t="shared" si="2"/>
        <v>96.702017575490459</v>
      </c>
    </row>
    <row r="60" spans="1:5" x14ac:dyDescent="0.25">
      <c r="A60" s="15">
        <v>40602</v>
      </c>
      <c r="C60">
        <f t="shared" si="0"/>
        <v>64.594151238140341</v>
      </c>
      <c r="D60" s="5">
        <f t="shared" si="1"/>
        <v>31.973400855070025</v>
      </c>
      <c r="E60" s="5">
        <f t="shared" si="2"/>
        <v>97.214901621210657</v>
      </c>
    </row>
  </sheetData>
  <pageMargins left="0.7" right="0.7" top="0.75" bottom="0.75" header="0.3" footer="0.3"/>
  <drawing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E5FBB-58AB-4AA3-BB28-9B735F15FBEB}">
  <sheetPr>
    <tabColor theme="6" tint="0.59999389629810485"/>
  </sheetPr>
  <dimension ref="A1:AA1001"/>
  <sheetViews>
    <sheetView topLeftCell="A985" zoomScaleNormal="100" workbookViewId="0">
      <selection activeCell="G2" sqref="G2"/>
    </sheetView>
  </sheetViews>
  <sheetFormatPr defaultRowHeight="12.5" x14ac:dyDescent="0.25"/>
  <cols>
    <col min="1" max="1" width="9" bestFit="1" customWidth="1"/>
    <col min="2" max="2" width="8.90625" bestFit="1" customWidth="1"/>
    <col min="3" max="3" width="7.453125" bestFit="1" customWidth="1"/>
    <col min="4" max="4" width="13.7265625" bestFit="1" customWidth="1"/>
    <col min="5" max="5" width="4.90625" bestFit="1" customWidth="1"/>
    <col min="6" max="6" width="13.54296875" customWidth="1"/>
    <col min="7" max="7" width="9.26953125" bestFit="1" customWidth="1"/>
    <col min="8" max="8" width="14.26953125" bestFit="1" customWidth="1"/>
    <col min="9" max="9" width="10.54296875" bestFit="1" customWidth="1"/>
    <col min="10" max="10" width="11.90625" bestFit="1" customWidth="1"/>
    <col min="11" max="11" width="11.90625" customWidth="1"/>
    <col min="12" max="12" width="12" bestFit="1" customWidth="1"/>
    <col min="13" max="13" width="16.453125" customWidth="1"/>
    <col min="14" max="14" width="7.36328125" bestFit="1" customWidth="1"/>
    <col min="15" max="15" width="8.36328125" style="5" bestFit="1" customWidth="1"/>
    <col min="16" max="16" width="6.81640625" style="5" bestFit="1" customWidth="1"/>
    <col min="17" max="17" width="12.26953125" bestFit="1" customWidth="1"/>
    <col min="18" max="18" width="8.6328125" bestFit="1" customWidth="1"/>
    <col min="19" max="19" width="11.81640625" bestFit="1" customWidth="1"/>
    <col min="20" max="20" width="5.81640625" bestFit="1" customWidth="1"/>
    <col min="21" max="21" width="18.7265625" style="5" bestFit="1" customWidth="1"/>
    <col min="22" max="22" width="18.7265625" style="5" customWidth="1"/>
    <col min="23" max="23" width="18.08984375" style="5" bestFit="1" customWidth="1"/>
    <col min="24" max="24" width="21.26953125" bestFit="1" customWidth="1"/>
    <col min="27" max="27" width="10.81640625" bestFit="1" customWidth="1"/>
  </cols>
  <sheetData>
    <row r="1" spans="1:27" x14ac:dyDescent="0.25">
      <c r="A1" t="s">
        <v>0</v>
      </c>
      <c r="B1" t="s">
        <v>1</v>
      </c>
      <c r="C1" t="s">
        <v>4</v>
      </c>
      <c r="D1" t="s">
        <v>17</v>
      </c>
      <c r="E1" t="s">
        <v>5</v>
      </c>
      <c r="F1" s="6" t="s">
        <v>20</v>
      </c>
      <c r="G1" t="s">
        <v>6</v>
      </c>
      <c r="H1" t="s">
        <v>18</v>
      </c>
      <c r="I1" t="s">
        <v>7</v>
      </c>
      <c r="J1" t="s">
        <v>19</v>
      </c>
      <c r="K1" t="s">
        <v>73</v>
      </c>
      <c r="L1" t="s">
        <v>8</v>
      </c>
      <c r="M1" t="s">
        <v>25</v>
      </c>
      <c r="N1" t="s">
        <v>9</v>
      </c>
      <c r="O1" s="5" t="s">
        <v>11</v>
      </c>
      <c r="P1" s="5" t="s">
        <v>12</v>
      </c>
      <c r="Q1" t="s">
        <v>13</v>
      </c>
      <c r="R1" t="s">
        <v>14</v>
      </c>
      <c r="S1" t="s">
        <v>15</v>
      </c>
      <c r="T1" t="s">
        <v>16</v>
      </c>
      <c r="U1" s="5" t="s">
        <v>26</v>
      </c>
      <c r="V1" s="5" t="s">
        <v>32</v>
      </c>
      <c r="W1" s="8" t="s">
        <v>31</v>
      </c>
      <c r="X1" t="s">
        <v>33</v>
      </c>
    </row>
    <row r="2" spans="1:27" x14ac:dyDescent="0.25">
      <c r="A2" s="6">
        <v>1</v>
      </c>
      <c r="B2" s="7">
        <v>40544</v>
      </c>
      <c r="C2" s="6">
        <v>1</v>
      </c>
      <c r="D2" s="6" t="str">
        <f t="shared" ref="D2:D65" si="0">IF(C2=1,"january",IF(C2=2,"february"))</f>
        <v>january</v>
      </c>
      <c r="E2" s="6">
        <v>0</v>
      </c>
      <c r="F2" s="6" t="str">
        <f t="shared" ref="F2:F65" si="1">IF(AND(E2&gt;=5,E2&lt;8),"Early Morning", IF(AND(E2&gt;=8,E2&lt;12),"Morning", IF(AND(E2&gt;=12,E2&lt;17),"Afternoon", IF(AND(E2&gt;=17,E2&lt;21),"Evening","Night"))))</f>
        <v>Night</v>
      </c>
      <c r="G2" s="6" t="b">
        <v>0</v>
      </c>
      <c r="H2" s="6">
        <f t="shared" ref="H2:H65" si="2">IF(G2=FALSE,0,IF(G2=TRUE,1))</f>
        <v>0</v>
      </c>
      <c r="I2" s="6">
        <v>6</v>
      </c>
      <c r="J2" s="6" t="str">
        <f t="shared" ref="J2:J65" si="3">TEXT(B2,"dddd")</f>
        <v>Saturday</v>
      </c>
      <c r="K2" s="6">
        <f t="shared" ref="K2:K65" si="4">IF(OR(J2="Saturday",J2="Sunday"),1,0)</f>
        <v>1</v>
      </c>
      <c r="L2" s="6">
        <v>1</v>
      </c>
      <c r="M2" s="6" t="str">
        <f t="shared" ref="M2:M65" si="5">IF(L2=0,"clear sky",IF(L2=1,"Partly cloudy",IF(L2=2,"Cloudy",IF(L2=3,"Light rain",IF(L2=4,"Heavy rain")))))</f>
        <v>Partly cloudy</v>
      </c>
      <c r="N2" s="8">
        <v>0.24</v>
      </c>
      <c r="O2" s="8">
        <v>0.28789999999999999</v>
      </c>
      <c r="P2" s="8">
        <v>0.81</v>
      </c>
      <c r="Q2" s="8">
        <v>0</v>
      </c>
      <c r="R2" s="6">
        <v>3</v>
      </c>
      <c r="S2" s="6">
        <v>13</v>
      </c>
      <c r="T2" s="6">
        <v>16</v>
      </c>
      <c r="U2" s="8">
        <f t="shared" ref="U2:U65" si="6">(R2-$AA$7)/$AA$9</f>
        <v>-0.25131154419783963</v>
      </c>
      <c r="V2" s="8" t="str">
        <f t="shared" ref="V2:V65" si="7">IF(ABS(U2)&gt;2,"Peak","Normal")</f>
        <v>Normal</v>
      </c>
      <c r="W2" s="8">
        <f t="shared" ref="W2:W65" si="8">(S2-$AA$11)/$AA$13</f>
        <v>-0.84317507881823806</v>
      </c>
      <c r="X2" s="8" t="str">
        <f t="shared" ref="X2:X65" si="9">IF(ABS(W2)&gt;2,"Peak","Normal")</f>
        <v>Normal</v>
      </c>
    </row>
    <row r="3" spans="1:27" x14ac:dyDescent="0.25">
      <c r="A3" s="6">
        <v>2</v>
      </c>
      <c r="B3" s="7">
        <v>40544</v>
      </c>
      <c r="C3" s="6">
        <v>1</v>
      </c>
      <c r="D3" s="6" t="str">
        <f t="shared" si="0"/>
        <v>january</v>
      </c>
      <c r="E3" s="6">
        <v>1</v>
      </c>
      <c r="F3" s="6" t="str">
        <f t="shared" si="1"/>
        <v>Night</v>
      </c>
      <c r="G3" s="6" t="b">
        <v>0</v>
      </c>
      <c r="H3" s="6">
        <f t="shared" si="2"/>
        <v>0</v>
      </c>
      <c r="I3" s="6">
        <v>6</v>
      </c>
      <c r="J3" s="6" t="str">
        <f t="shared" si="3"/>
        <v>Saturday</v>
      </c>
      <c r="K3" s="6">
        <f t="shared" si="4"/>
        <v>1</v>
      </c>
      <c r="L3" s="6">
        <v>1</v>
      </c>
      <c r="M3" s="6" t="str">
        <f t="shared" si="5"/>
        <v>Partly cloudy</v>
      </c>
      <c r="N3" s="8">
        <v>0.22</v>
      </c>
      <c r="O3" s="8">
        <v>0.2727</v>
      </c>
      <c r="P3" s="8">
        <v>0.8</v>
      </c>
      <c r="Q3" s="8">
        <v>0</v>
      </c>
      <c r="R3" s="6">
        <v>8</v>
      </c>
      <c r="S3" s="6">
        <v>32</v>
      </c>
      <c r="T3" s="6">
        <v>40</v>
      </c>
      <c r="U3" s="8">
        <f t="shared" si="6"/>
        <v>0.40280491649409061</v>
      </c>
      <c r="V3" s="8" t="str">
        <f t="shared" si="7"/>
        <v>Normal</v>
      </c>
      <c r="W3" s="8">
        <f t="shared" si="8"/>
        <v>-0.44646541144467689</v>
      </c>
      <c r="X3" s="8" t="str">
        <f t="shared" si="9"/>
        <v>Normal</v>
      </c>
    </row>
    <row r="4" spans="1:27" x14ac:dyDescent="0.25">
      <c r="A4" s="6">
        <v>3</v>
      </c>
      <c r="B4" s="7">
        <v>40544</v>
      </c>
      <c r="C4" s="6">
        <v>1</v>
      </c>
      <c r="D4" s="6" t="str">
        <f t="shared" si="0"/>
        <v>january</v>
      </c>
      <c r="E4" s="6">
        <v>2</v>
      </c>
      <c r="F4" s="6" t="str">
        <f t="shared" si="1"/>
        <v>Night</v>
      </c>
      <c r="G4" s="6" t="b">
        <v>0</v>
      </c>
      <c r="H4" s="6">
        <f t="shared" si="2"/>
        <v>0</v>
      </c>
      <c r="I4" s="6">
        <v>6</v>
      </c>
      <c r="J4" s="6" t="str">
        <f t="shared" si="3"/>
        <v>Saturday</v>
      </c>
      <c r="K4" s="6">
        <f t="shared" si="4"/>
        <v>1</v>
      </c>
      <c r="L4" s="6">
        <v>1</v>
      </c>
      <c r="M4" s="6" t="str">
        <f t="shared" si="5"/>
        <v>Partly cloudy</v>
      </c>
      <c r="N4" s="8">
        <v>0.22</v>
      </c>
      <c r="O4" s="8">
        <v>0.2727</v>
      </c>
      <c r="P4" s="8">
        <v>0.8</v>
      </c>
      <c r="Q4" s="8">
        <v>0</v>
      </c>
      <c r="R4" s="6">
        <v>5</v>
      </c>
      <c r="S4" s="6">
        <v>27</v>
      </c>
      <c r="T4" s="6">
        <v>32</v>
      </c>
      <c r="U4" s="8">
        <f t="shared" si="6"/>
        <v>1.0335040078932463E-2</v>
      </c>
      <c r="V4" s="8" t="str">
        <f t="shared" si="7"/>
        <v>Normal</v>
      </c>
      <c r="W4" s="8">
        <f t="shared" si="8"/>
        <v>-0.55086269233245611</v>
      </c>
      <c r="X4" s="8" t="str">
        <f t="shared" si="9"/>
        <v>Normal</v>
      </c>
    </row>
    <row r="5" spans="1:27" x14ac:dyDescent="0.25">
      <c r="A5" s="6">
        <v>4</v>
      </c>
      <c r="B5" s="7">
        <v>40544</v>
      </c>
      <c r="C5" s="6">
        <v>1</v>
      </c>
      <c r="D5" s="6" t="str">
        <f t="shared" si="0"/>
        <v>january</v>
      </c>
      <c r="E5" s="6">
        <v>3</v>
      </c>
      <c r="F5" s="6" t="str">
        <f t="shared" si="1"/>
        <v>Night</v>
      </c>
      <c r="G5" s="6" t="b">
        <v>0</v>
      </c>
      <c r="H5" s="6">
        <f t="shared" si="2"/>
        <v>0</v>
      </c>
      <c r="I5" s="6">
        <v>6</v>
      </c>
      <c r="J5" s="6" t="str">
        <f t="shared" si="3"/>
        <v>Saturday</v>
      </c>
      <c r="K5" s="6">
        <f t="shared" si="4"/>
        <v>1</v>
      </c>
      <c r="L5" s="6">
        <v>1</v>
      </c>
      <c r="M5" s="6" t="str">
        <f t="shared" si="5"/>
        <v>Partly cloudy</v>
      </c>
      <c r="N5" s="8">
        <v>0.24</v>
      </c>
      <c r="O5" s="8">
        <v>0.28789999999999999</v>
      </c>
      <c r="P5" s="8">
        <v>0.75</v>
      </c>
      <c r="Q5" s="8">
        <v>0</v>
      </c>
      <c r="R5" s="6">
        <v>3</v>
      </c>
      <c r="S5" s="6">
        <v>10</v>
      </c>
      <c r="T5" s="6">
        <v>13</v>
      </c>
      <c r="U5" s="8">
        <f t="shared" si="6"/>
        <v>-0.25131154419783963</v>
      </c>
      <c r="V5" s="8" t="str">
        <f t="shared" si="7"/>
        <v>Normal</v>
      </c>
      <c r="W5" s="8">
        <f t="shared" si="8"/>
        <v>-0.90581344735090563</v>
      </c>
      <c r="X5" s="8" t="str">
        <f t="shared" si="9"/>
        <v>Normal</v>
      </c>
    </row>
    <row r="6" spans="1:27" x14ac:dyDescent="0.25">
      <c r="A6" s="6">
        <v>5</v>
      </c>
      <c r="B6" s="7">
        <v>40544</v>
      </c>
      <c r="C6" s="6">
        <v>1</v>
      </c>
      <c r="D6" s="6" t="str">
        <f t="shared" si="0"/>
        <v>january</v>
      </c>
      <c r="E6" s="6">
        <v>4</v>
      </c>
      <c r="F6" s="6" t="str">
        <f t="shared" si="1"/>
        <v>Night</v>
      </c>
      <c r="G6" s="6" t="b">
        <v>0</v>
      </c>
      <c r="H6" s="6">
        <f t="shared" si="2"/>
        <v>0</v>
      </c>
      <c r="I6" s="6">
        <v>6</v>
      </c>
      <c r="J6" s="6" t="str">
        <f t="shared" si="3"/>
        <v>Saturday</v>
      </c>
      <c r="K6" s="6">
        <f t="shared" si="4"/>
        <v>1</v>
      </c>
      <c r="L6" s="6">
        <v>1</v>
      </c>
      <c r="M6" s="6" t="str">
        <f t="shared" si="5"/>
        <v>Partly cloudy</v>
      </c>
      <c r="N6" s="8">
        <v>0.24</v>
      </c>
      <c r="O6" s="8">
        <v>0.28789999999999999</v>
      </c>
      <c r="P6" s="8">
        <v>0.75</v>
      </c>
      <c r="Q6" s="8">
        <v>0</v>
      </c>
      <c r="R6" s="6">
        <v>0</v>
      </c>
      <c r="S6" s="6">
        <v>1</v>
      </c>
      <c r="T6" s="6">
        <v>1</v>
      </c>
      <c r="U6" s="8">
        <f t="shared" si="6"/>
        <v>-0.64378142061299781</v>
      </c>
      <c r="V6" s="8" t="str">
        <f t="shared" si="7"/>
        <v>Normal</v>
      </c>
      <c r="W6" s="8">
        <f t="shared" si="8"/>
        <v>-1.0937285529489083</v>
      </c>
      <c r="X6" s="8" t="str">
        <f t="shared" si="9"/>
        <v>Normal</v>
      </c>
      <c r="AA6" t="s">
        <v>27</v>
      </c>
    </row>
    <row r="7" spans="1:27" x14ac:dyDescent="0.25">
      <c r="A7" s="6">
        <v>6</v>
      </c>
      <c r="B7" s="7">
        <v>40544</v>
      </c>
      <c r="C7" s="6">
        <v>1</v>
      </c>
      <c r="D7" s="6" t="str">
        <f t="shared" si="0"/>
        <v>january</v>
      </c>
      <c r="E7" s="6">
        <v>5</v>
      </c>
      <c r="F7" s="6" t="str">
        <f t="shared" si="1"/>
        <v>Early Morning</v>
      </c>
      <c r="G7" s="6" t="b">
        <v>0</v>
      </c>
      <c r="H7" s="6">
        <f t="shared" si="2"/>
        <v>0</v>
      </c>
      <c r="I7" s="6">
        <v>6</v>
      </c>
      <c r="J7" s="6" t="str">
        <f t="shared" si="3"/>
        <v>Saturday</v>
      </c>
      <c r="K7" s="6">
        <f t="shared" si="4"/>
        <v>1</v>
      </c>
      <c r="L7" s="6">
        <v>2</v>
      </c>
      <c r="M7" s="6" t="str">
        <f t="shared" si="5"/>
        <v>Cloudy</v>
      </c>
      <c r="N7" s="8">
        <v>0.24</v>
      </c>
      <c r="O7" s="8">
        <v>0.2576</v>
      </c>
      <c r="P7" s="8">
        <v>0.75</v>
      </c>
      <c r="Q7" s="8">
        <v>8.9599999999999999E-2</v>
      </c>
      <c r="R7" s="6">
        <v>0</v>
      </c>
      <c r="S7" s="6">
        <v>1</v>
      </c>
      <c r="T7" s="6">
        <v>1</v>
      </c>
      <c r="U7" s="8">
        <f t="shared" si="6"/>
        <v>-0.64378142061299781</v>
      </c>
      <c r="V7" s="8" t="str">
        <f t="shared" si="7"/>
        <v>Normal</v>
      </c>
      <c r="W7" s="8">
        <f t="shared" si="8"/>
        <v>-1.0937285529489083</v>
      </c>
      <c r="X7" s="8" t="str">
        <f t="shared" si="9"/>
        <v>Normal</v>
      </c>
      <c r="AA7" s="5">
        <f>AVERAGE(Append1[casual])</f>
        <v>4.9210000000000003</v>
      </c>
    </row>
    <row r="8" spans="1:27" x14ac:dyDescent="0.25">
      <c r="A8" s="6">
        <v>7</v>
      </c>
      <c r="B8" s="7">
        <v>40544</v>
      </c>
      <c r="C8" s="6">
        <v>1</v>
      </c>
      <c r="D8" s="6" t="str">
        <f t="shared" si="0"/>
        <v>january</v>
      </c>
      <c r="E8" s="6">
        <v>6</v>
      </c>
      <c r="F8" s="6" t="str">
        <f t="shared" si="1"/>
        <v>Early Morning</v>
      </c>
      <c r="G8" s="6" t="b">
        <v>0</v>
      </c>
      <c r="H8" s="6">
        <f t="shared" si="2"/>
        <v>0</v>
      </c>
      <c r="I8" s="6">
        <v>6</v>
      </c>
      <c r="J8" s="6" t="str">
        <f t="shared" si="3"/>
        <v>Saturday</v>
      </c>
      <c r="K8" s="6">
        <f t="shared" si="4"/>
        <v>1</v>
      </c>
      <c r="L8" s="6">
        <v>1</v>
      </c>
      <c r="M8" s="6" t="str">
        <f t="shared" si="5"/>
        <v>Partly cloudy</v>
      </c>
      <c r="N8" s="8">
        <v>0.22</v>
      </c>
      <c r="O8" s="8">
        <v>0.2727</v>
      </c>
      <c r="P8" s="8">
        <v>0.8</v>
      </c>
      <c r="Q8" s="8">
        <v>0</v>
      </c>
      <c r="R8" s="6">
        <v>2</v>
      </c>
      <c r="S8" s="6">
        <v>0</v>
      </c>
      <c r="T8" s="6">
        <v>2</v>
      </c>
      <c r="U8" s="8">
        <f t="shared" si="6"/>
        <v>-0.38213483633622569</v>
      </c>
      <c r="V8" s="8" t="str">
        <f t="shared" si="7"/>
        <v>Normal</v>
      </c>
      <c r="W8" s="8">
        <f t="shared" si="8"/>
        <v>-1.1146080091264643</v>
      </c>
      <c r="X8" s="8" t="str">
        <f t="shared" si="9"/>
        <v>Normal</v>
      </c>
      <c r="AA8" t="s">
        <v>28</v>
      </c>
    </row>
    <row r="9" spans="1:27" x14ac:dyDescent="0.25">
      <c r="A9" s="6">
        <v>8</v>
      </c>
      <c r="B9" s="7">
        <v>40544</v>
      </c>
      <c r="C9" s="6">
        <v>1</v>
      </c>
      <c r="D9" s="6" t="str">
        <f t="shared" si="0"/>
        <v>january</v>
      </c>
      <c r="E9" s="6">
        <v>7</v>
      </c>
      <c r="F9" s="6" t="str">
        <f t="shared" si="1"/>
        <v>Early Morning</v>
      </c>
      <c r="G9" s="6" t="b">
        <v>0</v>
      </c>
      <c r="H9" s="6">
        <f t="shared" si="2"/>
        <v>0</v>
      </c>
      <c r="I9" s="6">
        <v>6</v>
      </c>
      <c r="J9" s="6" t="str">
        <f t="shared" si="3"/>
        <v>Saturday</v>
      </c>
      <c r="K9" s="6">
        <f t="shared" si="4"/>
        <v>1</v>
      </c>
      <c r="L9" s="6">
        <v>1</v>
      </c>
      <c r="M9" s="6" t="str">
        <f t="shared" si="5"/>
        <v>Partly cloudy</v>
      </c>
      <c r="N9" s="8">
        <v>0.2</v>
      </c>
      <c r="O9" s="8">
        <v>0.2576</v>
      </c>
      <c r="P9" s="8">
        <v>0.86</v>
      </c>
      <c r="Q9" s="8">
        <v>0</v>
      </c>
      <c r="R9" s="6">
        <v>1</v>
      </c>
      <c r="S9" s="6">
        <v>2</v>
      </c>
      <c r="T9" s="6">
        <v>3</v>
      </c>
      <c r="U9" s="8">
        <f t="shared" si="6"/>
        <v>-0.51295812847461175</v>
      </c>
      <c r="V9" s="8" t="str">
        <f t="shared" si="7"/>
        <v>Normal</v>
      </c>
      <c r="W9" s="8">
        <f t="shared" si="8"/>
        <v>-1.0728490967713524</v>
      </c>
      <c r="X9" s="8" t="str">
        <f t="shared" si="9"/>
        <v>Normal</v>
      </c>
      <c r="AA9" s="5">
        <f>_xlfn.STDEV.S(Append1[casual])</f>
        <v>7.6438987557520797</v>
      </c>
    </row>
    <row r="10" spans="1:27" x14ac:dyDescent="0.25">
      <c r="A10" s="6">
        <v>9</v>
      </c>
      <c r="B10" s="7">
        <v>40544</v>
      </c>
      <c r="C10" s="6">
        <v>1</v>
      </c>
      <c r="D10" s="6" t="str">
        <f t="shared" si="0"/>
        <v>january</v>
      </c>
      <c r="E10" s="6">
        <v>8</v>
      </c>
      <c r="F10" s="6" t="str">
        <f t="shared" si="1"/>
        <v>Morning</v>
      </c>
      <c r="G10" s="6" t="b">
        <v>0</v>
      </c>
      <c r="H10" s="6">
        <f t="shared" si="2"/>
        <v>0</v>
      </c>
      <c r="I10" s="6">
        <v>6</v>
      </c>
      <c r="J10" s="6" t="str">
        <f t="shared" si="3"/>
        <v>Saturday</v>
      </c>
      <c r="K10" s="6">
        <f t="shared" si="4"/>
        <v>1</v>
      </c>
      <c r="L10" s="6">
        <v>1</v>
      </c>
      <c r="M10" s="6" t="str">
        <f t="shared" si="5"/>
        <v>Partly cloudy</v>
      </c>
      <c r="N10" s="8">
        <v>0.24</v>
      </c>
      <c r="O10" s="8">
        <f>AVERAGE(Table2[atemp])</f>
        <v>0.19993489147704935</v>
      </c>
      <c r="P10" s="8">
        <v>0.75</v>
      </c>
      <c r="Q10" s="8">
        <v>0</v>
      </c>
      <c r="R10" s="6">
        <v>1</v>
      </c>
      <c r="S10" s="6">
        <v>7</v>
      </c>
      <c r="T10" s="6">
        <v>8</v>
      </c>
      <c r="U10" s="8">
        <f t="shared" si="6"/>
        <v>-0.51295812847461175</v>
      </c>
      <c r="V10" s="8" t="str">
        <f t="shared" si="7"/>
        <v>Normal</v>
      </c>
      <c r="W10" s="8">
        <f t="shared" si="8"/>
        <v>-0.96845181588357321</v>
      </c>
      <c r="X10" s="8" t="str">
        <f t="shared" si="9"/>
        <v>Normal</v>
      </c>
      <c r="AA10" t="s">
        <v>29</v>
      </c>
    </row>
    <row r="11" spans="1:27" x14ac:dyDescent="0.25">
      <c r="A11" s="6">
        <v>10</v>
      </c>
      <c r="B11" s="7">
        <v>40544</v>
      </c>
      <c r="C11" s="6">
        <v>1</v>
      </c>
      <c r="D11" s="6" t="str">
        <f t="shared" si="0"/>
        <v>january</v>
      </c>
      <c r="E11" s="6">
        <v>9</v>
      </c>
      <c r="F11" s="6" t="str">
        <f t="shared" si="1"/>
        <v>Morning</v>
      </c>
      <c r="G11" s="6" t="b">
        <v>0</v>
      </c>
      <c r="H11" s="6">
        <f t="shared" si="2"/>
        <v>0</v>
      </c>
      <c r="I11" s="6">
        <v>6</v>
      </c>
      <c r="J11" s="6" t="str">
        <f t="shared" si="3"/>
        <v>Saturday</v>
      </c>
      <c r="K11" s="6">
        <f t="shared" si="4"/>
        <v>1</v>
      </c>
      <c r="L11" s="6">
        <v>1</v>
      </c>
      <c r="M11" s="6" t="str">
        <f t="shared" si="5"/>
        <v>Partly cloudy</v>
      </c>
      <c r="N11" s="8">
        <v>0.32</v>
      </c>
      <c r="O11" s="8">
        <v>0.34849999999999998</v>
      </c>
      <c r="P11" s="8">
        <v>0.76</v>
      </c>
      <c r="Q11" s="8">
        <v>0</v>
      </c>
      <c r="R11" s="6">
        <v>8</v>
      </c>
      <c r="S11" s="6">
        <v>6</v>
      </c>
      <c r="T11" s="6">
        <v>14</v>
      </c>
      <c r="U11" s="8">
        <f t="shared" si="6"/>
        <v>0.40280491649409061</v>
      </c>
      <c r="V11" s="8" t="str">
        <f t="shared" si="7"/>
        <v>Normal</v>
      </c>
      <c r="W11" s="8">
        <f t="shared" si="8"/>
        <v>-0.98933127206112903</v>
      </c>
      <c r="X11" s="8" t="str">
        <f t="shared" si="9"/>
        <v>Normal</v>
      </c>
      <c r="AA11" s="5">
        <f>AVERAGE(Append1[registered])</f>
        <v>53.383000000000003</v>
      </c>
    </row>
    <row r="12" spans="1:27" x14ac:dyDescent="0.25">
      <c r="A12" s="6">
        <v>11</v>
      </c>
      <c r="B12" s="7">
        <v>40544</v>
      </c>
      <c r="C12" s="6">
        <v>1</v>
      </c>
      <c r="D12" s="6" t="str">
        <f t="shared" si="0"/>
        <v>january</v>
      </c>
      <c r="E12" s="6">
        <v>10</v>
      </c>
      <c r="F12" s="6" t="str">
        <f t="shared" si="1"/>
        <v>Morning</v>
      </c>
      <c r="G12" s="6" t="b">
        <v>0</v>
      </c>
      <c r="H12" s="6">
        <f t="shared" si="2"/>
        <v>0</v>
      </c>
      <c r="I12" s="6">
        <v>6</v>
      </c>
      <c r="J12" s="6" t="str">
        <f t="shared" si="3"/>
        <v>Saturday</v>
      </c>
      <c r="K12" s="6">
        <f t="shared" si="4"/>
        <v>1</v>
      </c>
      <c r="L12" s="6">
        <v>1</v>
      </c>
      <c r="M12" s="6" t="str">
        <f t="shared" si="5"/>
        <v>Partly cloudy</v>
      </c>
      <c r="N12" s="8">
        <v>0.38</v>
      </c>
      <c r="O12" s="8">
        <v>0.39389999999999997</v>
      </c>
      <c r="P12" s="8">
        <v>0.76</v>
      </c>
      <c r="Q12" s="8">
        <v>0.25369999999999998</v>
      </c>
      <c r="R12" s="6">
        <v>12</v>
      </c>
      <c r="S12" s="6">
        <v>24</v>
      </c>
      <c r="T12" s="6">
        <v>36</v>
      </c>
      <c r="U12" s="8">
        <f t="shared" si="6"/>
        <v>0.92609808504763491</v>
      </c>
      <c r="V12" s="8" t="str">
        <f t="shared" si="7"/>
        <v>Normal</v>
      </c>
      <c r="W12" s="8">
        <f t="shared" si="8"/>
        <v>-0.61350106086512368</v>
      </c>
      <c r="X12" s="8" t="str">
        <f t="shared" si="9"/>
        <v>Normal</v>
      </c>
      <c r="AA12" s="5" t="s">
        <v>30</v>
      </c>
    </row>
    <row r="13" spans="1:27" x14ac:dyDescent="0.25">
      <c r="A13" s="6">
        <v>12</v>
      </c>
      <c r="B13" s="7">
        <v>40544</v>
      </c>
      <c r="C13" s="6">
        <v>1</v>
      </c>
      <c r="D13" s="6" t="str">
        <f t="shared" si="0"/>
        <v>january</v>
      </c>
      <c r="E13" s="6">
        <v>11</v>
      </c>
      <c r="F13" s="6" t="str">
        <f t="shared" si="1"/>
        <v>Morning</v>
      </c>
      <c r="G13" s="6" t="b">
        <v>0</v>
      </c>
      <c r="H13" s="6">
        <f t="shared" si="2"/>
        <v>0</v>
      </c>
      <c r="I13" s="6">
        <v>6</v>
      </c>
      <c r="J13" s="6" t="str">
        <f t="shared" si="3"/>
        <v>Saturday</v>
      </c>
      <c r="K13" s="6">
        <f t="shared" si="4"/>
        <v>1</v>
      </c>
      <c r="L13" s="6">
        <v>1</v>
      </c>
      <c r="M13" s="6" t="str">
        <f t="shared" si="5"/>
        <v>Partly cloudy</v>
      </c>
      <c r="N13" s="8">
        <v>0.36</v>
      </c>
      <c r="O13" s="8">
        <v>0.33329999999999999</v>
      </c>
      <c r="P13" s="8">
        <v>0.81</v>
      </c>
      <c r="Q13" s="8">
        <v>0.28360000000000002</v>
      </c>
      <c r="R13" s="6">
        <v>26</v>
      </c>
      <c r="S13" s="6">
        <v>30</v>
      </c>
      <c r="T13" s="6">
        <v>56</v>
      </c>
      <c r="U13" s="8">
        <f t="shared" si="6"/>
        <v>2.7576241749850396</v>
      </c>
      <c r="V13" s="8" t="str">
        <f t="shared" si="7"/>
        <v>Peak</v>
      </c>
      <c r="W13" s="8">
        <f t="shared" si="8"/>
        <v>-0.48822432379978858</v>
      </c>
      <c r="X13" s="8" t="str">
        <f t="shared" si="9"/>
        <v>Normal</v>
      </c>
      <c r="AA13" s="5">
        <f>_xlfn.STDEV.S(Append1[registered])</f>
        <v>47.893967711426278</v>
      </c>
    </row>
    <row r="14" spans="1:27" x14ac:dyDescent="0.25">
      <c r="A14" s="6">
        <v>13</v>
      </c>
      <c r="B14" s="7">
        <v>40544</v>
      </c>
      <c r="C14" s="6">
        <v>1</v>
      </c>
      <c r="D14" s="6" t="str">
        <f t="shared" si="0"/>
        <v>january</v>
      </c>
      <c r="E14" s="6">
        <v>12</v>
      </c>
      <c r="F14" s="6" t="str">
        <f t="shared" si="1"/>
        <v>Afternoon</v>
      </c>
      <c r="G14" s="6" t="b">
        <v>0</v>
      </c>
      <c r="H14" s="6">
        <f t="shared" si="2"/>
        <v>0</v>
      </c>
      <c r="I14" s="6">
        <v>6</v>
      </c>
      <c r="J14" s="6" t="str">
        <f t="shared" si="3"/>
        <v>Saturday</v>
      </c>
      <c r="K14" s="6">
        <f t="shared" si="4"/>
        <v>1</v>
      </c>
      <c r="L14" s="6">
        <v>1</v>
      </c>
      <c r="M14" s="6" t="str">
        <f t="shared" si="5"/>
        <v>Partly cloudy</v>
      </c>
      <c r="N14" s="8">
        <v>0.42</v>
      </c>
      <c r="O14" s="8">
        <v>0.42420000000000002</v>
      </c>
      <c r="P14" s="8">
        <v>0.77</v>
      </c>
      <c r="Q14" s="8">
        <v>0.28360000000000002</v>
      </c>
      <c r="R14" s="6">
        <v>29</v>
      </c>
      <c r="S14" s="6">
        <v>55</v>
      </c>
      <c r="T14" s="6">
        <v>84</v>
      </c>
      <c r="U14" s="8">
        <f t="shared" si="6"/>
        <v>3.150094051400198</v>
      </c>
      <c r="V14" s="8" t="str">
        <f t="shared" si="7"/>
        <v>Peak</v>
      </c>
      <c r="W14" s="8">
        <f t="shared" si="8"/>
        <v>3.376208063910776E-2</v>
      </c>
      <c r="X14" s="8" t="str">
        <f t="shared" si="9"/>
        <v>Normal</v>
      </c>
      <c r="AA14" s="5"/>
    </row>
    <row r="15" spans="1:27" x14ac:dyDescent="0.25">
      <c r="A15" s="6">
        <v>14</v>
      </c>
      <c r="B15" s="7">
        <v>40544</v>
      </c>
      <c r="C15" s="6">
        <v>1</v>
      </c>
      <c r="D15" s="6" t="str">
        <f t="shared" si="0"/>
        <v>january</v>
      </c>
      <c r="E15" s="6">
        <v>13</v>
      </c>
      <c r="F15" s="6" t="str">
        <f t="shared" si="1"/>
        <v>Afternoon</v>
      </c>
      <c r="G15" s="6" t="b">
        <v>0</v>
      </c>
      <c r="H15" s="6">
        <f t="shared" si="2"/>
        <v>0</v>
      </c>
      <c r="I15" s="6">
        <v>6</v>
      </c>
      <c r="J15" s="6" t="str">
        <f t="shared" si="3"/>
        <v>Saturday</v>
      </c>
      <c r="K15" s="6">
        <f t="shared" si="4"/>
        <v>1</v>
      </c>
      <c r="L15" s="6">
        <v>2</v>
      </c>
      <c r="M15" s="6" t="str">
        <f t="shared" si="5"/>
        <v>Cloudy</v>
      </c>
      <c r="N15" s="8">
        <v>0.46</v>
      </c>
      <c r="O15" s="8">
        <v>0.45450000000000002</v>
      </c>
      <c r="P15" s="8">
        <v>0.72</v>
      </c>
      <c r="Q15" s="8">
        <v>0.29849999999999999</v>
      </c>
      <c r="R15" s="6">
        <v>47</v>
      </c>
      <c r="S15" s="6">
        <v>47</v>
      </c>
      <c r="T15" s="6">
        <v>94</v>
      </c>
      <c r="U15" s="8">
        <f t="shared" si="6"/>
        <v>5.5049133098911467</v>
      </c>
      <c r="V15" s="8" t="str">
        <f t="shared" si="7"/>
        <v>Peak</v>
      </c>
      <c r="W15" s="8">
        <f t="shared" si="8"/>
        <v>-0.13327356878133906</v>
      </c>
      <c r="X15" s="8" t="str">
        <f t="shared" si="9"/>
        <v>Normal</v>
      </c>
    </row>
    <row r="16" spans="1:27" x14ac:dyDescent="0.25">
      <c r="A16" s="6">
        <v>15</v>
      </c>
      <c r="B16" s="7">
        <v>40544</v>
      </c>
      <c r="C16" s="6">
        <v>1</v>
      </c>
      <c r="D16" s="6" t="str">
        <f t="shared" si="0"/>
        <v>january</v>
      </c>
      <c r="E16" s="6">
        <v>14</v>
      </c>
      <c r="F16" s="6" t="str">
        <f t="shared" si="1"/>
        <v>Afternoon</v>
      </c>
      <c r="G16" s="6" t="b">
        <v>0</v>
      </c>
      <c r="H16" s="6">
        <f t="shared" si="2"/>
        <v>0</v>
      </c>
      <c r="I16" s="6">
        <v>6</v>
      </c>
      <c r="J16" s="6" t="str">
        <f t="shared" si="3"/>
        <v>Saturday</v>
      </c>
      <c r="K16" s="6">
        <f t="shared" si="4"/>
        <v>1</v>
      </c>
      <c r="L16" s="6">
        <v>2</v>
      </c>
      <c r="M16" s="6" t="str">
        <f t="shared" si="5"/>
        <v>Cloudy</v>
      </c>
      <c r="N16" s="8">
        <v>0.46</v>
      </c>
      <c r="O16" s="8">
        <v>0.45450000000000002</v>
      </c>
      <c r="P16" s="8">
        <v>0.72</v>
      </c>
      <c r="Q16" s="8">
        <v>0.28360000000000002</v>
      </c>
      <c r="R16" s="6">
        <v>35</v>
      </c>
      <c r="S16" s="6">
        <v>71</v>
      </c>
      <c r="T16" s="6">
        <v>106</v>
      </c>
      <c r="U16" s="8">
        <f t="shared" si="6"/>
        <v>3.9350338042305144</v>
      </c>
      <c r="V16" s="8" t="str">
        <f t="shared" si="7"/>
        <v>Peak</v>
      </c>
      <c r="W16" s="8">
        <f t="shared" si="8"/>
        <v>0.36783337948000144</v>
      </c>
      <c r="X16" s="8" t="str">
        <f t="shared" si="9"/>
        <v>Normal</v>
      </c>
    </row>
    <row r="17" spans="1:24" x14ac:dyDescent="0.25">
      <c r="A17" s="6">
        <v>16</v>
      </c>
      <c r="B17" s="7">
        <v>40544</v>
      </c>
      <c r="C17" s="6">
        <v>1</v>
      </c>
      <c r="D17" s="6" t="str">
        <f t="shared" si="0"/>
        <v>january</v>
      </c>
      <c r="E17" s="6">
        <v>15</v>
      </c>
      <c r="F17" s="6" t="str">
        <f t="shared" si="1"/>
        <v>Afternoon</v>
      </c>
      <c r="G17" s="6" t="b">
        <v>0</v>
      </c>
      <c r="H17" s="6">
        <f t="shared" si="2"/>
        <v>0</v>
      </c>
      <c r="I17" s="6">
        <v>6</v>
      </c>
      <c r="J17" s="6" t="str">
        <f t="shared" si="3"/>
        <v>Saturday</v>
      </c>
      <c r="K17" s="6">
        <f t="shared" si="4"/>
        <v>1</v>
      </c>
      <c r="L17" s="6">
        <v>2</v>
      </c>
      <c r="M17" s="6" t="str">
        <f t="shared" si="5"/>
        <v>Cloudy</v>
      </c>
      <c r="N17" s="8">
        <v>0.44</v>
      </c>
      <c r="O17" s="8">
        <v>0.43940000000000001</v>
      </c>
      <c r="P17" s="8">
        <v>0.77</v>
      </c>
      <c r="Q17" s="8">
        <v>0.29849999999999999</v>
      </c>
      <c r="R17" s="6">
        <v>40</v>
      </c>
      <c r="S17" s="6">
        <v>70</v>
      </c>
      <c r="T17" s="6">
        <v>110</v>
      </c>
      <c r="U17" s="8">
        <f t="shared" si="6"/>
        <v>4.5891502649224449</v>
      </c>
      <c r="V17" s="8" t="str">
        <f t="shared" si="7"/>
        <v>Peak</v>
      </c>
      <c r="W17" s="8">
        <f t="shared" si="8"/>
        <v>0.34695392330244557</v>
      </c>
      <c r="X17" s="8" t="str">
        <f t="shared" si="9"/>
        <v>Normal</v>
      </c>
    </row>
    <row r="18" spans="1:24" x14ac:dyDescent="0.25">
      <c r="A18" s="6">
        <v>17</v>
      </c>
      <c r="B18" s="7">
        <v>40544</v>
      </c>
      <c r="C18" s="6">
        <v>1</v>
      </c>
      <c r="D18" s="6" t="str">
        <f t="shared" si="0"/>
        <v>january</v>
      </c>
      <c r="E18" s="6">
        <v>16</v>
      </c>
      <c r="F18" s="6" t="str">
        <f t="shared" si="1"/>
        <v>Afternoon</v>
      </c>
      <c r="G18" s="6" t="b">
        <v>0</v>
      </c>
      <c r="H18" s="6">
        <f t="shared" si="2"/>
        <v>0</v>
      </c>
      <c r="I18" s="6">
        <v>6</v>
      </c>
      <c r="J18" s="6" t="str">
        <f t="shared" si="3"/>
        <v>Saturday</v>
      </c>
      <c r="K18" s="6">
        <f t="shared" si="4"/>
        <v>1</v>
      </c>
      <c r="L18" s="6">
        <v>2</v>
      </c>
      <c r="M18" s="6" t="str">
        <f t="shared" si="5"/>
        <v>Cloudy</v>
      </c>
      <c r="N18" s="8">
        <v>0.42</v>
      </c>
      <c r="O18" s="8">
        <v>0.42420000000000002</v>
      </c>
      <c r="P18" s="8">
        <v>0.82</v>
      </c>
      <c r="Q18" s="8">
        <v>0.29849999999999999</v>
      </c>
      <c r="R18" s="6">
        <v>41</v>
      </c>
      <c r="S18" s="6">
        <v>52</v>
      </c>
      <c r="T18" s="6">
        <v>93</v>
      </c>
      <c r="U18" s="8">
        <f t="shared" si="6"/>
        <v>4.7199735570608308</v>
      </c>
      <c r="V18" s="8" t="str">
        <f t="shared" si="7"/>
        <v>Peak</v>
      </c>
      <c r="W18" s="8">
        <f t="shared" si="8"/>
        <v>-2.8876287893559803E-2</v>
      </c>
      <c r="X18" s="8" t="str">
        <f t="shared" si="9"/>
        <v>Normal</v>
      </c>
    </row>
    <row r="19" spans="1:24" x14ac:dyDescent="0.25">
      <c r="A19" s="6">
        <v>18</v>
      </c>
      <c r="B19" s="7">
        <v>40544</v>
      </c>
      <c r="C19" s="6">
        <v>1</v>
      </c>
      <c r="D19" s="6" t="str">
        <f t="shared" si="0"/>
        <v>january</v>
      </c>
      <c r="E19" s="6">
        <v>17</v>
      </c>
      <c r="F19" s="6" t="str">
        <f t="shared" si="1"/>
        <v>Evening</v>
      </c>
      <c r="G19" s="6" t="b">
        <v>0</v>
      </c>
      <c r="H19" s="6">
        <f t="shared" si="2"/>
        <v>0</v>
      </c>
      <c r="I19" s="6">
        <v>6</v>
      </c>
      <c r="J19" s="6" t="str">
        <f t="shared" si="3"/>
        <v>Saturday</v>
      </c>
      <c r="K19" s="6">
        <f t="shared" si="4"/>
        <v>1</v>
      </c>
      <c r="L19" s="6">
        <v>2</v>
      </c>
      <c r="M19" s="6" t="str">
        <f t="shared" si="5"/>
        <v>Cloudy</v>
      </c>
      <c r="N19" s="8">
        <v>0.44</v>
      </c>
      <c r="O19" s="8">
        <f>AVERAGE(Table2[atemp])</f>
        <v>0.19993489147704935</v>
      </c>
      <c r="P19" s="8">
        <v>0.82</v>
      </c>
      <c r="Q19" s="8">
        <v>0.28360000000000002</v>
      </c>
      <c r="R19" s="6">
        <v>15</v>
      </c>
      <c r="S19" s="6">
        <v>52</v>
      </c>
      <c r="T19" s="6">
        <v>67</v>
      </c>
      <c r="U19" s="8">
        <f t="shared" si="6"/>
        <v>1.3185679614627932</v>
      </c>
      <c r="V19" s="8" t="str">
        <f t="shared" si="7"/>
        <v>Normal</v>
      </c>
      <c r="W19" s="8">
        <f t="shared" si="8"/>
        <v>-2.8876287893559803E-2</v>
      </c>
      <c r="X19" s="8" t="str">
        <f t="shared" si="9"/>
        <v>Normal</v>
      </c>
    </row>
    <row r="20" spans="1:24" x14ac:dyDescent="0.25">
      <c r="A20" s="6">
        <v>19</v>
      </c>
      <c r="B20" s="7">
        <v>40544</v>
      </c>
      <c r="C20" s="6">
        <v>1</v>
      </c>
      <c r="D20" s="6" t="str">
        <f t="shared" si="0"/>
        <v>january</v>
      </c>
      <c r="E20" s="6">
        <v>18</v>
      </c>
      <c r="F20" s="6" t="str">
        <f t="shared" si="1"/>
        <v>Evening</v>
      </c>
      <c r="G20" s="6" t="b">
        <v>0</v>
      </c>
      <c r="H20" s="6">
        <f t="shared" si="2"/>
        <v>0</v>
      </c>
      <c r="I20" s="6">
        <v>6</v>
      </c>
      <c r="J20" s="6" t="str">
        <f t="shared" si="3"/>
        <v>Saturday</v>
      </c>
      <c r="K20" s="6">
        <f t="shared" si="4"/>
        <v>1</v>
      </c>
      <c r="L20" s="6">
        <v>3</v>
      </c>
      <c r="M20" s="6" t="str">
        <f t="shared" si="5"/>
        <v>Light rain</v>
      </c>
      <c r="N20" s="8">
        <v>0.42</v>
      </c>
      <c r="O20" s="8">
        <v>0.42420000000000002</v>
      </c>
      <c r="P20" s="8">
        <v>0.88</v>
      </c>
      <c r="Q20" s="8">
        <v>0.25369999999999998</v>
      </c>
      <c r="R20" s="6">
        <v>9</v>
      </c>
      <c r="S20" s="6">
        <v>26</v>
      </c>
      <c r="T20" s="6">
        <v>35</v>
      </c>
      <c r="U20" s="8">
        <f t="shared" si="6"/>
        <v>0.53362820863247673</v>
      </c>
      <c r="V20" s="8" t="str">
        <f t="shared" si="7"/>
        <v>Normal</v>
      </c>
      <c r="W20" s="8">
        <f t="shared" si="8"/>
        <v>-0.57174214851001204</v>
      </c>
      <c r="X20" s="8" t="str">
        <f t="shared" si="9"/>
        <v>Normal</v>
      </c>
    </row>
    <row r="21" spans="1:24" x14ac:dyDescent="0.25">
      <c r="A21" s="6">
        <v>20</v>
      </c>
      <c r="B21" s="7">
        <v>40544</v>
      </c>
      <c r="C21" s="6">
        <v>1</v>
      </c>
      <c r="D21" s="6" t="str">
        <f t="shared" si="0"/>
        <v>january</v>
      </c>
      <c r="E21" s="6">
        <v>19</v>
      </c>
      <c r="F21" s="6" t="str">
        <f t="shared" si="1"/>
        <v>Evening</v>
      </c>
      <c r="G21" s="6" t="b">
        <v>0</v>
      </c>
      <c r="H21" s="6">
        <f t="shared" si="2"/>
        <v>0</v>
      </c>
      <c r="I21" s="6">
        <v>6</v>
      </c>
      <c r="J21" s="6" t="str">
        <f t="shared" si="3"/>
        <v>Saturday</v>
      </c>
      <c r="K21" s="6">
        <f t="shared" si="4"/>
        <v>1</v>
      </c>
      <c r="L21" s="6">
        <v>3</v>
      </c>
      <c r="M21" s="6" t="str">
        <f t="shared" si="5"/>
        <v>Light rain</v>
      </c>
      <c r="N21" s="8">
        <v>0.42</v>
      </c>
      <c r="O21" s="8">
        <v>0.42420000000000002</v>
      </c>
      <c r="P21" s="8">
        <v>0.88</v>
      </c>
      <c r="Q21" s="8">
        <v>0.25369999999999998</v>
      </c>
      <c r="R21" s="6">
        <v>6</v>
      </c>
      <c r="S21" s="6">
        <v>31</v>
      </c>
      <c r="T21" s="6">
        <v>37</v>
      </c>
      <c r="U21" s="8">
        <f t="shared" si="6"/>
        <v>0.14115833221731852</v>
      </c>
      <c r="V21" s="8" t="str">
        <f t="shared" si="7"/>
        <v>Normal</v>
      </c>
      <c r="W21" s="8">
        <f t="shared" si="8"/>
        <v>-0.46734486762223271</v>
      </c>
      <c r="X21" s="8" t="str">
        <f t="shared" si="9"/>
        <v>Normal</v>
      </c>
    </row>
    <row r="22" spans="1:24" x14ac:dyDescent="0.25">
      <c r="A22" s="6">
        <v>21</v>
      </c>
      <c r="B22" s="7">
        <v>40544</v>
      </c>
      <c r="C22" s="6">
        <v>1</v>
      </c>
      <c r="D22" s="6" t="str">
        <f t="shared" si="0"/>
        <v>january</v>
      </c>
      <c r="E22" s="6">
        <v>20</v>
      </c>
      <c r="F22" s="6" t="str">
        <f t="shared" si="1"/>
        <v>Evening</v>
      </c>
      <c r="G22" s="6" t="b">
        <v>0</v>
      </c>
      <c r="H22" s="6">
        <f t="shared" si="2"/>
        <v>0</v>
      </c>
      <c r="I22" s="6">
        <v>6</v>
      </c>
      <c r="J22" s="6" t="str">
        <f t="shared" si="3"/>
        <v>Saturday</v>
      </c>
      <c r="K22" s="6">
        <f t="shared" si="4"/>
        <v>1</v>
      </c>
      <c r="L22" s="6">
        <v>2</v>
      </c>
      <c r="M22" s="6" t="str">
        <f t="shared" si="5"/>
        <v>Cloudy</v>
      </c>
      <c r="N22" s="8">
        <v>0.4</v>
      </c>
      <c r="O22" s="8">
        <v>0.40910000000000002</v>
      </c>
      <c r="P22" s="8">
        <v>0.87</v>
      </c>
      <c r="Q22" s="8">
        <v>0.25369999999999998</v>
      </c>
      <c r="R22" s="6">
        <v>11</v>
      </c>
      <c r="S22" s="6">
        <v>25</v>
      </c>
      <c r="T22" s="6">
        <v>36</v>
      </c>
      <c r="U22" s="8">
        <f t="shared" si="6"/>
        <v>0.79527479290924885</v>
      </c>
      <c r="V22" s="8" t="str">
        <f t="shared" si="7"/>
        <v>Normal</v>
      </c>
      <c r="W22" s="8">
        <f t="shared" si="8"/>
        <v>-0.59262160468756786</v>
      </c>
      <c r="X22" s="8" t="str">
        <f t="shared" si="9"/>
        <v>Normal</v>
      </c>
    </row>
    <row r="23" spans="1:24" x14ac:dyDescent="0.25">
      <c r="A23" s="6">
        <v>22</v>
      </c>
      <c r="B23" s="7">
        <v>40544</v>
      </c>
      <c r="C23" s="6">
        <v>1</v>
      </c>
      <c r="D23" s="6" t="str">
        <f t="shared" si="0"/>
        <v>january</v>
      </c>
      <c r="E23" s="6">
        <v>21</v>
      </c>
      <c r="F23" s="6" t="str">
        <f t="shared" si="1"/>
        <v>Night</v>
      </c>
      <c r="G23" s="6" t="b">
        <v>0</v>
      </c>
      <c r="H23" s="6">
        <f t="shared" si="2"/>
        <v>0</v>
      </c>
      <c r="I23" s="6">
        <v>6</v>
      </c>
      <c r="J23" s="6" t="str">
        <f t="shared" si="3"/>
        <v>Saturday</v>
      </c>
      <c r="K23" s="6">
        <f t="shared" si="4"/>
        <v>1</v>
      </c>
      <c r="L23" s="6">
        <v>2</v>
      </c>
      <c r="M23" s="6" t="str">
        <f t="shared" si="5"/>
        <v>Cloudy</v>
      </c>
      <c r="N23" s="8">
        <v>0.4</v>
      </c>
      <c r="O23" s="8">
        <v>0.40910000000000002</v>
      </c>
      <c r="P23" s="8">
        <v>0.87</v>
      </c>
      <c r="Q23" s="8">
        <v>0.19400000000000001</v>
      </c>
      <c r="R23" s="6">
        <v>3</v>
      </c>
      <c r="S23" s="6">
        <v>31</v>
      </c>
      <c r="T23" s="6">
        <v>34</v>
      </c>
      <c r="U23" s="8">
        <f t="shared" si="6"/>
        <v>-0.25131154419783963</v>
      </c>
      <c r="V23" s="8" t="str">
        <f t="shared" si="7"/>
        <v>Normal</v>
      </c>
      <c r="W23" s="8">
        <f t="shared" si="8"/>
        <v>-0.46734486762223271</v>
      </c>
      <c r="X23" s="8" t="str">
        <f t="shared" si="9"/>
        <v>Normal</v>
      </c>
    </row>
    <row r="24" spans="1:24" x14ac:dyDescent="0.25">
      <c r="A24" s="6">
        <v>23</v>
      </c>
      <c r="B24" s="7">
        <v>40544</v>
      </c>
      <c r="C24" s="6">
        <v>1</v>
      </c>
      <c r="D24" s="6" t="str">
        <f t="shared" si="0"/>
        <v>january</v>
      </c>
      <c r="E24" s="6">
        <v>22</v>
      </c>
      <c r="F24" s="6" t="str">
        <f t="shared" si="1"/>
        <v>Night</v>
      </c>
      <c r="G24" s="6" t="b">
        <v>0</v>
      </c>
      <c r="H24" s="6">
        <f t="shared" si="2"/>
        <v>0</v>
      </c>
      <c r="I24" s="6">
        <v>6</v>
      </c>
      <c r="J24" s="6" t="str">
        <f t="shared" si="3"/>
        <v>Saturday</v>
      </c>
      <c r="K24" s="6">
        <f t="shared" si="4"/>
        <v>1</v>
      </c>
      <c r="L24" s="6">
        <v>2</v>
      </c>
      <c r="M24" s="6" t="str">
        <f t="shared" si="5"/>
        <v>Cloudy</v>
      </c>
      <c r="N24" s="8">
        <v>0.4</v>
      </c>
      <c r="O24" s="8">
        <v>0.40910000000000002</v>
      </c>
      <c r="P24" s="8">
        <v>0.94</v>
      </c>
      <c r="Q24" s="8">
        <v>0.22389999999999999</v>
      </c>
      <c r="R24" s="6">
        <v>11</v>
      </c>
      <c r="S24" s="6">
        <v>17</v>
      </c>
      <c r="T24" s="6">
        <v>28</v>
      </c>
      <c r="U24" s="8">
        <f t="shared" si="6"/>
        <v>0.79527479290924885</v>
      </c>
      <c r="V24" s="8" t="str">
        <f t="shared" si="7"/>
        <v>Normal</v>
      </c>
      <c r="W24" s="8">
        <f t="shared" si="8"/>
        <v>-0.75965725410801466</v>
      </c>
      <c r="X24" s="8" t="str">
        <f t="shared" si="9"/>
        <v>Normal</v>
      </c>
    </row>
    <row r="25" spans="1:24" x14ac:dyDescent="0.25">
      <c r="A25" s="6">
        <v>24</v>
      </c>
      <c r="B25" s="7">
        <v>40544</v>
      </c>
      <c r="C25" s="6">
        <v>1</v>
      </c>
      <c r="D25" s="6" t="str">
        <f t="shared" si="0"/>
        <v>january</v>
      </c>
      <c r="E25" s="6">
        <v>23</v>
      </c>
      <c r="F25" s="6" t="str">
        <f t="shared" si="1"/>
        <v>Night</v>
      </c>
      <c r="G25" s="6" t="b">
        <v>0</v>
      </c>
      <c r="H25" s="6">
        <f t="shared" si="2"/>
        <v>0</v>
      </c>
      <c r="I25" s="6">
        <v>6</v>
      </c>
      <c r="J25" s="6" t="str">
        <f t="shared" si="3"/>
        <v>Saturday</v>
      </c>
      <c r="K25" s="6">
        <f t="shared" si="4"/>
        <v>1</v>
      </c>
      <c r="L25" s="6">
        <v>2</v>
      </c>
      <c r="M25" s="6" t="str">
        <f t="shared" si="5"/>
        <v>Cloudy</v>
      </c>
      <c r="N25" s="8">
        <v>0.46</v>
      </c>
      <c r="O25" s="8">
        <f>AVERAGE(Table2[atemp])</f>
        <v>0.19993489147704935</v>
      </c>
      <c r="P25" s="8">
        <v>0.88</v>
      </c>
      <c r="Q25" s="8">
        <v>0.29849999999999999</v>
      </c>
      <c r="R25" s="6">
        <v>15</v>
      </c>
      <c r="S25" s="6">
        <v>24</v>
      </c>
      <c r="T25" s="6">
        <v>39</v>
      </c>
      <c r="U25" s="8">
        <f t="shared" si="6"/>
        <v>1.3185679614627932</v>
      </c>
      <c r="V25" s="8" t="str">
        <f t="shared" si="7"/>
        <v>Normal</v>
      </c>
      <c r="W25" s="8">
        <f t="shared" si="8"/>
        <v>-0.61350106086512368</v>
      </c>
      <c r="X25" s="8" t="str">
        <f t="shared" si="9"/>
        <v>Normal</v>
      </c>
    </row>
    <row r="26" spans="1:24" x14ac:dyDescent="0.25">
      <c r="A26" s="6">
        <v>25</v>
      </c>
      <c r="B26" s="7">
        <v>40545</v>
      </c>
      <c r="C26" s="6">
        <v>1</v>
      </c>
      <c r="D26" s="6" t="str">
        <f t="shared" si="0"/>
        <v>january</v>
      </c>
      <c r="E26" s="6">
        <v>0</v>
      </c>
      <c r="F26" s="6" t="str">
        <f t="shared" si="1"/>
        <v>Night</v>
      </c>
      <c r="G26" s="6" t="b">
        <v>0</v>
      </c>
      <c r="H26" s="6">
        <f t="shared" si="2"/>
        <v>0</v>
      </c>
      <c r="I26" s="6">
        <v>0</v>
      </c>
      <c r="J26" s="6" t="str">
        <f t="shared" si="3"/>
        <v>Sunday</v>
      </c>
      <c r="K26" s="6">
        <f t="shared" si="4"/>
        <v>1</v>
      </c>
      <c r="L26" s="6">
        <v>2</v>
      </c>
      <c r="M26" s="6" t="str">
        <f t="shared" si="5"/>
        <v>Cloudy</v>
      </c>
      <c r="N26" s="8">
        <v>0.46</v>
      </c>
      <c r="O26" s="8">
        <v>0.45450000000000002</v>
      </c>
      <c r="P26" s="8">
        <v>0.88</v>
      </c>
      <c r="Q26" s="8">
        <v>0.29849999999999999</v>
      </c>
      <c r="R26" s="6">
        <v>4</v>
      </c>
      <c r="S26" s="6">
        <v>13</v>
      </c>
      <c r="T26" s="6">
        <v>17</v>
      </c>
      <c r="U26" s="8">
        <f t="shared" si="6"/>
        <v>-0.1204882520594536</v>
      </c>
      <c r="V26" s="8" t="str">
        <f t="shared" si="7"/>
        <v>Normal</v>
      </c>
      <c r="W26" s="8">
        <f t="shared" si="8"/>
        <v>-0.84317507881823806</v>
      </c>
      <c r="X26" s="8" t="str">
        <f t="shared" si="9"/>
        <v>Normal</v>
      </c>
    </row>
    <row r="27" spans="1:24" x14ac:dyDescent="0.25">
      <c r="A27" s="6">
        <v>26</v>
      </c>
      <c r="B27" s="7">
        <v>40545</v>
      </c>
      <c r="C27" s="6">
        <v>1</v>
      </c>
      <c r="D27" s="6" t="str">
        <f t="shared" si="0"/>
        <v>january</v>
      </c>
      <c r="E27" s="6">
        <v>1</v>
      </c>
      <c r="F27" s="6" t="str">
        <f t="shared" si="1"/>
        <v>Night</v>
      </c>
      <c r="G27" s="6" t="b">
        <v>0</v>
      </c>
      <c r="H27" s="6">
        <f t="shared" si="2"/>
        <v>0</v>
      </c>
      <c r="I27" s="6">
        <v>0</v>
      </c>
      <c r="J27" s="6" t="str">
        <f t="shared" si="3"/>
        <v>Sunday</v>
      </c>
      <c r="K27" s="6">
        <f t="shared" si="4"/>
        <v>1</v>
      </c>
      <c r="L27" s="6">
        <v>2</v>
      </c>
      <c r="M27" s="6" t="str">
        <f t="shared" si="5"/>
        <v>Cloudy</v>
      </c>
      <c r="N27" s="8">
        <v>0.44</v>
      </c>
      <c r="O27" s="8">
        <v>0.43940000000000001</v>
      </c>
      <c r="P27" s="8">
        <v>0.94</v>
      </c>
      <c r="Q27" s="8">
        <v>0.25369999999999998</v>
      </c>
      <c r="R27" s="6">
        <v>1</v>
      </c>
      <c r="S27" s="6">
        <v>16</v>
      </c>
      <c r="T27" s="6">
        <v>17</v>
      </c>
      <c r="U27" s="8">
        <f t="shared" si="6"/>
        <v>-0.51295812847461175</v>
      </c>
      <c r="V27" s="8" t="str">
        <f t="shared" si="7"/>
        <v>Normal</v>
      </c>
      <c r="W27" s="8">
        <f t="shared" si="8"/>
        <v>-0.78053671028557059</v>
      </c>
      <c r="X27" s="8" t="str">
        <f t="shared" si="9"/>
        <v>Normal</v>
      </c>
    </row>
    <row r="28" spans="1:24" x14ac:dyDescent="0.25">
      <c r="A28" s="6">
        <v>27</v>
      </c>
      <c r="B28" s="7">
        <v>40545</v>
      </c>
      <c r="C28" s="6">
        <v>1</v>
      </c>
      <c r="D28" s="6" t="str">
        <f t="shared" si="0"/>
        <v>january</v>
      </c>
      <c r="E28" s="6">
        <v>2</v>
      </c>
      <c r="F28" s="6" t="str">
        <f t="shared" si="1"/>
        <v>Night</v>
      </c>
      <c r="G28" s="6" t="b">
        <v>0</v>
      </c>
      <c r="H28" s="6">
        <f t="shared" si="2"/>
        <v>0</v>
      </c>
      <c r="I28" s="6">
        <v>0</v>
      </c>
      <c r="J28" s="6" t="str">
        <f t="shared" si="3"/>
        <v>Sunday</v>
      </c>
      <c r="K28" s="6">
        <f t="shared" si="4"/>
        <v>1</v>
      </c>
      <c r="L28" s="6">
        <v>2</v>
      </c>
      <c r="M28" s="6" t="str">
        <f t="shared" si="5"/>
        <v>Cloudy</v>
      </c>
      <c r="N28" s="8">
        <v>0.42</v>
      </c>
      <c r="O28" s="8">
        <v>0.42420000000000002</v>
      </c>
      <c r="P28" s="8">
        <v>1</v>
      </c>
      <c r="Q28" s="8">
        <v>0.28360000000000002</v>
      </c>
      <c r="R28" s="6">
        <v>1</v>
      </c>
      <c r="S28" s="6">
        <v>8</v>
      </c>
      <c r="T28" s="6">
        <v>9</v>
      </c>
      <c r="U28" s="8">
        <f t="shared" si="6"/>
        <v>-0.51295812847461175</v>
      </c>
      <c r="V28" s="8" t="str">
        <f t="shared" si="7"/>
        <v>Normal</v>
      </c>
      <c r="W28" s="8">
        <f t="shared" si="8"/>
        <v>-0.94757235970601739</v>
      </c>
      <c r="X28" s="8" t="str">
        <f t="shared" si="9"/>
        <v>Normal</v>
      </c>
    </row>
    <row r="29" spans="1:24" x14ac:dyDescent="0.25">
      <c r="A29" s="6">
        <v>28</v>
      </c>
      <c r="B29" s="7">
        <v>40545</v>
      </c>
      <c r="C29" s="6">
        <v>1</v>
      </c>
      <c r="D29" s="6" t="str">
        <f t="shared" si="0"/>
        <v>january</v>
      </c>
      <c r="E29" s="6">
        <v>3</v>
      </c>
      <c r="F29" s="6" t="str">
        <f t="shared" si="1"/>
        <v>Night</v>
      </c>
      <c r="G29" s="6" t="b">
        <v>0</v>
      </c>
      <c r="H29" s="6">
        <f t="shared" si="2"/>
        <v>0</v>
      </c>
      <c r="I29" s="6">
        <v>0</v>
      </c>
      <c r="J29" s="6" t="str">
        <f t="shared" si="3"/>
        <v>Sunday</v>
      </c>
      <c r="K29" s="6">
        <f t="shared" si="4"/>
        <v>1</v>
      </c>
      <c r="L29" s="6">
        <v>2</v>
      </c>
      <c r="M29" s="6" t="str">
        <f t="shared" si="5"/>
        <v>Cloudy</v>
      </c>
      <c r="N29" s="8">
        <v>0.46</v>
      </c>
      <c r="O29" s="8">
        <v>0.45450000000000002</v>
      </c>
      <c r="P29" s="8">
        <v>0.94</v>
      </c>
      <c r="Q29" s="8">
        <v>0.19400000000000001</v>
      </c>
      <c r="R29" s="6">
        <v>2</v>
      </c>
      <c r="S29" s="6">
        <v>4</v>
      </c>
      <c r="T29" s="6">
        <v>6</v>
      </c>
      <c r="U29" s="8">
        <f t="shared" si="6"/>
        <v>-0.38213483633622569</v>
      </c>
      <c r="V29" s="8" t="str">
        <f t="shared" si="7"/>
        <v>Normal</v>
      </c>
      <c r="W29" s="8">
        <f t="shared" si="8"/>
        <v>-1.0310901844162408</v>
      </c>
      <c r="X29" s="8" t="str">
        <f t="shared" si="9"/>
        <v>Normal</v>
      </c>
    </row>
    <row r="30" spans="1:24" x14ac:dyDescent="0.25">
      <c r="A30" s="6">
        <v>29</v>
      </c>
      <c r="B30" s="7">
        <v>40545</v>
      </c>
      <c r="C30" s="6">
        <v>1</v>
      </c>
      <c r="D30" s="6" t="str">
        <f t="shared" si="0"/>
        <v>january</v>
      </c>
      <c r="E30" s="6">
        <v>4</v>
      </c>
      <c r="F30" s="6" t="str">
        <f t="shared" si="1"/>
        <v>Night</v>
      </c>
      <c r="G30" s="6" t="b">
        <v>0</v>
      </c>
      <c r="H30" s="6">
        <f t="shared" si="2"/>
        <v>0</v>
      </c>
      <c r="I30" s="6">
        <v>0</v>
      </c>
      <c r="J30" s="6" t="str">
        <f t="shared" si="3"/>
        <v>Sunday</v>
      </c>
      <c r="K30" s="6">
        <f t="shared" si="4"/>
        <v>1</v>
      </c>
      <c r="L30" s="6">
        <v>2</v>
      </c>
      <c r="M30" s="6" t="str">
        <f t="shared" si="5"/>
        <v>Cloudy</v>
      </c>
      <c r="N30" s="8">
        <v>0.46</v>
      </c>
      <c r="O30" s="8">
        <f>AVERAGE(Table2[atemp])</f>
        <v>0.19993489147704935</v>
      </c>
      <c r="P30" s="8">
        <v>0.94</v>
      </c>
      <c r="Q30" s="8">
        <v>0.19400000000000001</v>
      </c>
      <c r="R30" s="6">
        <v>2</v>
      </c>
      <c r="S30" s="6">
        <v>1</v>
      </c>
      <c r="T30" s="6">
        <v>3</v>
      </c>
      <c r="U30" s="8">
        <f t="shared" si="6"/>
        <v>-0.38213483633622569</v>
      </c>
      <c r="V30" s="8" t="str">
        <f t="shared" si="7"/>
        <v>Normal</v>
      </c>
      <c r="W30" s="8">
        <f t="shared" si="8"/>
        <v>-1.0937285529489083</v>
      </c>
      <c r="X30" s="8" t="str">
        <f t="shared" si="9"/>
        <v>Normal</v>
      </c>
    </row>
    <row r="31" spans="1:24" x14ac:dyDescent="0.25">
      <c r="A31" s="6">
        <v>30</v>
      </c>
      <c r="B31" s="7">
        <v>40545</v>
      </c>
      <c r="C31" s="6">
        <v>1</v>
      </c>
      <c r="D31" s="6" t="str">
        <f t="shared" si="0"/>
        <v>january</v>
      </c>
      <c r="E31" s="6">
        <v>6</v>
      </c>
      <c r="F31" s="6" t="str">
        <f t="shared" si="1"/>
        <v>Early Morning</v>
      </c>
      <c r="G31" s="6" t="b">
        <v>0</v>
      </c>
      <c r="H31" s="6">
        <f t="shared" si="2"/>
        <v>0</v>
      </c>
      <c r="I31" s="6">
        <v>0</v>
      </c>
      <c r="J31" s="6" t="str">
        <f t="shared" si="3"/>
        <v>Sunday</v>
      </c>
      <c r="K31" s="6">
        <f t="shared" si="4"/>
        <v>1</v>
      </c>
      <c r="L31" s="6">
        <v>3</v>
      </c>
      <c r="M31" s="6" t="str">
        <f t="shared" si="5"/>
        <v>Light rain</v>
      </c>
      <c r="N31" s="8">
        <v>0.42</v>
      </c>
      <c r="O31" s="8">
        <v>0.42420000000000002</v>
      </c>
      <c r="P31" s="8">
        <v>0.77</v>
      </c>
      <c r="Q31" s="8">
        <v>0.29849999999999999</v>
      </c>
      <c r="R31" s="6">
        <v>0</v>
      </c>
      <c r="S31" s="6">
        <v>2</v>
      </c>
      <c r="T31" s="6">
        <v>2</v>
      </c>
      <c r="U31" s="8">
        <f t="shared" si="6"/>
        <v>-0.64378142061299781</v>
      </c>
      <c r="V31" s="8" t="str">
        <f t="shared" si="7"/>
        <v>Normal</v>
      </c>
      <c r="W31" s="8">
        <f t="shared" si="8"/>
        <v>-1.0728490967713524</v>
      </c>
      <c r="X31" s="8" t="str">
        <f t="shared" si="9"/>
        <v>Normal</v>
      </c>
    </row>
    <row r="32" spans="1:24" x14ac:dyDescent="0.25">
      <c r="A32" s="6">
        <v>31</v>
      </c>
      <c r="B32" s="7">
        <v>40545</v>
      </c>
      <c r="C32" s="6">
        <v>1</v>
      </c>
      <c r="D32" s="6" t="str">
        <f t="shared" si="0"/>
        <v>january</v>
      </c>
      <c r="E32" s="6">
        <v>7</v>
      </c>
      <c r="F32" s="6" t="str">
        <f t="shared" si="1"/>
        <v>Early Morning</v>
      </c>
      <c r="G32" s="6" t="b">
        <v>0</v>
      </c>
      <c r="H32" s="6">
        <f t="shared" si="2"/>
        <v>0</v>
      </c>
      <c r="I32" s="6">
        <v>0</v>
      </c>
      <c r="J32" s="6" t="str">
        <f t="shared" si="3"/>
        <v>Sunday</v>
      </c>
      <c r="K32" s="6">
        <f t="shared" si="4"/>
        <v>1</v>
      </c>
      <c r="L32" s="6">
        <v>2</v>
      </c>
      <c r="M32" s="6" t="str">
        <f t="shared" si="5"/>
        <v>Cloudy</v>
      </c>
      <c r="N32" s="8">
        <v>0.4</v>
      </c>
      <c r="O32" s="8">
        <v>0.40910000000000002</v>
      </c>
      <c r="P32" s="8">
        <v>0.76</v>
      </c>
      <c r="Q32" s="8">
        <v>0.19400000000000001</v>
      </c>
      <c r="R32" s="6">
        <v>0</v>
      </c>
      <c r="S32" s="6">
        <v>1</v>
      </c>
      <c r="T32" s="6">
        <v>1</v>
      </c>
      <c r="U32" s="8">
        <f t="shared" si="6"/>
        <v>-0.64378142061299781</v>
      </c>
      <c r="V32" s="8" t="str">
        <f t="shared" si="7"/>
        <v>Normal</v>
      </c>
      <c r="W32" s="8">
        <f t="shared" si="8"/>
        <v>-1.0937285529489083</v>
      </c>
      <c r="X32" s="8" t="str">
        <f t="shared" si="9"/>
        <v>Normal</v>
      </c>
    </row>
    <row r="33" spans="1:24" x14ac:dyDescent="0.25">
      <c r="A33" s="6">
        <v>32</v>
      </c>
      <c r="B33" s="7">
        <v>40545</v>
      </c>
      <c r="C33" s="6">
        <v>1</v>
      </c>
      <c r="D33" s="6" t="str">
        <f t="shared" si="0"/>
        <v>january</v>
      </c>
      <c r="E33" s="6">
        <v>8</v>
      </c>
      <c r="F33" s="6" t="str">
        <f t="shared" si="1"/>
        <v>Morning</v>
      </c>
      <c r="G33" s="6" t="b">
        <v>0</v>
      </c>
      <c r="H33" s="6">
        <f t="shared" si="2"/>
        <v>0</v>
      </c>
      <c r="I33" s="6">
        <v>0</v>
      </c>
      <c r="J33" s="6" t="str">
        <f t="shared" si="3"/>
        <v>Sunday</v>
      </c>
      <c r="K33" s="6">
        <f t="shared" si="4"/>
        <v>1</v>
      </c>
      <c r="L33" s="6">
        <v>3</v>
      </c>
      <c r="M33" s="6" t="str">
        <f t="shared" si="5"/>
        <v>Light rain</v>
      </c>
      <c r="N33" s="8">
        <v>0.4</v>
      </c>
      <c r="O33" s="8">
        <v>0.40910000000000002</v>
      </c>
      <c r="P33" s="8">
        <v>0.71</v>
      </c>
      <c r="Q33" s="8">
        <v>0.22389999999999999</v>
      </c>
      <c r="R33" s="6">
        <v>0</v>
      </c>
      <c r="S33" s="6">
        <v>8</v>
      </c>
      <c r="T33" s="6">
        <v>8</v>
      </c>
      <c r="U33" s="8">
        <f t="shared" si="6"/>
        <v>-0.64378142061299781</v>
      </c>
      <c r="V33" s="8" t="str">
        <f t="shared" si="7"/>
        <v>Normal</v>
      </c>
      <c r="W33" s="8">
        <f t="shared" si="8"/>
        <v>-0.94757235970601739</v>
      </c>
      <c r="X33" s="8" t="str">
        <f t="shared" si="9"/>
        <v>Normal</v>
      </c>
    </row>
    <row r="34" spans="1:24" x14ac:dyDescent="0.25">
      <c r="A34" s="6">
        <v>33</v>
      </c>
      <c r="B34" s="7">
        <v>40545</v>
      </c>
      <c r="C34" s="6">
        <v>1</v>
      </c>
      <c r="D34" s="6" t="str">
        <f t="shared" si="0"/>
        <v>january</v>
      </c>
      <c r="E34" s="6">
        <v>9</v>
      </c>
      <c r="F34" s="6" t="str">
        <f t="shared" si="1"/>
        <v>Morning</v>
      </c>
      <c r="G34" s="6" t="b">
        <v>0</v>
      </c>
      <c r="H34" s="6">
        <f t="shared" si="2"/>
        <v>0</v>
      </c>
      <c r="I34" s="6">
        <v>0</v>
      </c>
      <c r="J34" s="6" t="str">
        <f t="shared" si="3"/>
        <v>Sunday</v>
      </c>
      <c r="K34" s="6">
        <f t="shared" si="4"/>
        <v>1</v>
      </c>
      <c r="L34" s="6">
        <v>2</v>
      </c>
      <c r="M34" s="6" t="str">
        <f t="shared" si="5"/>
        <v>Cloudy</v>
      </c>
      <c r="N34" s="8">
        <v>0.38</v>
      </c>
      <c r="O34" s="8">
        <f>AVERAGE(Table2[atemp])</f>
        <v>0.19993489147704935</v>
      </c>
      <c r="P34" s="8">
        <v>0.76</v>
      </c>
      <c r="Q34" s="8">
        <v>0.22389999999999999</v>
      </c>
      <c r="R34" s="6">
        <v>1</v>
      </c>
      <c r="S34" s="6">
        <v>19</v>
      </c>
      <c r="T34" s="6">
        <v>20</v>
      </c>
      <c r="U34" s="8">
        <f t="shared" si="6"/>
        <v>-0.51295812847461175</v>
      </c>
      <c r="V34" s="8" t="str">
        <f t="shared" si="7"/>
        <v>Normal</v>
      </c>
      <c r="W34" s="8">
        <f t="shared" si="8"/>
        <v>-0.71789834175290301</v>
      </c>
      <c r="X34" s="8" t="str">
        <f t="shared" si="9"/>
        <v>Normal</v>
      </c>
    </row>
    <row r="35" spans="1:24" x14ac:dyDescent="0.25">
      <c r="A35" s="6">
        <v>34</v>
      </c>
      <c r="B35" s="7">
        <v>40545</v>
      </c>
      <c r="C35" s="6">
        <v>1</v>
      </c>
      <c r="D35" s="6" t="str">
        <f t="shared" si="0"/>
        <v>january</v>
      </c>
      <c r="E35" s="6">
        <v>10</v>
      </c>
      <c r="F35" s="6" t="str">
        <f t="shared" si="1"/>
        <v>Morning</v>
      </c>
      <c r="G35" s="6" t="b">
        <v>0</v>
      </c>
      <c r="H35" s="6">
        <f t="shared" si="2"/>
        <v>0</v>
      </c>
      <c r="I35" s="6">
        <v>0</v>
      </c>
      <c r="J35" s="6" t="str">
        <f t="shared" si="3"/>
        <v>Sunday</v>
      </c>
      <c r="K35" s="6">
        <f t="shared" si="4"/>
        <v>1</v>
      </c>
      <c r="L35" s="6">
        <v>2</v>
      </c>
      <c r="M35" s="6" t="str">
        <f t="shared" si="5"/>
        <v>Cloudy</v>
      </c>
      <c r="N35" s="8">
        <v>0.36</v>
      </c>
      <c r="O35" s="8">
        <v>0.34849999999999998</v>
      </c>
      <c r="P35" s="8">
        <v>0.81</v>
      </c>
      <c r="Q35" s="8">
        <v>0.22389999999999999</v>
      </c>
      <c r="R35" s="6">
        <v>7</v>
      </c>
      <c r="S35" s="6">
        <v>46</v>
      </c>
      <c r="T35" s="6">
        <v>53</v>
      </c>
      <c r="U35" s="8">
        <f t="shared" si="6"/>
        <v>0.27198162435570455</v>
      </c>
      <c r="V35" s="8" t="str">
        <f t="shared" si="7"/>
        <v>Normal</v>
      </c>
      <c r="W35" s="8">
        <f t="shared" si="8"/>
        <v>-0.15415302495889494</v>
      </c>
      <c r="X35" s="8" t="str">
        <f t="shared" si="9"/>
        <v>Normal</v>
      </c>
    </row>
    <row r="36" spans="1:24" x14ac:dyDescent="0.25">
      <c r="A36" s="6">
        <v>35</v>
      </c>
      <c r="B36" s="7">
        <v>40545</v>
      </c>
      <c r="C36" s="6">
        <v>1</v>
      </c>
      <c r="D36" s="6" t="str">
        <f t="shared" si="0"/>
        <v>january</v>
      </c>
      <c r="E36" s="6">
        <v>11</v>
      </c>
      <c r="F36" s="6" t="str">
        <f t="shared" si="1"/>
        <v>Morning</v>
      </c>
      <c r="G36" s="6" t="b">
        <v>0</v>
      </c>
      <c r="H36" s="6">
        <f t="shared" si="2"/>
        <v>0</v>
      </c>
      <c r="I36" s="6">
        <v>0</v>
      </c>
      <c r="J36" s="6" t="str">
        <f t="shared" si="3"/>
        <v>Sunday</v>
      </c>
      <c r="K36" s="6">
        <f t="shared" si="4"/>
        <v>1</v>
      </c>
      <c r="L36" s="6">
        <v>2</v>
      </c>
      <c r="M36" s="6" t="str">
        <f t="shared" si="5"/>
        <v>Cloudy</v>
      </c>
      <c r="N36" s="8">
        <v>0.36</v>
      </c>
      <c r="O36" s="8">
        <v>0.33329999999999999</v>
      </c>
      <c r="P36" s="8">
        <v>0.71</v>
      </c>
      <c r="Q36" s="8">
        <v>0.25369999999999998</v>
      </c>
      <c r="R36" s="6">
        <v>16</v>
      </c>
      <c r="S36" s="6">
        <v>54</v>
      </c>
      <c r="T36" s="6">
        <v>70</v>
      </c>
      <c r="U36" s="8">
        <f t="shared" si="6"/>
        <v>1.4493912536011793</v>
      </c>
      <c r="V36" s="8" t="str">
        <f t="shared" si="7"/>
        <v>Normal</v>
      </c>
      <c r="W36" s="8">
        <f t="shared" si="8"/>
        <v>1.2882624461551907E-2</v>
      </c>
      <c r="X36" s="8" t="str">
        <f t="shared" si="9"/>
        <v>Normal</v>
      </c>
    </row>
    <row r="37" spans="1:24" x14ac:dyDescent="0.25">
      <c r="A37" s="6">
        <v>36</v>
      </c>
      <c r="B37" s="7">
        <v>40545</v>
      </c>
      <c r="C37" s="6">
        <v>1</v>
      </c>
      <c r="D37" s="6" t="str">
        <f t="shared" si="0"/>
        <v>january</v>
      </c>
      <c r="E37" s="6">
        <v>12</v>
      </c>
      <c r="F37" s="6" t="str">
        <f t="shared" si="1"/>
        <v>Afternoon</v>
      </c>
      <c r="G37" s="6" t="b">
        <v>0</v>
      </c>
      <c r="H37" s="6">
        <f t="shared" si="2"/>
        <v>0</v>
      </c>
      <c r="I37" s="6">
        <v>0</v>
      </c>
      <c r="J37" s="6" t="str">
        <f t="shared" si="3"/>
        <v>Sunday</v>
      </c>
      <c r="K37" s="6">
        <f t="shared" si="4"/>
        <v>1</v>
      </c>
      <c r="L37" s="6">
        <v>2</v>
      </c>
      <c r="M37" s="6" t="str">
        <f t="shared" si="5"/>
        <v>Cloudy</v>
      </c>
      <c r="N37" s="8">
        <v>0.36</v>
      </c>
      <c r="O37" s="8">
        <v>0.33329999999999999</v>
      </c>
      <c r="P37" s="8">
        <v>0.66</v>
      </c>
      <c r="Q37" s="8">
        <v>0.29849999999999999</v>
      </c>
      <c r="R37" s="6">
        <v>20</v>
      </c>
      <c r="S37" s="6">
        <v>73</v>
      </c>
      <c r="T37" s="6">
        <v>93</v>
      </c>
      <c r="U37" s="8">
        <f t="shared" si="6"/>
        <v>1.9726844221547235</v>
      </c>
      <c r="V37" s="8" t="str">
        <f t="shared" si="7"/>
        <v>Normal</v>
      </c>
      <c r="W37" s="8">
        <f t="shared" si="8"/>
        <v>0.40959229183511314</v>
      </c>
      <c r="X37" s="8" t="str">
        <f t="shared" si="9"/>
        <v>Normal</v>
      </c>
    </row>
    <row r="38" spans="1:24" x14ac:dyDescent="0.25">
      <c r="A38" s="6">
        <v>37</v>
      </c>
      <c r="B38" s="7">
        <v>40545</v>
      </c>
      <c r="C38" s="6">
        <v>1</v>
      </c>
      <c r="D38" s="6" t="str">
        <f t="shared" si="0"/>
        <v>january</v>
      </c>
      <c r="E38" s="6">
        <v>13</v>
      </c>
      <c r="F38" s="6" t="str">
        <f t="shared" si="1"/>
        <v>Afternoon</v>
      </c>
      <c r="G38" s="6" t="b">
        <v>0</v>
      </c>
      <c r="H38" s="6">
        <f t="shared" si="2"/>
        <v>0</v>
      </c>
      <c r="I38" s="6">
        <v>0</v>
      </c>
      <c r="J38" s="6" t="str">
        <f t="shared" si="3"/>
        <v>Sunday</v>
      </c>
      <c r="K38" s="6">
        <f t="shared" si="4"/>
        <v>1</v>
      </c>
      <c r="L38" s="6">
        <v>2</v>
      </c>
      <c r="M38" s="6" t="str">
        <f t="shared" si="5"/>
        <v>Cloudy</v>
      </c>
      <c r="N38" s="8">
        <v>0.36</v>
      </c>
      <c r="O38" s="8">
        <v>0.34849999999999998</v>
      </c>
      <c r="P38" s="8">
        <v>0.66</v>
      </c>
      <c r="Q38" s="8">
        <v>0.1343</v>
      </c>
      <c r="R38" s="6">
        <v>11</v>
      </c>
      <c r="S38" s="6">
        <v>64</v>
      </c>
      <c r="T38" s="6">
        <v>75</v>
      </c>
      <c r="U38" s="8">
        <f t="shared" si="6"/>
        <v>0.79527479290924885</v>
      </c>
      <c r="V38" s="8" t="str">
        <f t="shared" si="7"/>
        <v>Normal</v>
      </c>
      <c r="W38" s="8">
        <f t="shared" si="8"/>
        <v>0.22167718623711044</v>
      </c>
      <c r="X38" s="8" t="str">
        <f t="shared" si="9"/>
        <v>Normal</v>
      </c>
    </row>
    <row r="39" spans="1:24" x14ac:dyDescent="0.25">
      <c r="A39" s="6">
        <v>38</v>
      </c>
      <c r="B39" s="7">
        <v>40545</v>
      </c>
      <c r="C39" s="6">
        <v>1</v>
      </c>
      <c r="D39" s="6" t="str">
        <f t="shared" si="0"/>
        <v>january</v>
      </c>
      <c r="E39" s="6">
        <v>14</v>
      </c>
      <c r="F39" s="6" t="str">
        <f t="shared" si="1"/>
        <v>Afternoon</v>
      </c>
      <c r="G39" s="6" t="b">
        <v>0</v>
      </c>
      <c r="H39" s="6">
        <f t="shared" si="2"/>
        <v>0</v>
      </c>
      <c r="I39" s="6">
        <v>0</v>
      </c>
      <c r="J39" s="6" t="str">
        <f t="shared" si="3"/>
        <v>Sunday</v>
      </c>
      <c r="K39" s="6">
        <f t="shared" si="4"/>
        <v>1</v>
      </c>
      <c r="L39" s="6">
        <v>3</v>
      </c>
      <c r="M39" s="6" t="str">
        <f t="shared" si="5"/>
        <v>Light rain</v>
      </c>
      <c r="N39" s="8">
        <v>0.36</v>
      </c>
      <c r="O39" s="8">
        <f>AVERAGE(Table2[atemp])</f>
        <v>0.19993489147704935</v>
      </c>
      <c r="P39" s="8">
        <v>0.76</v>
      </c>
      <c r="Q39" s="8">
        <v>0.19400000000000001</v>
      </c>
      <c r="R39" s="6">
        <v>4</v>
      </c>
      <c r="S39" s="6">
        <v>55</v>
      </c>
      <c r="T39" s="6">
        <v>59</v>
      </c>
      <c r="U39" s="8">
        <f t="shared" si="6"/>
        <v>-0.1204882520594536</v>
      </c>
      <c r="V39" s="8" t="str">
        <f t="shared" si="7"/>
        <v>Normal</v>
      </c>
      <c r="W39" s="8">
        <f t="shared" si="8"/>
        <v>3.376208063910776E-2</v>
      </c>
      <c r="X39" s="8" t="str">
        <f t="shared" si="9"/>
        <v>Normal</v>
      </c>
    </row>
    <row r="40" spans="1:24" x14ac:dyDescent="0.25">
      <c r="A40" s="6">
        <v>39</v>
      </c>
      <c r="B40" s="7">
        <v>40545</v>
      </c>
      <c r="C40" s="6">
        <v>1</v>
      </c>
      <c r="D40" s="6" t="str">
        <f t="shared" si="0"/>
        <v>january</v>
      </c>
      <c r="E40" s="6">
        <v>15</v>
      </c>
      <c r="F40" s="6" t="str">
        <f t="shared" si="1"/>
        <v>Afternoon</v>
      </c>
      <c r="G40" s="6" t="b">
        <v>0</v>
      </c>
      <c r="H40" s="6">
        <f t="shared" si="2"/>
        <v>0</v>
      </c>
      <c r="I40" s="6">
        <v>0</v>
      </c>
      <c r="J40" s="6" t="str">
        <f t="shared" si="3"/>
        <v>Sunday</v>
      </c>
      <c r="K40" s="6">
        <f t="shared" si="4"/>
        <v>1</v>
      </c>
      <c r="L40" s="6">
        <v>3</v>
      </c>
      <c r="M40" s="6" t="str">
        <f t="shared" si="5"/>
        <v>Light rain</v>
      </c>
      <c r="N40" s="8">
        <v>0.34</v>
      </c>
      <c r="O40" s="8">
        <v>0.33329999999999999</v>
      </c>
      <c r="P40" s="8">
        <v>0.81</v>
      </c>
      <c r="Q40" s="8">
        <v>0.16420000000000001</v>
      </c>
      <c r="R40" s="6">
        <v>19</v>
      </c>
      <c r="S40" s="6">
        <v>55</v>
      </c>
      <c r="T40" s="6">
        <v>74</v>
      </c>
      <c r="U40" s="8">
        <f t="shared" si="6"/>
        <v>1.8418611300163374</v>
      </c>
      <c r="V40" s="8" t="str">
        <f t="shared" si="7"/>
        <v>Normal</v>
      </c>
      <c r="W40" s="8">
        <f t="shared" si="8"/>
        <v>3.376208063910776E-2</v>
      </c>
      <c r="X40" s="8" t="str">
        <f t="shared" si="9"/>
        <v>Normal</v>
      </c>
    </row>
    <row r="41" spans="1:24" x14ac:dyDescent="0.25">
      <c r="A41" s="6">
        <v>40</v>
      </c>
      <c r="B41" s="7">
        <v>40545</v>
      </c>
      <c r="C41" s="6">
        <v>1</v>
      </c>
      <c r="D41" s="6" t="str">
        <f t="shared" si="0"/>
        <v>january</v>
      </c>
      <c r="E41" s="6">
        <v>16</v>
      </c>
      <c r="F41" s="6" t="str">
        <f t="shared" si="1"/>
        <v>Afternoon</v>
      </c>
      <c r="G41" s="6" t="b">
        <v>0</v>
      </c>
      <c r="H41" s="6">
        <f t="shared" si="2"/>
        <v>0</v>
      </c>
      <c r="I41" s="6">
        <v>0</v>
      </c>
      <c r="J41" s="6" t="str">
        <f t="shared" si="3"/>
        <v>Sunday</v>
      </c>
      <c r="K41" s="6">
        <f t="shared" si="4"/>
        <v>1</v>
      </c>
      <c r="L41" s="6">
        <v>3</v>
      </c>
      <c r="M41" s="6" t="str">
        <f t="shared" si="5"/>
        <v>Light rain</v>
      </c>
      <c r="N41" s="8">
        <v>0.34</v>
      </c>
      <c r="O41" s="8">
        <v>0.33329999999999999</v>
      </c>
      <c r="P41" s="8">
        <v>0.71</v>
      </c>
      <c r="Q41" s="8">
        <v>0.16420000000000001</v>
      </c>
      <c r="R41" s="6">
        <v>9</v>
      </c>
      <c r="S41" s="6">
        <v>67</v>
      </c>
      <c r="T41" s="6">
        <v>76</v>
      </c>
      <c r="U41" s="8">
        <f t="shared" si="6"/>
        <v>0.53362820863247673</v>
      </c>
      <c r="V41" s="8" t="str">
        <f t="shared" si="7"/>
        <v>Normal</v>
      </c>
      <c r="W41" s="8">
        <f t="shared" si="8"/>
        <v>0.28431555476977799</v>
      </c>
      <c r="X41" s="8" t="str">
        <f t="shared" si="9"/>
        <v>Normal</v>
      </c>
    </row>
    <row r="42" spans="1:24" x14ac:dyDescent="0.25">
      <c r="A42" s="6">
        <v>41</v>
      </c>
      <c r="B42" s="7">
        <v>40545</v>
      </c>
      <c r="C42" s="6">
        <v>1</v>
      </c>
      <c r="D42" s="6" t="str">
        <f t="shared" si="0"/>
        <v>january</v>
      </c>
      <c r="E42" s="6">
        <v>17</v>
      </c>
      <c r="F42" s="6" t="str">
        <f t="shared" si="1"/>
        <v>Evening</v>
      </c>
      <c r="G42" s="6" t="b">
        <v>0</v>
      </c>
      <c r="H42" s="6">
        <f t="shared" si="2"/>
        <v>0</v>
      </c>
      <c r="I42" s="6">
        <v>0</v>
      </c>
      <c r="J42" s="6" t="str">
        <f t="shared" si="3"/>
        <v>Sunday</v>
      </c>
      <c r="K42" s="6">
        <f t="shared" si="4"/>
        <v>1</v>
      </c>
      <c r="L42" s="6">
        <v>1</v>
      </c>
      <c r="M42" s="6" t="str">
        <f t="shared" si="5"/>
        <v>Partly cloudy</v>
      </c>
      <c r="N42" s="8">
        <v>0.34</v>
      </c>
      <c r="O42" s="8">
        <v>0.33329999999999999</v>
      </c>
      <c r="P42" s="8">
        <v>0.56999999999999995</v>
      </c>
      <c r="Q42" s="8">
        <v>0.19400000000000001</v>
      </c>
      <c r="R42" s="6">
        <v>7</v>
      </c>
      <c r="S42" s="6">
        <v>58</v>
      </c>
      <c r="T42" s="6">
        <v>65</v>
      </c>
      <c r="U42" s="8">
        <f t="shared" si="6"/>
        <v>0.27198162435570455</v>
      </c>
      <c r="V42" s="8" t="str">
        <f t="shared" si="7"/>
        <v>Normal</v>
      </c>
      <c r="W42" s="8">
        <f t="shared" si="8"/>
        <v>9.6400449171775315E-2</v>
      </c>
      <c r="X42" s="8" t="str">
        <f t="shared" si="9"/>
        <v>Normal</v>
      </c>
    </row>
    <row r="43" spans="1:24" x14ac:dyDescent="0.25">
      <c r="A43" s="6">
        <v>42</v>
      </c>
      <c r="B43" s="7">
        <v>40545</v>
      </c>
      <c r="C43" s="6">
        <v>1</v>
      </c>
      <c r="D43" s="6" t="str">
        <f t="shared" si="0"/>
        <v>january</v>
      </c>
      <c r="E43" s="6">
        <v>18</v>
      </c>
      <c r="F43" s="6" t="str">
        <f t="shared" si="1"/>
        <v>Evening</v>
      </c>
      <c r="G43" s="6" t="b">
        <v>0</v>
      </c>
      <c r="H43" s="6">
        <f t="shared" si="2"/>
        <v>0</v>
      </c>
      <c r="I43" s="6">
        <v>0</v>
      </c>
      <c r="J43" s="6" t="str">
        <f t="shared" si="3"/>
        <v>Sunday</v>
      </c>
      <c r="K43" s="6">
        <f t="shared" si="4"/>
        <v>1</v>
      </c>
      <c r="L43" s="6">
        <v>2</v>
      </c>
      <c r="M43" s="6" t="str">
        <f t="shared" si="5"/>
        <v>Cloudy</v>
      </c>
      <c r="N43" s="8">
        <v>0.36</v>
      </c>
      <c r="O43" s="8">
        <v>0.33329999999999999</v>
      </c>
      <c r="P43" s="8">
        <v>0.46</v>
      </c>
      <c r="Q43" s="8">
        <v>0.32840000000000003</v>
      </c>
      <c r="R43" s="6">
        <v>10</v>
      </c>
      <c r="S43" s="6">
        <v>43</v>
      </c>
      <c r="T43" s="6">
        <v>53</v>
      </c>
      <c r="U43" s="8">
        <f t="shared" si="6"/>
        <v>0.66445150077086279</v>
      </c>
      <c r="V43" s="8" t="str">
        <f t="shared" si="7"/>
        <v>Normal</v>
      </c>
      <c r="W43" s="8">
        <f t="shared" si="8"/>
        <v>-0.21679139349156248</v>
      </c>
      <c r="X43" s="8" t="str">
        <f t="shared" si="9"/>
        <v>Normal</v>
      </c>
    </row>
    <row r="44" spans="1:24" x14ac:dyDescent="0.25">
      <c r="A44" s="6">
        <v>43</v>
      </c>
      <c r="B44" s="7">
        <v>40545</v>
      </c>
      <c r="C44" s="6">
        <v>1</v>
      </c>
      <c r="D44" s="6" t="str">
        <f t="shared" si="0"/>
        <v>january</v>
      </c>
      <c r="E44" s="6">
        <v>19</v>
      </c>
      <c r="F44" s="6" t="str">
        <f t="shared" si="1"/>
        <v>Evening</v>
      </c>
      <c r="G44" s="6" t="b">
        <v>0</v>
      </c>
      <c r="H44" s="6">
        <f t="shared" si="2"/>
        <v>0</v>
      </c>
      <c r="I44" s="6">
        <v>0</v>
      </c>
      <c r="J44" s="6" t="str">
        <f t="shared" si="3"/>
        <v>Sunday</v>
      </c>
      <c r="K44" s="6">
        <f t="shared" si="4"/>
        <v>1</v>
      </c>
      <c r="L44" s="6">
        <v>1</v>
      </c>
      <c r="M44" s="6" t="str">
        <f t="shared" si="5"/>
        <v>Partly cloudy</v>
      </c>
      <c r="N44" s="8">
        <v>0.32</v>
      </c>
      <c r="O44" s="8">
        <v>0.28789999999999999</v>
      </c>
      <c r="P44" s="8">
        <v>0.42</v>
      </c>
      <c r="Q44" s="8">
        <v>0.44779999999999998</v>
      </c>
      <c r="R44" s="6">
        <v>1</v>
      </c>
      <c r="S44" s="6">
        <v>29</v>
      </c>
      <c r="T44" s="6">
        <v>30</v>
      </c>
      <c r="U44" s="8">
        <f t="shared" si="6"/>
        <v>-0.51295812847461175</v>
      </c>
      <c r="V44" s="8" t="str">
        <f t="shared" si="7"/>
        <v>Normal</v>
      </c>
      <c r="W44" s="8">
        <f t="shared" si="8"/>
        <v>-0.50910377997734446</v>
      </c>
      <c r="X44" s="8" t="str">
        <f t="shared" si="9"/>
        <v>Normal</v>
      </c>
    </row>
    <row r="45" spans="1:24" x14ac:dyDescent="0.25">
      <c r="A45" s="6">
        <v>44</v>
      </c>
      <c r="B45" s="7">
        <v>40545</v>
      </c>
      <c r="C45" s="6">
        <v>1</v>
      </c>
      <c r="D45" s="6" t="str">
        <f t="shared" si="0"/>
        <v>january</v>
      </c>
      <c r="E45" s="6">
        <v>20</v>
      </c>
      <c r="F45" s="6" t="str">
        <f t="shared" si="1"/>
        <v>Evening</v>
      </c>
      <c r="G45" s="6" t="b">
        <v>0</v>
      </c>
      <c r="H45" s="6">
        <f t="shared" si="2"/>
        <v>0</v>
      </c>
      <c r="I45" s="6">
        <v>0</v>
      </c>
      <c r="J45" s="6" t="str">
        <f t="shared" si="3"/>
        <v>Sunday</v>
      </c>
      <c r="K45" s="6">
        <f t="shared" si="4"/>
        <v>1</v>
      </c>
      <c r="L45" s="6">
        <v>1</v>
      </c>
      <c r="M45" s="6" t="str">
        <f t="shared" si="5"/>
        <v>Partly cloudy</v>
      </c>
      <c r="N45" s="8">
        <v>0.3</v>
      </c>
      <c r="O45" s="8">
        <f>AVERAGE(Table2[atemp])</f>
        <v>0.19993489147704935</v>
      </c>
      <c r="P45" s="8">
        <v>0.39</v>
      </c>
      <c r="Q45" s="8">
        <v>0.35820000000000002</v>
      </c>
      <c r="R45" s="6">
        <v>5</v>
      </c>
      <c r="S45" s="6">
        <v>17</v>
      </c>
      <c r="T45" s="6">
        <v>22</v>
      </c>
      <c r="U45" s="8">
        <f t="shared" si="6"/>
        <v>1.0335040078932463E-2</v>
      </c>
      <c r="V45" s="8" t="str">
        <f t="shared" si="7"/>
        <v>Normal</v>
      </c>
      <c r="W45" s="8">
        <f t="shared" si="8"/>
        <v>-0.75965725410801466</v>
      </c>
      <c r="X45" s="8" t="str">
        <f t="shared" si="9"/>
        <v>Normal</v>
      </c>
    </row>
    <row r="46" spans="1:24" x14ac:dyDescent="0.25">
      <c r="A46" s="6">
        <v>45</v>
      </c>
      <c r="B46" s="7">
        <v>40545</v>
      </c>
      <c r="C46" s="6">
        <v>1</v>
      </c>
      <c r="D46" s="6" t="str">
        <f t="shared" si="0"/>
        <v>january</v>
      </c>
      <c r="E46" s="6">
        <v>21</v>
      </c>
      <c r="F46" s="6" t="str">
        <f t="shared" si="1"/>
        <v>Night</v>
      </c>
      <c r="G46" s="6" t="b">
        <v>0</v>
      </c>
      <c r="H46" s="6">
        <f t="shared" si="2"/>
        <v>0</v>
      </c>
      <c r="I46" s="6">
        <v>0</v>
      </c>
      <c r="J46" s="6" t="str">
        <f t="shared" si="3"/>
        <v>Sunday</v>
      </c>
      <c r="K46" s="6">
        <f t="shared" si="4"/>
        <v>1</v>
      </c>
      <c r="L46" s="6">
        <v>1</v>
      </c>
      <c r="M46" s="6" t="str">
        <f t="shared" si="5"/>
        <v>Partly cloudy</v>
      </c>
      <c r="N46" s="8">
        <v>0.26</v>
      </c>
      <c r="O46" s="8">
        <v>0.2273</v>
      </c>
      <c r="P46" s="8">
        <v>0.44</v>
      </c>
      <c r="Q46" s="8">
        <v>0.32840000000000003</v>
      </c>
      <c r="R46" s="6">
        <v>11</v>
      </c>
      <c r="S46" s="6">
        <v>20</v>
      </c>
      <c r="T46" s="6">
        <v>31</v>
      </c>
      <c r="U46" s="8">
        <f t="shared" si="6"/>
        <v>0.79527479290924885</v>
      </c>
      <c r="V46" s="8" t="str">
        <f t="shared" si="7"/>
        <v>Normal</v>
      </c>
      <c r="W46" s="8">
        <f t="shared" si="8"/>
        <v>-0.69701888557534708</v>
      </c>
      <c r="X46" s="8" t="str">
        <f t="shared" si="9"/>
        <v>Normal</v>
      </c>
    </row>
    <row r="47" spans="1:24" x14ac:dyDescent="0.25">
      <c r="A47" s="6">
        <v>46</v>
      </c>
      <c r="B47" s="7">
        <v>40545</v>
      </c>
      <c r="C47" s="6">
        <v>1</v>
      </c>
      <c r="D47" s="6" t="str">
        <f t="shared" si="0"/>
        <v>january</v>
      </c>
      <c r="E47" s="6">
        <v>22</v>
      </c>
      <c r="F47" s="6" t="str">
        <f t="shared" si="1"/>
        <v>Night</v>
      </c>
      <c r="G47" s="6" t="b">
        <v>0</v>
      </c>
      <c r="H47" s="6">
        <f t="shared" si="2"/>
        <v>0</v>
      </c>
      <c r="I47" s="6">
        <v>0</v>
      </c>
      <c r="J47" s="6" t="str">
        <f t="shared" si="3"/>
        <v>Sunday</v>
      </c>
      <c r="K47" s="6">
        <f t="shared" si="4"/>
        <v>1</v>
      </c>
      <c r="L47" s="6">
        <v>1</v>
      </c>
      <c r="M47" s="6" t="str">
        <f t="shared" si="5"/>
        <v>Partly cloudy</v>
      </c>
      <c r="N47" s="8">
        <v>0.24</v>
      </c>
      <c r="O47" s="8">
        <v>0.21210000000000001</v>
      </c>
      <c r="P47" s="8">
        <v>0.44</v>
      </c>
      <c r="Q47" s="8">
        <v>0.29849999999999999</v>
      </c>
      <c r="R47" s="6">
        <v>0</v>
      </c>
      <c r="S47" s="6">
        <v>9</v>
      </c>
      <c r="T47" s="6">
        <v>9</v>
      </c>
      <c r="U47" s="8">
        <f t="shared" si="6"/>
        <v>-0.64378142061299781</v>
      </c>
      <c r="V47" s="8" t="str">
        <f t="shared" si="7"/>
        <v>Normal</v>
      </c>
      <c r="W47" s="8">
        <f t="shared" si="8"/>
        <v>-0.92669290352846156</v>
      </c>
      <c r="X47" s="8" t="str">
        <f t="shared" si="9"/>
        <v>Normal</v>
      </c>
    </row>
    <row r="48" spans="1:24" x14ac:dyDescent="0.25">
      <c r="A48" s="6">
        <v>47</v>
      </c>
      <c r="B48" s="7">
        <v>40545</v>
      </c>
      <c r="C48" s="6">
        <v>1</v>
      </c>
      <c r="D48" s="6" t="str">
        <f t="shared" si="0"/>
        <v>january</v>
      </c>
      <c r="E48" s="6">
        <v>23</v>
      </c>
      <c r="F48" s="6" t="str">
        <f t="shared" si="1"/>
        <v>Night</v>
      </c>
      <c r="G48" s="6" t="b">
        <v>0</v>
      </c>
      <c r="H48" s="6">
        <f t="shared" si="2"/>
        <v>0</v>
      </c>
      <c r="I48" s="6">
        <v>0</v>
      </c>
      <c r="J48" s="6" t="str">
        <f t="shared" si="3"/>
        <v>Sunday</v>
      </c>
      <c r="K48" s="6">
        <f t="shared" si="4"/>
        <v>1</v>
      </c>
      <c r="L48" s="6">
        <v>1</v>
      </c>
      <c r="M48" s="6" t="str">
        <f t="shared" si="5"/>
        <v>Partly cloudy</v>
      </c>
      <c r="N48" s="8">
        <v>0.22</v>
      </c>
      <c r="O48" s="8">
        <v>0.2273</v>
      </c>
      <c r="P48" s="8">
        <v>0.47</v>
      </c>
      <c r="Q48" s="8">
        <v>0.16420000000000001</v>
      </c>
      <c r="R48" s="6">
        <v>0</v>
      </c>
      <c r="S48" s="6">
        <v>8</v>
      </c>
      <c r="T48" s="6">
        <v>8</v>
      </c>
      <c r="U48" s="8">
        <f t="shared" si="6"/>
        <v>-0.64378142061299781</v>
      </c>
      <c r="V48" s="8" t="str">
        <f t="shared" si="7"/>
        <v>Normal</v>
      </c>
      <c r="W48" s="8">
        <f t="shared" si="8"/>
        <v>-0.94757235970601739</v>
      </c>
      <c r="X48" s="8" t="str">
        <f t="shared" si="9"/>
        <v>Normal</v>
      </c>
    </row>
    <row r="49" spans="1:24" x14ac:dyDescent="0.25">
      <c r="A49" s="6">
        <v>48</v>
      </c>
      <c r="B49" s="7">
        <v>40546</v>
      </c>
      <c r="C49" s="6">
        <v>1</v>
      </c>
      <c r="D49" s="6" t="str">
        <f t="shared" si="0"/>
        <v>january</v>
      </c>
      <c r="E49" s="6">
        <v>0</v>
      </c>
      <c r="F49" s="6" t="str">
        <f t="shared" si="1"/>
        <v>Night</v>
      </c>
      <c r="G49" s="6" t="b">
        <v>0</v>
      </c>
      <c r="H49" s="6">
        <f t="shared" si="2"/>
        <v>0</v>
      </c>
      <c r="I49" s="6">
        <v>1</v>
      </c>
      <c r="J49" s="6" t="str">
        <f t="shared" si="3"/>
        <v>Monday</v>
      </c>
      <c r="K49" s="6">
        <f t="shared" si="4"/>
        <v>0</v>
      </c>
      <c r="L49" s="6">
        <v>1</v>
      </c>
      <c r="M49" s="6" t="str">
        <f t="shared" si="5"/>
        <v>Partly cloudy</v>
      </c>
      <c r="N49" s="8">
        <v>0.22</v>
      </c>
      <c r="O49" s="8">
        <v>0.19700000000000001</v>
      </c>
      <c r="P49" s="8">
        <v>0.44</v>
      </c>
      <c r="Q49" s="8">
        <v>0.35820000000000002</v>
      </c>
      <c r="R49" s="6">
        <v>0</v>
      </c>
      <c r="S49" s="6">
        <v>5</v>
      </c>
      <c r="T49" s="6">
        <v>5</v>
      </c>
      <c r="U49" s="8">
        <f t="shared" si="6"/>
        <v>-0.64378142061299781</v>
      </c>
      <c r="V49" s="8" t="str">
        <f t="shared" si="7"/>
        <v>Normal</v>
      </c>
      <c r="W49" s="8">
        <f t="shared" si="8"/>
        <v>-1.010210728238685</v>
      </c>
      <c r="X49" s="8" t="str">
        <f t="shared" si="9"/>
        <v>Normal</v>
      </c>
    </row>
    <row r="50" spans="1:24" x14ac:dyDescent="0.25">
      <c r="A50" s="6">
        <v>49</v>
      </c>
      <c r="B50" s="7">
        <v>40546</v>
      </c>
      <c r="C50" s="6">
        <v>1</v>
      </c>
      <c r="D50" s="6" t="str">
        <f t="shared" si="0"/>
        <v>january</v>
      </c>
      <c r="E50" s="6">
        <v>1</v>
      </c>
      <c r="F50" s="6" t="str">
        <f t="shared" si="1"/>
        <v>Night</v>
      </c>
      <c r="G50" s="6" t="b">
        <v>0</v>
      </c>
      <c r="H50" s="6">
        <f t="shared" si="2"/>
        <v>0</v>
      </c>
      <c r="I50" s="6">
        <v>1</v>
      </c>
      <c r="J50" s="6" t="str">
        <f t="shared" si="3"/>
        <v>Monday</v>
      </c>
      <c r="K50" s="6">
        <f t="shared" si="4"/>
        <v>0</v>
      </c>
      <c r="L50" s="6">
        <v>1</v>
      </c>
      <c r="M50" s="6" t="str">
        <f t="shared" si="5"/>
        <v>Partly cloudy</v>
      </c>
      <c r="N50" s="8">
        <v>0.2</v>
      </c>
      <c r="O50" s="8">
        <f>AVERAGE(Table2[atemp])</f>
        <v>0.19993489147704935</v>
      </c>
      <c r="P50" s="8">
        <v>0.44</v>
      </c>
      <c r="Q50" s="8">
        <v>0.41789999999999999</v>
      </c>
      <c r="R50" s="6">
        <v>0</v>
      </c>
      <c r="S50" s="6">
        <v>2</v>
      </c>
      <c r="T50" s="6">
        <v>2</v>
      </c>
      <c r="U50" s="8">
        <f t="shared" si="6"/>
        <v>-0.64378142061299781</v>
      </c>
      <c r="V50" s="8" t="str">
        <f t="shared" si="7"/>
        <v>Normal</v>
      </c>
      <c r="W50" s="8">
        <f t="shared" si="8"/>
        <v>-1.0728490967713524</v>
      </c>
      <c r="X50" s="8" t="str">
        <f t="shared" si="9"/>
        <v>Normal</v>
      </c>
    </row>
    <row r="51" spans="1:24" x14ac:dyDescent="0.25">
      <c r="A51" s="6">
        <v>50</v>
      </c>
      <c r="B51" s="7">
        <v>40546</v>
      </c>
      <c r="C51" s="6">
        <v>1</v>
      </c>
      <c r="D51" s="6" t="str">
        <f t="shared" si="0"/>
        <v>january</v>
      </c>
      <c r="E51" s="6">
        <v>4</v>
      </c>
      <c r="F51" s="6" t="str">
        <f t="shared" si="1"/>
        <v>Night</v>
      </c>
      <c r="G51" s="6" t="b">
        <v>0</v>
      </c>
      <c r="H51" s="6">
        <f t="shared" si="2"/>
        <v>0</v>
      </c>
      <c r="I51" s="6">
        <v>1</v>
      </c>
      <c r="J51" s="6" t="str">
        <f t="shared" si="3"/>
        <v>Monday</v>
      </c>
      <c r="K51" s="6">
        <f t="shared" si="4"/>
        <v>0</v>
      </c>
      <c r="L51" s="6">
        <v>1</v>
      </c>
      <c r="M51" s="6" t="str">
        <f t="shared" si="5"/>
        <v>Partly cloudy</v>
      </c>
      <c r="N51" s="8">
        <v>0.16</v>
      </c>
      <c r="O51" s="8">
        <v>0.13639999999999999</v>
      </c>
      <c r="P51" s="8">
        <v>0.47</v>
      </c>
      <c r="Q51" s="8">
        <v>0.3881</v>
      </c>
      <c r="R51" s="6">
        <v>0</v>
      </c>
      <c r="S51" s="6">
        <v>1</v>
      </c>
      <c r="T51" s="6">
        <v>1</v>
      </c>
      <c r="U51" s="8">
        <f t="shared" si="6"/>
        <v>-0.64378142061299781</v>
      </c>
      <c r="V51" s="8" t="str">
        <f t="shared" si="7"/>
        <v>Normal</v>
      </c>
      <c r="W51" s="8">
        <f t="shared" si="8"/>
        <v>-1.0937285529489083</v>
      </c>
      <c r="X51" s="8" t="str">
        <f t="shared" si="9"/>
        <v>Normal</v>
      </c>
    </row>
    <row r="52" spans="1:24" x14ac:dyDescent="0.25">
      <c r="A52" s="6">
        <v>51</v>
      </c>
      <c r="B52" s="7">
        <v>40546</v>
      </c>
      <c r="C52" s="6">
        <v>1</v>
      </c>
      <c r="D52" s="6" t="str">
        <f t="shared" si="0"/>
        <v>january</v>
      </c>
      <c r="E52" s="6">
        <v>5</v>
      </c>
      <c r="F52" s="6" t="str">
        <f t="shared" si="1"/>
        <v>Early Morning</v>
      </c>
      <c r="G52" s="6" t="b">
        <v>0</v>
      </c>
      <c r="H52" s="6">
        <f t="shared" si="2"/>
        <v>0</v>
      </c>
      <c r="I52" s="6">
        <v>1</v>
      </c>
      <c r="J52" s="6" t="str">
        <f t="shared" si="3"/>
        <v>Monday</v>
      </c>
      <c r="K52" s="6">
        <f t="shared" si="4"/>
        <v>0</v>
      </c>
      <c r="L52" s="6">
        <v>1</v>
      </c>
      <c r="M52" s="6" t="str">
        <f t="shared" si="5"/>
        <v>Partly cloudy</v>
      </c>
      <c r="N52" s="8">
        <v>0.16</v>
      </c>
      <c r="O52" s="8">
        <v>0.13639999999999999</v>
      </c>
      <c r="P52" s="8">
        <v>0.47</v>
      </c>
      <c r="Q52" s="8">
        <v>0.28360000000000002</v>
      </c>
      <c r="R52" s="6">
        <v>0</v>
      </c>
      <c r="S52" s="6">
        <v>3</v>
      </c>
      <c r="T52" s="6">
        <v>3</v>
      </c>
      <c r="U52" s="8">
        <f t="shared" si="6"/>
        <v>-0.64378142061299781</v>
      </c>
      <c r="V52" s="8" t="str">
        <f t="shared" si="7"/>
        <v>Normal</v>
      </c>
      <c r="W52" s="8">
        <f t="shared" si="8"/>
        <v>-1.0519696405937966</v>
      </c>
      <c r="X52" s="8" t="str">
        <f t="shared" si="9"/>
        <v>Normal</v>
      </c>
    </row>
    <row r="53" spans="1:24" x14ac:dyDescent="0.25">
      <c r="A53" s="6">
        <v>52</v>
      </c>
      <c r="B53" s="7">
        <v>40546</v>
      </c>
      <c r="C53" s="6">
        <v>1</v>
      </c>
      <c r="D53" s="6" t="str">
        <f t="shared" si="0"/>
        <v>january</v>
      </c>
      <c r="E53" s="6">
        <v>6</v>
      </c>
      <c r="F53" s="6" t="str">
        <f t="shared" si="1"/>
        <v>Early Morning</v>
      </c>
      <c r="G53" s="6" t="b">
        <v>0</v>
      </c>
      <c r="H53" s="6">
        <f t="shared" si="2"/>
        <v>0</v>
      </c>
      <c r="I53" s="6">
        <v>1</v>
      </c>
      <c r="J53" s="6" t="str">
        <f t="shared" si="3"/>
        <v>Monday</v>
      </c>
      <c r="K53" s="6">
        <f t="shared" si="4"/>
        <v>0</v>
      </c>
      <c r="L53" s="6">
        <v>1</v>
      </c>
      <c r="M53" s="6" t="str">
        <f t="shared" si="5"/>
        <v>Partly cloudy</v>
      </c>
      <c r="N53" s="8">
        <v>0.14000000000000001</v>
      </c>
      <c r="O53" s="8">
        <v>0.1061</v>
      </c>
      <c r="P53" s="8">
        <v>0.5</v>
      </c>
      <c r="Q53" s="8">
        <v>0.3881</v>
      </c>
      <c r="R53" s="6">
        <v>0</v>
      </c>
      <c r="S53" s="6">
        <v>30</v>
      </c>
      <c r="T53" s="6">
        <v>30</v>
      </c>
      <c r="U53" s="8">
        <f t="shared" si="6"/>
        <v>-0.64378142061299781</v>
      </c>
      <c r="V53" s="8" t="str">
        <f t="shared" si="7"/>
        <v>Normal</v>
      </c>
      <c r="W53" s="8">
        <f t="shared" si="8"/>
        <v>-0.48822432379978858</v>
      </c>
      <c r="X53" s="8" t="str">
        <f t="shared" si="9"/>
        <v>Normal</v>
      </c>
    </row>
    <row r="54" spans="1:24" x14ac:dyDescent="0.25">
      <c r="A54" s="6">
        <v>53</v>
      </c>
      <c r="B54" s="7">
        <v>40546</v>
      </c>
      <c r="C54" s="6">
        <v>1</v>
      </c>
      <c r="D54" s="6" t="str">
        <f t="shared" si="0"/>
        <v>january</v>
      </c>
      <c r="E54" s="6">
        <v>7</v>
      </c>
      <c r="F54" s="6" t="str">
        <f t="shared" si="1"/>
        <v>Early Morning</v>
      </c>
      <c r="G54" s="6" t="b">
        <v>0</v>
      </c>
      <c r="H54" s="6">
        <f t="shared" si="2"/>
        <v>0</v>
      </c>
      <c r="I54" s="6">
        <v>1</v>
      </c>
      <c r="J54" s="6" t="str">
        <f t="shared" si="3"/>
        <v>Monday</v>
      </c>
      <c r="K54" s="6">
        <f t="shared" si="4"/>
        <v>0</v>
      </c>
      <c r="L54" s="6">
        <v>1</v>
      </c>
      <c r="M54" s="6" t="str">
        <f t="shared" si="5"/>
        <v>Partly cloudy</v>
      </c>
      <c r="N54" s="8">
        <v>0.14000000000000001</v>
      </c>
      <c r="O54" s="8">
        <v>0.13639999999999999</v>
      </c>
      <c r="P54" s="8">
        <v>0.5</v>
      </c>
      <c r="Q54" s="8">
        <v>0.19400000000000001</v>
      </c>
      <c r="R54" s="6">
        <v>1</v>
      </c>
      <c r="S54" s="6">
        <v>63</v>
      </c>
      <c r="T54" s="6">
        <v>64</v>
      </c>
      <c r="U54" s="8">
        <f t="shared" si="6"/>
        <v>-0.51295812847461175</v>
      </c>
      <c r="V54" s="8" t="str">
        <f t="shared" si="7"/>
        <v>Normal</v>
      </c>
      <c r="W54" s="8">
        <f t="shared" si="8"/>
        <v>0.20079773005955459</v>
      </c>
      <c r="X54" s="8" t="str">
        <f t="shared" si="9"/>
        <v>Normal</v>
      </c>
    </row>
    <row r="55" spans="1:24" x14ac:dyDescent="0.25">
      <c r="A55" s="6">
        <v>54</v>
      </c>
      <c r="B55" s="7">
        <v>40546</v>
      </c>
      <c r="C55" s="6">
        <v>1</v>
      </c>
      <c r="D55" s="6" t="str">
        <f t="shared" si="0"/>
        <v>january</v>
      </c>
      <c r="E55" s="6">
        <v>8</v>
      </c>
      <c r="F55" s="6" t="str">
        <f t="shared" si="1"/>
        <v>Morning</v>
      </c>
      <c r="G55" s="6" t="b">
        <v>0</v>
      </c>
      <c r="H55" s="6">
        <f>IF(G55=FALSE,0,IF(G55=TRUE,1))</f>
        <v>0</v>
      </c>
      <c r="I55" s="6">
        <v>1</v>
      </c>
      <c r="J55" s="6" t="str">
        <f t="shared" si="3"/>
        <v>Monday</v>
      </c>
      <c r="K55" s="6">
        <f t="shared" si="4"/>
        <v>0</v>
      </c>
      <c r="L55" s="6">
        <v>1</v>
      </c>
      <c r="M55" s="6" t="str">
        <f t="shared" si="5"/>
        <v>Partly cloudy</v>
      </c>
      <c r="N55" s="8">
        <v>0.14000000000000001</v>
      </c>
      <c r="O55" s="8">
        <v>0.1212</v>
      </c>
      <c r="P55" s="8">
        <v>0.5</v>
      </c>
      <c r="Q55" s="8">
        <v>0.28360000000000002</v>
      </c>
      <c r="R55" s="6">
        <v>1</v>
      </c>
      <c r="S55" s="6">
        <v>153</v>
      </c>
      <c r="T55" s="6">
        <v>154</v>
      </c>
      <c r="U55" s="8">
        <f t="shared" si="6"/>
        <v>-0.51295812847461175</v>
      </c>
      <c r="V55" s="8" t="str">
        <f t="shared" si="7"/>
        <v>Normal</v>
      </c>
      <c r="W55" s="8">
        <f t="shared" si="8"/>
        <v>2.0799487860395813</v>
      </c>
      <c r="X55" s="8" t="str">
        <f t="shared" si="9"/>
        <v>Peak</v>
      </c>
    </row>
    <row r="56" spans="1:24" x14ac:dyDescent="0.25">
      <c r="A56" s="6">
        <v>55</v>
      </c>
      <c r="B56" s="7">
        <v>40546</v>
      </c>
      <c r="C56" s="6">
        <v>1</v>
      </c>
      <c r="D56" s="6" t="str">
        <f t="shared" si="0"/>
        <v>january</v>
      </c>
      <c r="E56" s="6">
        <v>9</v>
      </c>
      <c r="F56" s="6" t="str">
        <f t="shared" si="1"/>
        <v>Morning</v>
      </c>
      <c r="G56" s="6" t="b">
        <v>0</v>
      </c>
      <c r="H56" s="6">
        <f t="shared" si="2"/>
        <v>0</v>
      </c>
      <c r="I56" s="6">
        <v>1</v>
      </c>
      <c r="J56" s="6" t="str">
        <f t="shared" si="3"/>
        <v>Monday</v>
      </c>
      <c r="K56" s="6">
        <f t="shared" si="4"/>
        <v>0</v>
      </c>
      <c r="L56" s="6">
        <v>1</v>
      </c>
      <c r="M56" s="6" t="str">
        <f t="shared" si="5"/>
        <v>Partly cloudy</v>
      </c>
      <c r="N56" s="8">
        <v>0.16</v>
      </c>
      <c r="O56" s="8">
        <v>0.13639999999999999</v>
      </c>
      <c r="P56" s="8">
        <v>0.43</v>
      </c>
      <c r="Q56" s="8">
        <v>0.3881</v>
      </c>
      <c r="R56" s="6">
        <v>7</v>
      </c>
      <c r="S56" s="6">
        <v>81</v>
      </c>
      <c r="T56" s="6">
        <v>88</v>
      </c>
      <c r="U56" s="8">
        <f t="shared" si="6"/>
        <v>0.27198162435570455</v>
      </c>
      <c r="V56" s="8" t="str">
        <f t="shared" si="7"/>
        <v>Normal</v>
      </c>
      <c r="W56" s="8">
        <f t="shared" si="8"/>
        <v>0.57662794125555994</v>
      </c>
      <c r="X56" s="8" t="str">
        <f t="shared" si="9"/>
        <v>Normal</v>
      </c>
    </row>
    <row r="57" spans="1:24" x14ac:dyDescent="0.25">
      <c r="A57" s="6">
        <v>56</v>
      </c>
      <c r="B57" s="7">
        <v>40546</v>
      </c>
      <c r="C57" s="6">
        <v>1</v>
      </c>
      <c r="D57" s="6" t="str">
        <f t="shared" si="0"/>
        <v>january</v>
      </c>
      <c r="E57" s="6">
        <v>10</v>
      </c>
      <c r="F57" s="6" t="str">
        <f t="shared" si="1"/>
        <v>Morning</v>
      </c>
      <c r="G57" s="6" t="b">
        <v>0</v>
      </c>
      <c r="H57" s="6">
        <f t="shared" si="2"/>
        <v>0</v>
      </c>
      <c r="I57" s="6">
        <v>1</v>
      </c>
      <c r="J57" s="6" t="str">
        <f t="shared" si="3"/>
        <v>Monday</v>
      </c>
      <c r="K57" s="6">
        <f t="shared" si="4"/>
        <v>0</v>
      </c>
      <c r="L57" s="6">
        <v>1</v>
      </c>
      <c r="M57" s="6" t="str">
        <f t="shared" si="5"/>
        <v>Partly cloudy</v>
      </c>
      <c r="N57" s="8">
        <v>0.18</v>
      </c>
      <c r="O57" s="8">
        <v>0.16669999999999999</v>
      </c>
      <c r="P57" s="8">
        <v>0.43</v>
      </c>
      <c r="Q57" s="8">
        <v>0.25369999999999998</v>
      </c>
      <c r="R57" s="6">
        <v>11</v>
      </c>
      <c r="S57" s="6">
        <v>33</v>
      </c>
      <c r="T57" s="6">
        <v>44</v>
      </c>
      <c r="U57" s="8">
        <f t="shared" si="6"/>
        <v>0.79527479290924885</v>
      </c>
      <c r="V57" s="8" t="str">
        <f t="shared" si="7"/>
        <v>Normal</v>
      </c>
      <c r="W57" s="8">
        <f t="shared" si="8"/>
        <v>-0.42558595526712101</v>
      </c>
      <c r="X57" s="8" t="str">
        <f t="shared" si="9"/>
        <v>Normal</v>
      </c>
    </row>
    <row r="58" spans="1:24" x14ac:dyDescent="0.25">
      <c r="A58" s="6">
        <v>57</v>
      </c>
      <c r="B58" s="7">
        <v>40546</v>
      </c>
      <c r="C58" s="6">
        <v>1</v>
      </c>
      <c r="D58" s="6" t="str">
        <f t="shared" si="0"/>
        <v>january</v>
      </c>
      <c r="E58" s="6">
        <v>11</v>
      </c>
      <c r="F58" s="6" t="str">
        <f t="shared" si="1"/>
        <v>Morning</v>
      </c>
      <c r="G58" s="6" t="b">
        <v>0</v>
      </c>
      <c r="H58" s="6">
        <f t="shared" si="2"/>
        <v>0</v>
      </c>
      <c r="I58" s="6">
        <v>1</v>
      </c>
      <c r="J58" s="6" t="str">
        <f t="shared" si="3"/>
        <v>Monday</v>
      </c>
      <c r="K58" s="6">
        <f t="shared" si="4"/>
        <v>0</v>
      </c>
      <c r="L58" s="6">
        <v>1</v>
      </c>
      <c r="M58" s="6" t="str">
        <f t="shared" si="5"/>
        <v>Partly cloudy</v>
      </c>
      <c r="N58" s="8">
        <v>0.2</v>
      </c>
      <c r="O58" s="8">
        <v>0.18179999999999999</v>
      </c>
      <c r="P58" s="8">
        <v>0.4</v>
      </c>
      <c r="Q58" s="8">
        <v>0.32840000000000003</v>
      </c>
      <c r="R58" s="6">
        <v>10</v>
      </c>
      <c r="S58" s="6">
        <v>41</v>
      </c>
      <c r="T58" s="6">
        <v>51</v>
      </c>
      <c r="U58" s="8">
        <f t="shared" si="6"/>
        <v>0.66445150077086279</v>
      </c>
      <c r="V58" s="8" t="str">
        <f t="shared" si="7"/>
        <v>Normal</v>
      </c>
      <c r="W58" s="8">
        <f t="shared" si="8"/>
        <v>-0.25855030584667421</v>
      </c>
      <c r="X58" s="8" t="str">
        <f t="shared" si="9"/>
        <v>Normal</v>
      </c>
    </row>
    <row r="59" spans="1:24" x14ac:dyDescent="0.25">
      <c r="A59" s="6">
        <v>58</v>
      </c>
      <c r="B59" s="7">
        <v>40546</v>
      </c>
      <c r="C59" s="6">
        <v>1</v>
      </c>
      <c r="D59" s="6" t="str">
        <f t="shared" si="0"/>
        <v>january</v>
      </c>
      <c r="E59" s="6">
        <v>12</v>
      </c>
      <c r="F59" s="6" t="str">
        <f t="shared" si="1"/>
        <v>Afternoon</v>
      </c>
      <c r="G59" s="6" t="b">
        <v>0</v>
      </c>
      <c r="H59" s="6">
        <f t="shared" si="2"/>
        <v>0</v>
      </c>
      <c r="I59" s="6">
        <v>1</v>
      </c>
      <c r="J59" s="6" t="str">
        <f t="shared" si="3"/>
        <v>Monday</v>
      </c>
      <c r="K59" s="6">
        <f t="shared" si="4"/>
        <v>0</v>
      </c>
      <c r="L59" s="6">
        <v>1</v>
      </c>
      <c r="M59" s="6" t="str">
        <f t="shared" si="5"/>
        <v>Partly cloudy</v>
      </c>
      <c r="N59" s="8">
        <v>0.22</v>
      </c>
      <c r="O59" s="8">
        <v>0.21210000000000001</v>
      </c>
      <c r="P59" s="8">
        <v>0.35</v>
      </c>
      <c r="Q59" s="8">
        <v>0.29849999999999999</v>
      </c>
      <c r="R59" s="6">
        <v>13</v>
      </c>
      <c r="S59" s="6">
        <v>48</v>
      </c>
      <c r="T59" s="6">
        <v>61</v>
      </c>
      <c r="U59" s="8">
        <f t="shared" si="6"/>
        <v>1.0569213771860211</v>
      </c>
      <c r="V59" s="8" t="str">
        <f t="shared" si="7"/>
        <v>Normal</v>
      </c>
      <c r="W59" s="8">
        <f t="shared" si="8"/>
        <v>-0.11239411260378322</v>
      </c>
      <c r="X59" s="8" t="str">
        <f t="shared" si="9"/>
        <v>Normal</v>
      </c>
    </row>
    <row r="60" spans="1:24" x14ac:dyDescent="0.25">
      <c r="A60" s="6">
        <v>59</v>
      </c>
      <c r="B60" s="7">
        <v>40546</v>
      </c>
      <c r="C60" s="6">
        <v>1</v>
      </c>
      <c r="D60" s="6" t="str">
        <f t="shared" si="0"/>
        <v>january</v>
      </c>
      <c r="E60" s="6">
        <v>13</v>
      </c>
      <c r="F60" s="6" t="str">
        <f t="shared" si="1"/>
        <v>Afternoon</v>
      </c>
      <c r="G60" s="6" t="b">
        <v>0</v>
      </c>
      <c r="H60" s="6">
        <f t="shared" si="2"/>
        <v>0</v>
      </c>
      <c r="I60" s="6">
        <v>1</v>
      </c>
      <c r="J60" s="6" t="str">
        <f t="shared" si="3"/>
        <v>Monday</v>
      </c>
      <c r="K60" s="6">
        <f t="shared" si="4"/>
        <v>0</v>
      </c>
      <c r="L60" s="6">
        <v>1</v>
      </c>
      <c r="M60" s="6" t="str">
        <f t="shared" si="5"/>
        <v>Partly cloudy</v>
      </c>
      <c r="N60" s="8">
        <v>0.24</v>
      </c>
      <c r="O60" s="8">
        <f>AVERAGE(Table2[atemp])</f>
        <v>0.19993489147704935</v>
      </c>
      <c r="P60" s="8">
        <v>0.35</v>
      </c>
      <c r="Q60" s="8">
        <v>0.28360000000000002</v>
      </c>
      <c r="R60" s="6">
        <v>8</v>
      </c>
      <c r="S60" s="6">
        <v>53</v>
      </c>
      <c r="T60" s="6">
        <v>61</v>
      </c>
      <c r="U60" s="8">
        <f t="shared" si="6"/>
        <v>0.40280491649409061</v>
      </c>
      <c r="V60" s="8" t="str">
        <f t="shared" si="7"/>
        <v>Normal</v>
      </c>
      <c r="W60" s="8">
        <f t="shared" si="8"/>
        <v>-7.9968317160039482E-3</v>
      </c>
      <c r="X60" s="8" t="str">
        <f t="shared" si="9"/>
        <v>Normal</v>
      </c>
    </row>
    <row r="61" spans="1:24" x14ac:dyDescent="0.25">
      <c r="A61" s="6">
        <v>60</v>
      </c>
      <c r="B61" s="7">
        <v>40546</v>
      </c>
      <c r="C61" s="6">
        <v>1</v>
      </c>
      <c r="D61" s="6" t="str">
        <f t="shared" si="0"/>
        <v>january</v>
      </c>
      <c r="E61" s="6">
        <v>14</v>
      </c>
      <c r="F61" s="6" t="str">
        <f t="shared" si="1"/>
        <v>Afternoon</v>
      </c>
      <c r="G61" s="6" t="b">
        <v>0</v>
      </c>
      <c r="H61" s="6">
        <f t="shared" si="2"/>
        <v>0</v>
      </c>
      <c r="I61" s="6">
        <v>1</v>
      </c>
      <c r="J61" s="6" t="str">
        <f t="shared" si="3"/>
        <v>Monday</v>
      </c>
      <c r="K61" s="6">
        <f t="shared" si="4"/>
        <v>0</v>
      </c>
      <c r="L61" s="6">
        <v>1</v>
      </c>
      <c r="M61" s="6" t="str">
        <f t="shared" si="5"/>
        <v>Partly cloudy</v>
      </c>
      <c r="N61" s="8">
        <v>0.26</v>
      </c>
      <c r="O61" s="8">
        <v>0.2424</v>
      </c>
      <c r="P61" s="8">
        <v>0.3</v>
      </c>
      <c r="Q61" s="8">
        <v>0.28360000000000002</v>
      </c>
      <c r="R61" s="6">
        <v>11</v>
      </c>
      <c r="S61" s="6">
        <v>66</v>
      </c>
      <c r="T61" s="6">
        <v>77</v>
      </c>
      <c r="U61" s="8">
        <f t="shared" si="6"/>
        <v>0.79527479290924885</v>
      </c>
      <c r="V61" s="8" t="str">
        <f t="shared" si="7"/>
        <v>Normal</v>
      </c>
      <c r="W61" s="8">
        <f t="shared" si="8"/>
        <v>0.26343609859222217</v>
      </c>
      <c r="X61" s="8" t="str">
        <f t="shared" si="9"/>
        <v>Normal</v>
      </c>
    </row>
    <row r="62" spans="1:24" x14ac:dyDescent="0.25">
      <c r="A62" s="6">
        <v>61</v>
      </c>
      <c r="B62" s="7">
        <v>40546</v>
      </c>
      <c r="C62" s="6">
        <v>1</v>
      </c>
      <c r="D62" s="6" t="str">
        <f t="shared" si="0"/>
        <v>january</v>
      </c>
      <c r="E62" s="6">
        <v>15</v>
      </c>
      <c r="F62" s="6" t="str">
        <f t="shared" si="1"/>
        <v>Afternoon</v>
      </c>
      <c r="G62" s="6" t="b">
        <v>0</v>
      </c>
      <c r="H62" s="6">
        <f t="shared" si="2"/>
        <v>0</v>
      </c>
      <c r="I62" s="6">
        <v>1</v>
      </c>
      <c r="J62" s="6" t="str">
        <f t="shared" si="3"/>
        <v>Monday</v>
      </c>
      <c r="K62" s="6">
        <f t="shared" si="4"/>
        <v>0</v>
      </c>
      <c r="L62" s="6">
        <v>1</v>
      </c>
      <c r="M62" s="6" t="str">
        <f t="shared" si="5"/>
        <v>Partly cloudy</v>
      </c>
      <c r="N62" s="8">
        <v>0.26</v>
      </c>
      <c r="O62" s="8">
        <v>0.2424</v>
      </c>
      <c r="P62" s="8">
        <v>0.3</v>
      </c>
      <c r="Q62" s="8">
        <v>0.25369999999999998</v>
      </c>
      <c r="R62" s="6">
        <v>14</v>
      </c>
      <c r="S62" s="6">
        <v>58</v>
      </c>
      <c r="T62" s="6">
        <v>72</v>
      </c>
      <c r="U62" s="8">
        <f t="shared" si="6"/>
        <v>1.1877446693244071</v>
      </c>
      <c r="V62" s="8" t="str">
        <f t="shared" si="7"/>
        <v>Normal</v>
      </c>
      <c r="W62" s="8">
        <f t="shared" si="8"/>
        <v>9.6400449171775315E-2</v>
      </c>
      <c r="X62" s="8" t="str">
        <f t="shared" si="9"/>
        <v>Normal</v>
      </c>
    </row>
    <row r="63" spans="1:24" x14ac:dyDescent="0.25">
      <c r="A63" s="6">
        <v>62</v>
      </c>
      <c r="B63" s="7">
        <v>40546</v>
      </c>
      <c r="C63" s="6">
        <v>1</v>
      </c>
      <c r="D63" s="6" t="str">
        <f t="shared" si="0"/>
        <v>january</v>
      </c>
      <c r="E63" s="6">
        <v>16</v>
      </c>
      <c r="F63" s="6" t="str">
        <f t="shared" si="1"/>
        <v>Afternoon</v>
      </c>
      <c r="G63" s="6" t="b">
        <v>0</v>
      </c>
      <c r="H63" s="6">
        <f t="shared" si="2"/>
        <v>0</v>
      </c>
      <c r="I63" s="6">
        <v>1</v>
      </c>
      <c r="J63" s="6" t="str">
        <f t="shared" si="3"/>
        <v>Monday</v>
      </c>
      <c r="K63" s="6">
        <f t="shared" si="4"/>
        <v>0</v>
      </c>
      <c r="L63" s="6">
        <v>1</v>
      </c>
      <c r="M63" s="6" t="str">
        <f t="shared" si="5"/>
        <v>Partly cloudy</v>
      </c>
      <c r="N63" s="8">
        <v>0.26</v>
      </c>
      <c r="O63" s="8">
        <v>0.2424</v>
      </c>
      <c r="P63" s="8">
        <v>0.3</v>
      </c>
      <c r="Q63" s="8">
        <v>0.25369999999999998</v>
      </c>
      <c r="R63" s="6">
        <v>9</v>
      </c>
      <c r="S63" s="6">
        <v>67</v>
      </c>
      <c r="T63" s="6">
        <v>76</v>
      </c>
      <c r="U63" s="8">
        <f t="shared" si="6"/>
        <v>0.53362820863247673</v>
      </c>
      <c r="V63" s="8" t="str">
        <f t="shared" si="7"/>
        <v>Normal</v>
      </c>
      <c r="W63" s="8">
        <f t="shared" si="8"/>
        <v>0.28431555476977799</v>
      </c>
      <c r="X63" s="8" t="str">
        <f t="shared" si="9"/>
        <v>Normal</v>
      </c>
    </row>
    <row r="64" spans="1:24" x14ac:dyDescent="0.25">
      <c r="A64" s="6">
        <v>63</v>
      </c>
      <c r="B64" s="7">
        <v>40546</v>
      </c>
      <c r="C64" s="6">
        <v>1</v>
      </c>
      <c r="D64" s="6" t="str">
        <f t="shared" si="0"/>
        <v>january</v>
      </c>
      <c r="E64" s="6">
        <v>17</v>
      </c>
      <c r="F64" s="6" t="str">
        <f t="shared" si="1"/>
        <v>Evening</v>
      </c>
      <c r="G64" s="6" t="b">
        <v>0</v>
      </c>
      <c r="H64" s="6">
        <f t="shared" si="2"/>
        <v>0</v>
      </c>
      <c r="I64" s="6">
        <v>1</v>
      </c>
      <c r="J64" s="6" t="str">
        <f t="shared" si="3"/>
        <v>Monday</v>
      </c>
      <c r="K64" s="6">
        <f t="shared" si="4"/>
        <v>0</v>
      </c>
      <c r="L64" s="6">
        <v>1</v>
      </c>
      <c r="M64" s="6" t="str">
        <f t="shared" si="5"/>
        <v>Partly cloudy</v>
      </c>
      <c r="N64" s="8">
        <v>0.24</v>
      </c>
      <c r="O64" s="8">
        <v>0.2273</v>
      </c>
      <c r="P64" s="8">
        <v>0.3</v>
      </c>
      <c r="Q64" s="8">
        <v>0.22389999999999999</v>
      </c>
      <c r="R64" s="6">
        <v>11</v>
      </c>
      <c r="S64" s="6">
        <v>146</v>
      </c>
      <c r="T64" s="6">
        <v>157</v>
      </c>
      <c r="U64" s="8">
        <f t="shared" si="6"/>
        <v>0.79527479290924885</v>
      </c>
      <c r="V64" s="8" t="str">
        <f t="shared" si="7"/>
        <v>Normal</v>
      </c>
      <c r="W64" s="8">
        <f t="shared" si="8"/>
        <v>1.9337925927966904</v>
      </c>
      <c r="X64" s="8" t="str">
        <f t="shared" si="9"/>
        <v>Normal</v>
      </c>
    </row>
    <row r="65" spans="1:24" x14ac:dyDescent="0.25">
      <c r="A65" s="6">
        <v>64</v>
      </c>
      <c r="B65" s="7">
        <v>40546</v>
      </c>
      <c r="C65" s="6">
        <v>1</v>
      </c>
      <c r="D65" s="6" t="str">
        <f t="shared" si="0"/>
        <v>january</v>
      </c>
      <c r="E65" s="6">
        <v>18</v>
      </c>
      <c r="F65" s="6" t="str">
        <f t="shared" si="1"/>
        <v>Evening</v>
      </c>
      <c r="G65" s="6" t="b">
        <v>0</v>
      </c>
      <c r="H65" s="6">
        <f t="shared" si="2"/>
        <v>0</v>
      </c>
      <c r="I65" s="6">
        <v>1</v>
      </c>
      <c r="J65" s="6" t="str">
        <f t="shared" si="3"/>
        <v>Monday</v>
      </c>
      <c r="K65" s="6">
        <f t="shared" si="4"/>
        <v>0</v>
      </c>
      <c r="L65" s="6">
        <v>1</v>
      </c>
      <c r="M65" s="6" t="str">
        <f t="shared" si="5"/>
        <v>Partly cloudy</v>
      </c>
      <c r="N65" s="8">
        <v>0.24</v>
      </c>
      <c r="O65" s="8">
        <v>0.2576</v>
      </c>
      <c r="P65" s="8">
        <v>0.32</v>
      </c>
      <c r="Q65" s="8">
        <v>0.1045</v>
      </c>
      <c r="R65" s="6">
        <v>9</v>
      </c>
      <c r="S65" s="6">
        <v>148</v>
      </c>
      <c r="T65" s="6">
        <v>157</v>
      </c>
      <c r="U65" s="8">
        <f t="shared" si="6"/>
        <v>0.53362820863247673</v>
      </c>
      <c r="V65" s="8" t="str">
        <f t="shared" si="7"/>
        <v>Normal</v>
      </c>
      <c r="W65" s="8">
        <f t="shared" si="8"/>
        <v>1.975551505151802</v>
      </c>
      <c r="X65" s="8" t="str">
        <f t="shared" si="9"/>
        <v>Normal</v>
      </c>
    </row>
    <row r="66" spans="1:24" x14ac:dyDescent="0.25">
      <c r="A66" s="6">
        <v>65</v>
      </c>
      <c r="B66" s="7">
        <v>40546</v>
      </c>
      <c r="C66" s="6">
        <v>1</v>
      </c>
      <c r="D66" s="6" t="str">
        <f t="shared" ref="D66:D129" si="10">IF(C66=1,"january",IF(C66=2,"february"))</f>
        <v>january</v>
      </c>
      <c r="E66" s="6">
        <v>19</v>
      </c>
      <c r="F66" s="6" t="str">
        <f t="shared" ref="F66:F129" si="11">IF(AND(E66&gt;=5,E66&lt;8),"Early Morning", IF(AND(E66&gt;=8,E66&lt;12),"Morning", IF(AND(E66&gt;=12,E66&lt;17),"Afternoon", IF(AND(E66&gt;=17,E66&lt;21),"Evening","Night"))))</f>
        <v>Evening</v>
      </c>
      <c r="G66" s="6" t="b">
        <v>0</v>
      </c>
      <c r="H66" s="6">
        <f t="shared" ref="H66:H129" si="12">IF(G66=FALSE,0,IF(G66=TRUE,1))</f>
        <v>0</v>
      </c>
      <c r="I66" s="6">
        <v>1</v>
      </c>
      <c r="J66" s="6" t="str">
        <f t="shared" ref="J66:J129" si="13">TEXT(B66,"dddd")</f>
        <v>Monday</v>
      </c>
      <c r="K66" s="6">
        <f t="shared" ref="K66:K129" si="14">IF(OR(J66="Saturday",J66="Sunday"),1,0)</f>
        <v>0</v>
      </c>
      <c r="L66" s="6">
        <v>1</v>
      </c>
      <c r="M66" s="6" t="str">
        <f t="shared" ref="M66:M129" si="15">IF(L66=0,"clear sky",IF(L66=1,"Partly cloudy",IF(L66=2,"Cloudy",IF(L66=3,"Light rain",IF(L66=4,"Heavy rain")))))</f>
        <v>Partly cloudy</v>
      </c>
      <c r="N66" s="8">
        <v>0.2</v>
      </c>
      <c r="O66" s="8">
        <v>0.2576</v>
      </c>
      <c r="P66" s="8">
        <v>0.47</v>
      </c>
      <c r="Q66" s="8">
        <v>0</v>
      </c>
      <c r="R66" s="6">
        <v>8</v>
      </c>
      <c r="S66" s="6">
        <v>102</v>
      </c>
      <c r="T66" s="6">
        <v>110</v>
      </c>
      <c r="U66" s="8">
        <f t="shared" ref="U66:U129" si="16">(R66-$AA$7)/$AA$9</f>
        <v>0.40280491649409061</v>
      </c>
      <c r="V66" s="8" t="str">
        <f t="shared" ref="V66:V129" si="17">IF(ABS(U66)&gt;2,"Peak","Normal")</f>
        <v>Normal</v>
      </c>
      <c r="W66" s="8">
        <f t="shared" ref="W66:W129" si="18">(S66-$AA$11)/$AA$13</f>
        <v>1.0150965209842329</v>
      </c>
      <c r="X66" s="8" t="str">
        <f t="shared" ref="X66:X129" si="19">IF(ABS(W66)&gt;2,"Peak","Normal")</f>
        <v>Normal</v>
      </c>
    </row>
    <row r="67" spans="1:24" x14ac:dyDescent="0.25">
      <c r="A67" s="6">
        <v>66</v>
      </c>
      <c r="B67" s="7">
        <v>40546</v>
      </c>
      <c r="C67" s="6">
        <v>1</v>
      </c>
      <c r="D67" s="6" t="str">
        <f t="shared" si="10"/>
        <v>january</v>
      </c>
      <c r="E67" s="6">
        <v>20</v>
      </c>
      <c r="F67" s="6" t="str">
        <f t="shared" si="11"/>
        <v>Evening</v>
      </c>
      <c r="G67" s="6" t="b">
        <v>0</v>
      </c>
      <c r="H67" s="6">
        <f t="shared" si="12"/>
        <v>0</v>
      </c>
      <c r="I67" s="6">
        <v>1</v>
      </c>
      <c r="J67" s="6" t="str">
        <f t="shared" si="13"/>
        <v>Monday</v>
      </c>
      <c r="K67" s="6">
        <f t="shared" si="14"/>
        <v>0</v>
      </c>
      <c r="L67" s="6">
        <v>1</v>
      </c>
      <c r="M67" s="6" t="str">
        <f t="shared" si="15"/>
        <v>Partly cloudy</v>
      </c>
      <c r="N67" s="8">
        <v>0.2</v>
      </c>
      <c r="O67" s="8">
        <f>AVERAGE(Table2[atemp])</f>
        <v>0.19993489147704935</v>
      </c>
      <c r="P67" s="8">
        <v>0.47</v>
      </c>
      <c r="Q67" s="8">
        <v>0.1045</v>
      </c>
      <c r="R67" s="6">
        <v>3</v>
      </c>
      <c r="S67" s="6">
        <v>49</v>
      </c>
      <c r="T67" s="6">
        <v>52</v>
      </c>
      <c r="U67" s="8">
        <f t="shared" si="16"/>
        <v>-0.25131154419783963</v>
      </c>
      <c r="V67" s="8" t="str">
        <f t="shared" si="17"/>
        <v>Normal</v>
      </c>
      <c r="W67" s="8">
        <f t="shared" si="18"/>
        <v>-9.1514656426227359E-2</v>
      </c>
      <c r="X67" s="8" t="str">
        <f t="shared" si="19"/>
        <v>Normal</v>
      </c>
    </row>
    <row r="68" spans="1:24" x14ac:dyDescent="0.25">
      <c r="A68" s="6">
        <v>67</v>
      </c>
      <c r="B68" s="7">
        <v>40546</v>
      </c>
      <c r="C68" s="6">
        <v>1</v>
      </c>
      <c r="D68" s="6" t="str">
        <f t="shared" si="10"/>
        <v>january</v>
      </c>
      <c r="E68" s="6">
        <v>21</v>
      </c>
      <c r="F68" s="6" t="str">
        <f t="shared" si="11"/>
        <v>Night</v>
      </c>
      <c r="G68" s="6" t="b">
        <v>0</v>
      </c>
      <c r="H68" s="6">
        <f t="shared" si="12"/>
        <v>0</v>
      </c>
      <c r="I68" s="6">
        <v>1</v>
      </c>
      <c r="J68" s="6" t="str">
        <f t="shared" si="13"/>
        <v>Monday</v>
      </c>
      <c r="K68" s="6">
        <f t="shared" si="14"/>
        <v>0</v>
      </c>
      <c r="L68" s="6">
        <v>1</v>
      </c>
      <c r="M68" s="6" t="str">
        <f t="shared" si="15"/>
        <v>Partly cloudy</v>
      </c>
      <c r="N68" s="8">
        <v>0.18</v>
      </c>
      <c r="O68" s="8">
        <v>0.19700000000000001</v>
      </c>
      <c r="P68" s="8">
        <v>0.64</v>
      </c>
      <c r="Q68" s="8">
        <v>0.1343</v>
      </c>
      <c r="R68" s="6">
        <v>3</v>
      </c>
      <c r="S68" s="6">
        <v>49</v>
      </c>
      <c r="T68" s="6">
        <v>52</v>
      </c>
      <c r="U68" s="8">
        <f t="shared" si="16"/>
        <v>-0.25131154419783963</v>
      </c>
      <c r="V68" s="8" t="str">
        <f t="shared" si="17"/>
        <v>Normal</v>
      </c>
      <c r="W68" s="8">
        <f t="shared" si="18"/>
        <v>-9.1514656426227359E-2</v>
      </c>
      <c r="X68" s="8" t="str">
        <f t="shared" si="19"/>
        <v>Normal</v>
      </c>
    </row>
    <row r="69" spans="1:24" x14ac:dyDescent="0.25">
      <c r="A69" s="6">
        <v>68</v>
      </c>
      <c r="B69" s="7">
        <v>40546</v>
      </c>
      <c r="C69" s="6">
        <v>1</v>
      </c>
      <c r="D69" s="6" t="str">
        <f t="shared" si="10"/>
        <v>january</v>
      </c>
      <c r="E69" s="6">
        <v>22</v>
      </c>
      <c r="F69" s="6" t="str">
        <f t="shared" si="11"/>
        <v>Night</v>
      </c>
      <c r="G69" s="6" t="b">
        <v>0</v>
      </c>
      <c r="H69" s="6">
        <f t="shared" si="12"/>
        <v>0</v>
      </c>
      <c r="I69" s="6">
        <v>1</v>
      </c>
      <c r="J69" s="6" t="str">
        <f t="shared" si="13"/>
        <v>Monday</v>
      </c>
      <c r="K69" s="6">
        <f t="shared" si="14"/>
        <v>0</v>
      </c>
      <c r="L69" s="6">
        <v>1</v>
      </c>
      <c r="M69" s="6" t="str">
        <f t="shared" si="15"/>
        <v>Partly cloudy</v>
      </c>
      <c r="N69" s="8">
        <v>0.14000000000000001</v>
      </c>
      <c r="O69" s="8">
        <v>0.1515</v>
      </c>
      <c r="P69" s="8">
        <v>0.69</v>
      </c>
      <c r="Q69" s="8">
        <v>0.1343</v>
      </c>
      <c r="R69" s="6">
        <v>0</v>
      </c>
      <c r="S69" s="6">
        <v>20</v>
      </c>
      <c r="T69" s="6">
        <v>20</v>
      </c>
      <c r="U69" s="8">
        <f t="shared" si="16"/>
        <v>-0.64378142061299781</v>
      </c>
      <c r="V69" s="8" t="str">
        <f t="shared" si="17"/>
        <v>Normal</v>
      </c>
      <c r="W69" s="8">
        <f t="shared" si="18"/>
        <v>-0.69701888557534708</v>
      </c>
      <c r="X69" s="8" t="str">
        <f t="shared" si="19"/>
        <v>Normal</v>
      </c>
    </row>
    <row r="70" spans="1:24" x14ac:dyDescent="0.25">
      <c r="A70" s="6">
        <v>69</v>
      </c>
      <c r="B70" s="7">
        <v>40546</v>
      </c>
      <c r="C70" s="6">
        <v>1</v>
      </c>
      <c r="D70" s="6" t="str">
        <f t="shared" si="10"/>
        <v>january</v>
      </c>
      <c r="E70" s="6">
        <v>23</v>
      </c>
      <c r="F70" s="6" t="str">
        <f t="shared" si="11"/>
        <v>Night</v>
      </c>
      <c r="G70" s="6" t="b">
        <v>0</v>
      </c>
      <c r="H70" s="6">
        <f t="shared" si="12"/>
        <v>0</v>
      </c>
      <c r="I70" s="6">
        <v>1</v>
      </c>
      <c r="J70" s="6" t="str">
        <f t="shared" si="13"/>
        <v>Monday</v>
      </c>
      <c r="K70" s="6">
        <f t="shared" si="14"/>
        <v>0</v>
      </c>
      <c r="L70" s="6">
        <v>1</v>
      </c>
      <c r="M70" s="6" t="str">
        <f t="shared" si="15"/>
        <v>Partly cloudy</v>
      </c>
      <c r="N70" s="8">
        <v>0.18</v>
      </c>
      <c r="O70" s="8">
        <v>0.21210000000000001</v>
      </c>
      <c r="P70" s="8">
        <v>0.55000000000000004</v>
      </c>
      <c r="Q70" s="8">
        <v>0.1045</v>
      </c>
      <c r="R70" s="6">
        <v>1</v>
      </c>
      <c r="S70" s="6">
        <v>11</v>
      </c>
      <c r="T70" s="6">
        <v>12</v>
      </c>
      <c r="U70" s="8">
        <f t="shared" si="16"/>
        <v>-0.51295812847461175</v>
      </c>
      <c r="V70" s="8" t="str">
        <f t="shared" si="17"/>
        <v>Normal</v>
      </c>
      <c r="W70" s="8">
        <f t="shared" si="18"/>
        <v>-0.88493399117334981</v>
      </c>
      <c r="X70" s="8" t="str">
        <f t="shared" si="19"/>
        <v>Normal</v>
      </c>
    </row>
    <row r="71" spans="1:24" x14ac:dyDescent="0.25">
      <c r="A71" s="6">
        <v>70</v>
      </c>
      <c r="B71" s="7">
        <v>40547</v>
      </c>
      <c r="C71" s="6">
        <v>1</v>
      </c>
      <c r="D71" s="6" t="str">
        <f t="shared" si="10"/>
        <v>january</v>
      </c>
      <c r="E71" s="6">
        <v>0</v>
      </c>
      <c r="F71" s="6" t="str">
        <f t="shared" si="11"/>
        <v>Night</v>
      </c>
      <c r="G71" s="6" t="b">
        <v>0</v>
      </c>
      <c r="H71" s="6">
        <f t="shared" si="12"/>
        <v>0</v>
      </c>
      <c r="I71" s="6">
        <v>2</v>
      </c>
      <c r="J71" s="6" t="str">
        <f t="shared" si="13"/>
        <v>Tuesday</v>
      </c>
      <c r="K71" s="6">
        <f t="shared" si="14"/>
        <v>0</v>
      </c>
      <c r="L71" s="6">
        <v>1</v>
      </c>
      <c r="M71" s="6" t="str">
        <f t="shared" si="15"/>
        <v>Partly cloudy</v>
      </c>
      <c r="N71" s="8">
        <v>0.16</v>
      </c>
      <c r="O71" s="8">
        <f>AVERAGE(Table2[atemp])</f>
        <v>0.19993489147704935</v>
      </c>
      <c r="P71" s="8">
        <v>0.55000000000000004</v>
      </c>
      <c r="Q71" s="8">
        <v>0.1045</v>
      </c>
      <c r="R71" s="6">
        <v>0</v>
      </c>
      <c r="S71" s="6">
        <v>5</v>
      </c>
      <c r="T71" s="6">
        <v>5</v>
      </c>
      <c r="U71" s="8">
        <f t="shared" si="16"/>
        <v>-0.64378142061299781</v>
      </c>
      <c r="V71" s="8" t="str">
        <f t="shared" si="17"/>
        <v>Normal</v>
      </c>
      <c r="W71" s="8">
        <f t="shared" si="18"/>
        <v>-1.010210728238685</v>
      </c>
      <c r="X71" s="8" t="str">
        <f t="shared" si="19"/>
        <v>Normal</v>
      </c>
    </row>
    <row r="72" spans="1:24" x14ac:dyDescent="0.25">
      <c r="A72" s="6">
        <v>71</v>
      </c>
      <c r="B72" s="7">
        <v>40547</v>
      </c>
      <c r="C72" s="6">
        <v>1</v>
      </c>
      <c r="D72" s="6" t="str">
        <f t="shared" si="10"/>
        <v>january</v>
      </c>
      <c r="E72" s="6">
        <v>1</v>
      </c>
      <c r="F72" s="6" t="str">
        <f t="shared" si="11"/>
        <v>Night</v>
      </c>
      <c r="G72" s="6" t="b">
        <v>0</v>
      </c>
      <c r="H72" s="6">
        <f t="shared" si="12"/>
        <v>0</v>
      </c>
      <c r="I72" s="6">
        <v>2</v>
      </c>
      <c r="J72" s="6" t="str">
        <f t="shared" si="13"/>
        <v>Tuesday</v>
      </c>
      <c r="K72" s="6">
        <f t="shared" si="14"/>
        <v>0</v>
      </c>
      <c r="L72" s="6">
        <v>1</v>
      </c>
      <c r="M72" s="6" t="str">
        <f t="shared" si="15"/>
        <v>Partly cloudy</v>
      </c>
      <c r="N72" s="8">
        <v>0.16</v>
      </c>
      <c r="O72" s="8">
        <v>0.18179999999999999</v>
      </c>
      <c r="P72" s="8">
        <v>0.59</v>
      </c>
      <c r="Q72" s="8">
        <v>0.1045</v>
      </c>
      <c r="R72" s="6">
        <v>0</v>
      </c>
      <c r="S72" s="6">
        <v>2</v>
      </c>
      <c r="T72" s="6">
        <v>2</v>
      </c>
      <c r="U72" s="8">
        <f t="shared" si="16"/>
        <v>-0.64378142061299781</v>
      </c>
      <c r="V72" s="8" t="str">
        <f t="shared" si="17"/>
        <v>Normal</v>
      </c>
      <c r="W72" s="8">
        <f t="shared" si="18"/>
        <v>-1.0728490967713524</v>
      </c>
      <c r="X72" s="8" t="str">
        <f t="shared" si="19"/>
        <v>Normal</v>
      </c>
    </row>
    <row r="73" spans="1:24" x14ac:dyDescent="0.25">
      <c r="A73" s="6">
        <v>72</v>
      </c>
      <c r="B73" s="7">
        <v>40547</v>
      </c>
      <c r="C73" s="6">
        <v>1</v>
      </c>
      <c r="D73" s="6" t="str">
        <f t="shared" si="10"/>
        <v>january</v>
      </c>
      <c r="E73" s="6">
        <v>2</v>
      </c>
      <c r="F73" s="6" t="str">
        <f t="shared" si="11"/>
        <v>Night</v>
      </c>
      <c r="G73" s="6" t="b">
        <v>0</v>
      </c>
      <c r="H73" s="6">
        <f t="shared" si="12"/>
        <v>0</v>
      </c>
      <c r="I73" s="6">
        <v>2</v>
      </c>
      <c r="J73" s="6" t="str">
        <f t="shared" si="13"/>
        <v>Tuesday</v>
      </c>
      <c r="K73" s="6">
        <f t="shared" si="14"/>
        <v>0</v>
      </c>
      <c r="L73" s="6">
        <v>1</v>
      </c>
      <c r="M73" s="6" t="str">
        <f t="shared" si="15"/>
        <v>Partly cloudy</v>
      </c>
      <c r="N73" s="8">
        <v>0.14000000000000001</v>
      </c>
      <c r="O73" s="8">
        <v>0.1515</v>
      </c>
      <c r="P73" s="8">
        <v>0.63</v>
      </c>
      <c r="Q73" s="8">
        <v>0.1343</v>
      </c>
      <c r="R73" s="6">
        <v>0</v>
      </c>
      <c r="S73" s="6">
        <v>1</v>
      </c>
      <c r="T73" s="6">
        <v>1</v>
      </c>
      <c r="U73" s="8">
        <f t="shared" si="16"/>
        <v>-0.64378142061299781</v>
      </c>
      <c r="V73" s="8" t="str">
        <f t="shared" si="17"/>
        <v>Normal</v>
      </c>
      <c r="W73" s="8">
        <f t="shared" si="18"/>
        <v>-1.0937285529489083</v>
      </c>
      <c r="X73" s="8" t="str">
        <f t="shared" si="19"/>
        <v>Normal</v>
      </c>
    </row>
    <row r="74" spans="1:24" x14ac:dyDescent="0.25">
      <c r="A74" s="6">
        <v>73</v>
      </c>
      <c r="B74" s="7">
        <v>40547</v>
      </c>
      <c r="C74" s="6">
        <v>1</v>
      </c>
      <c r="D74" s="6" t="str">
        <f t="shared" si="10"/>
        <v>january</v>
      </c>
      <c r="E74" s="6">
        <v>4</v>
      </c>
      <c r="F74" s="6" t="str">
        <f t="shared" si="11"/>
        <v>Night</v>
      </c>
      <c r="G74" s="6" t="b">
        <v>0</v>
      </c>
      <c r="H74" s="6">
        <f t="shared" si="12"/>
        <v>0</v>
      </c>
      <c r="I74" s="6">
        <v>2</v>
      </c>
      <c r="J74" s="6" t="str">
        <f t="shared" si="13"/>
        <v>Tuesday</v>
      </c>
      <c r="K74" s="6">
        <f t="shared" si="14"/>
        <v>0</v>
      </c>
      <c r="L74" s="6">
        <v>1</v>
      </c>
      <c r="M74" s="6" t="str">
        <f t="shared" si="15"/>
        <v>Partly cloudy</v>
      </c>
      <c r="N74" s="8">
        <v>0.14000000000000001</v>
      </c>
      <c r="O74" s="8">
        <v>0.18179999999999999</v>
      </c>
      <c r="P74" s="8">
        <v>0.63</v>
      </c>
      <c r="Q74" s="8">
        <v>8.9599999999999999E-2</v>
      </c>
      <c r="R74" s="6">
        <v>0</v>
      </c>
      <c r="S74" s="6">
        <v>2</v>
      </c>
      <c r="T74" s="6">
        <v>2</v>
      </c>
      <c r="U74" s="8">
        <f t="shared" si="16"/>
        <v>-0.64378142061299781</v>
      </c>
      <c r="V74" s="8" t="str">
        <f t="shared" si="17"/>
        <v>Normal</v>
      </c>
      <c r="W74" s="8">
        <f t="shared" si="18"/>
        <v>-1.0728490967713524</v>
      </c>
      <c r="X74" s="8" t="str">
        <f t="shared" si="19"/>
        <v>Normal</v>
      </c>
    </row>
    <row r="75" spans="1:24" x14ac:dyDescent="0.25">
      <c r="A75" s="6">
        <v>74</v>
      </c>
      <c r="B75" s="7">
        <v>40547</v>
      </c>
      <c r="C75" s="6">
        <v>1</v>
      </c>
      <c r="D75" s="6" t="str">
        <f t="shared" si="10"/>
        <v>january</v>
      </c>
      <c r="E75" s="6">
        <v>5</v>
      </c>
      <c r="F75" s="6" t="str">
        <f t="shared" si="11"/>
        <v>Early Morning</v>
      </c>
      <c r="G75" s="6" t="b">
        <v>0</v>
      </c>
      <c r="H75" s="6">
        <f t="shared" si="12"/>
        <v>0</v>
      </c>
      <c r="I75" s="6">
        <v>2</v>
      </c>
      <c r="J75" s="6" t="str">
        <f t="shared" si="13"/>
        <v>Tuesday</v>
      </c>
      <c r="K75" s="6">
        <f t="shared" si="14"/>
        <v>0</v>
      </c>
      <c r="L75" s="6">
        <v>1</v>
      </c>
      <c r="M75" s="6" t="str">
        <f t="shared" si="15"/>
        <v>Partly cloudy</v>
      </c>
      <c r="N75" s="8">
        <v>0.12</v>
      </c>
      <c r="O75" s="8">
        <v>0.1515</v>
      </c>
      <c r="P75" s="8">
        <v>0.68</v>
      </c>
      <c r="Q75" s="8">
        <v>0.1045</v>
      </c>
      <c r="R75" s="6">
        <v>0</v>
      </c>
      <c r="S75" s="6">
        <v>4</v>
      </c>
      <c r="T75" s="6">
        <v>4</v>
      </c>
      <c r="U75" s="8">
        <f t="shared" si="16"/>
        <v>-0.64378142061299781</v>
      </c>
      <c r="V75" s="8" t="str">
        <f t="shared" si="17"/>
        <v>Normal</v>
      </c>
      <c r="W75" s="8">
        <f t="shared" si="18"/>
        <v>-1.0310901844162408</v>
      </c>
      <c r="X75" s="8" t="str">
        <f t="shared" si="19"/>
        <v>Normal</v>
      </c>
    </row>
    <row r="76" spans="1:24" x14ac:dyDescent="0.25">
      <c r="A76" s="6">
        <v>75</v>
      </c>
      <c r="B76" s="7">
        <v>40547</v>
      </c>
      <c r="C76" s="6">
        <v>1</v>
      </c>
      <c r="D76" s="6" t="str">
        <f t="shared" si="10"/>
        <v>january</v>
      </c>
      <c r="E76" s="6">
        <v>6</v>
      </c>
      <c r="F76" s="6" t="str">
        <f t="shared" si="11"/>
        <v>Early Morning</v>
      </c>
      <c r="G76" s="6" t="b">
        <v>0</v>
      </c>
      <c r="H76" s="6">
        <f t="shared" si="12"/>
        <v>0</v>
      </c>
      <c r="I76" s="6">
        <v>2</v>
      </c>
      <c r="J76" s="6" t="str">
        <f t="shared" si="13"/>
        <v>Tuesday</v>
      </c>
      <c r="K76" s="6">
        <f t="shared" si="14"/>
        <v>0</v>
      </c>
      <c r="L76" s="6">
        <v>1</v>
      </c>
      <c r="M76" s="6" t="str">
        <f t="shared" si="15"/>
        <v>Partly cloudy</v>
      </c>
      <c r="N76" s="8">
        <v>0.12</v>
      </c>
      <c r="O76" s="8">
        <v>0.1515</v>
      </c>
      <c r="P76" s="8">
        <v>0.74</v>
      </c>
      <c r="Q76" s="8">
        <v>0.1045</v>
      </c>
      <c r="R76" s="6">
        <v>0</v>
      </c>
      <c r="S76" s="6">
        <v>36</v>
      </c>
      <c r="T76" s="6">
        <v>36</v>
      </c>
      <c r="U76" s="8">
        <f t="shared" si="16"/>
        <v>-0.64378142061299781</v>
      </c>
      <c r="V76" s="8" t="str">
        <f t="shared" si="17"/>
        <v>Normal</v>
      </c>
      <c r="W76" s="8">
        <f t="shared" si="18"/>
        <v>-0.36294758673445349</v>
      </c>
      <c r="X76" s="8" t="str">
        <f t="shared" si="19"/>
        <v>Normal</v>
      </c>
    </row>
    <row r="77" spans="1:24" x14ac:dyDescent="0.25">
      <c r="A77" s="6">
        <v>76</v>
      </c>
      <c r="B77" s="7">
        <v>40547</v>
      </c>
      <c r="C77" s="6">
        <v>1</v>
      </c>
      <c r="D77" s="6" t="str">
        <f t="shared" si="10"/>
        <v>january</v>
      </c>
      <c r="E77" s="6">
        <v>7</v>
      </c>
      <c r="F77" s="6" t="str">
        <f t="shared" si="11"/>
        <v>Early Morning</v>
      </c>
      <c r="G77" s="6" t="b">
        <v>0</v>
      </c>
      <c r="H77" s="6">
        <f t="shared" si="12"/>
        <v>0</v>
      </c>
      <c r="I77" s="6">
        <v>2</v>
      </c>
      <c r="J77" s="6" t="str">
        <f t="shared" si="13"/>
        <v>Tuesday</v>
      </c>
      <c r="K77" s="6">
        <f t="shared" si="14"/>
        <v>0</v>
      </c>
      <c r="L77" s="6">
        <v>1</v>
      </c>
      <c r="M77" s="6" t="str">
        <f t="shared" si="15"/>
        <v>Partly cloudy</v>
      </c>
      <c r="N77" s="8">
        <v>0.12</v>
      </c>
      <c r="O77" s="8">
        <v>0.1515</v>
      </c>
      <c r="P77" s="8">
        <v>0.74</v>
      </c>
      <c r="Q77" s="8">
        <v>0.1343</v>
      </c>
      <c r="R77" s="6">
        <v>2</v>
      </c>
      <c r="S77" s="6">
        <v>92</v>
      </c>
      <c r="T77" s="6">
        <v>94</v>
      </c>
      <c r="U77" s="8">
        <f t="shared" si="16"/>
        <v>-0.38213483633622569</v>
      </c>
      <c r="V77" s="8" t="str">
        <f t="shared" si="17"/>
        <v>Normal</v>
      </c>
      <c r="W77" s="8">
        <f t="shared" si="18"/>
        <v>0.80630195920867431</v>
      </c>
      <c r="X77" s="8" t="str">
        <f t="shared" si="19"/>
        <v>Normal</v>
      </c>
    </row>
    <row r="78" spans="1:24" x14ac:dyDescent="0.25">
      <c r="A78" s="6">
        <v>77</v>
      </c>
      <c r="B78" s="7">
        <v>40547</v>
      </c>
      <c r="C78" s="6">
        <v>1</v>
      </c>
      <c r="D78" s="6" t="str">
        <f t="shared" si="10"/>
        <v>january</v>
      </c>
      <c r="E78" s="6">
        <v>8</v>
      </c>
      <c r="F78" s="6" t="str">
        <f t="shared" si="11"/>
        <v>Morning</v>
      </c>
      <c r="G78" s="6" t="b">
        <v>0</v>
      </c>
      <c r="H78" s="6">
        <f t="shared" si="12"/>
        <v>0</v>
      </c>
      <c r="I78" s="6">
        <v>2</v>
      </c>
      <c r="J78" s="6" t="str">
        <f t="shared" si="13"/>
        <v>Tuesday</v>
      </c>
      <c r="K78" s="6">
        <f t="shared" si="14"/>
        <v>0</v>
      </c>
      <c r="L78" s="6">
        <v>1</v>
      </c>
      <c r="M78" s="6" t="str">
        <f t="shared" si="15"/>
        <v>Partly cloudy</v>
      </c>
      <c r="N78" s="8">
        <v>0.14000000000000001</v>
      </c>
      <c r="O78" s="8">
        <v>0.1515</v>
      </c>
      <c r="P78" s="8">
        <v>0.69</v>
      </c>
      <c r="Q78" s="8">
        <v>0.16420000000000001</v>
      </c>
      <c r="R78" s="6">
        <v>2</v>
      </c>
      <c r="S78" s="6">
        <v>177</v>
      </c>
      <c r="T78" s="6">
        <v>179</v>
      </c>
      <c r="U78" s="8">
        <f t="shared" si="16"/>
        <v>-0.38213483633622569</v>
      </c>
      <c r="V78" s="8" t="str">
        <f t="shared" si="17"/>
        <v>Normal</v>
      </c>
      <c r="W78" s="8">
        <f t="shared" si="18"/>
        <v>2.5810557343009219</v>
      </c>
      <c r="X78" s="8" t="str">
        <f t="shared" si="19"/>
        <v>Peak</v>
      </c>
    </row>
    <row r="79" spans="1:24" x14ac:dyDescent="0.25">
      <c r="A79" s="6">
        <v>78</v>
      </c>
      <c r="B79" s="7">
        <v>40547</v>
      </c>
      <c r="C79" s="6">
        <v>1</v>
      </c>
      <c r="D79" s="6" t="str">
        <f t="shared" si="10"/>
        <v>january</v>
      </c>
      <c r="E79" s="6">
        <v>9</v>
      </c>
      <c r="F79" s="6" t="str">
        <f t="shared" si="11"/>
        <v>Morning</v>
      </c>
      <c r="G79" s="6" t="b">
        <v>0</v>
      </c>
      <c r="H79" s="6">
        <f t="shared" si="12"/>
        <v>0</v>
      </c>
      <c r="I79" s="6">
        <v>2</v>
      </c>
      <c r="J79" s="6" t="str">
        <f t="shared" si="13"/>
        <v>Tuesday</v>
      </c>
      <c r="K79" s="6">
        <f t="shared" si="14"/>
        <v>0</v>
      </c>
      <c r="L79" s="6">
        <v>1</v>
      </c>
      <c r="M79" s="6" t="str">
        <f t="shared" si="15"/>
        <v>Partly cloudy</v>
      </c>
      <c r="N79" s="8">
        <v>0.16</v>
      </c>
      <c r="O79" s="8">
        <v>0.1515</v>
      </c>
      <c r="P79" s="8">
        <v>0.64</v>
      </c>
      <c r="Q79" s="8">
        <v>0.22389999999999999</v>
      </c>
      <c r="R79" s="6">
        <v>2</v>
      </c>
      <c r="S79" s="6">
        <v>98</v>
      </c>
      <c r="T79" s="6">
        <v>100</v>
      </c>
      <c r="U79" s="8">
        <f t="shared" si="16"/>
        <v>-0.38213483633622569</v>
      </c>
      <c r="V79" s="8" t="str">
        <f t="shared" si="17"/>
        <v>Normal</v>
      </c>
      <c r="W79" s="8">
        <f t="shared" si="18"/>
        <v>0.93157869627400947</v>
      </c>
      <c r="X79" s="8" t="str">
        <f t="shared" si="19"/>
        <v>Normal</v>
      </c>
    </row>
    <row r="80" spans="1:24" x14ac:dyDescent="0.25">
      <c r="A80" s="6">
        <v>79</v>
      </c>
      <c r="B80" s="7">
        <v>40547</v>
      </c>
      <c r="C80" s="6">
        <v>1</v>
      </c>
      <c r="D80" s="6" t="str">
        <f t="shared" si="10"/>
        <v>january</v>
      </c>
      <c r="E80" s="6">
        <v>10</v>
      </c>
      <c r="F80" s="6" t="str">
        <f t="shared" si="11"/>
        <v>Morning</v>
      </c>
      <c r="G80" s="6" t="b">
        <v>0</v>
      </c>
      <c r="H80" s="6">
        <f t="shared" si="12"/>
        <v>0</v>
      </c>
      <c r="I80" s="6">
        <v>2</v>
      </c>
      <c r="J80" s="6" t="str">
        <f t="shared" si="13"/>
        <v>Tuesday</v>
      </c>
      <c r="K80" s="6">
        <f t="shared" si="14"/>
        <v>0</v>
      </c>
      <c r="L80" s="6">
        <v>2</v>
      </c>
      <c r="M80" s="6" t="str">
        <f t="shared" si="15"/>
        <v>Cloudy</v>
      </c>
      <c r="N80" s="8">
        <v>0.16</v>
      </c>
      <c r="O80" s="8">
        <v>0.13639999999999999</v>
      </c>
      <c r="P80" s="8">
        <v>0.69</v>
      </c>
      <c r="Q80" s="8">
        <v>0.32840000000000003</v>
      </c>
      <c r="R80" s="6">
        <v>5</v>
      </c>
      <c r="S80" s="6">
        <v>37</v>
      </c>
      <c r="T80" s="6">
        <v>42</v>
      </c>
      <c r="U80" s="8">
        <f t="shared" si="16"/>
        <v>1.0335040078932463E-2</v>
      </c>
      <c r="V80" s="8" t="str">
        <f t="shared" si="17"/>
        <v>Normal</v>
      </c>
      <c r="W80" s="8">
        <f t="shared" si="18"/>
        <v>-0.34206813055689761</v>
      </c>
      <c r="X80" s="8" t="str">
        <f t="shared" si="19"/>
        <v>Normal</v>
      </c>
    </row>
    <row r="81" spans="1:24" x14ac:dyDescent="0.25">
      <c r="A81" s="6">
        <v>80</v>
      </c>
      <c r="B81" s="7">
        <v>40547</v>
      </c>
      <c r="C81" s="6">
        <v>1</v>
      </c>
      <c r="D81" s="6" t="str">
        <f t="shared" si="10"/>
        <v>january</v>
      </c>
      <c r="E81" s="6">
        <v>11</v>
      </c>
      <c r="F81" s="6" t="str">
        <f t="shared" si="11"/>
        <v>Morning</v>
      </c>
      <c r="G81" s="6" t="b">
        <v>0</v>
      </c>
      <c r="H81" s="6">
        <f t="shared" si="12"/>
        <v>0</v>
      </c>
      <c r="I81" s="6">
        <v>2</v>
      </c>
      <c r="J81" s="6" t="str">
        <f t="shared" si="13"/>
        <v>Tuesday</v>
      </c>
      <c r="K81" s="6">
        <f t="shared" si="14"/>
        <v>0</v>
      </c>
      <c r="L81" s="6">
        <v>1</v>
      </c>
      <c r="M81" s="6" t="str">
        <f t="shared" si="15"/>
        <v>Partly cloudy</v>
      </c>
      <c r="N81" s="8">
        <v>0.22</v>
      </c>
      <c r="O81" s="8">
        <v>0.21210000000000001</v>
      </c>
      <c r="P81" s="8">
        <v>0.51</v>
      </c>
      <c r="Q81" s="8">
        <v>0.29849999999999999</v>
      </c>
      <c r="R81" s="6">
        <v>7</v>
      </c>
      <c r="S81" s="6">
        <v>50</v>
      </c>
      <c r="T81" s="6">
        <v>57</v>
      </c>
      <c r="U81" s="8">
        <f t="shared" si="16"/>
        <v>0.27198162435570455</v>
      </c>
      <c r="V81" s="8" t="str">
        <f t="shared" si="17"/>
        <v>Normal</v>
      </c>
      <c r="W81" s="8">
        <f t="shared" si="18"/>
        <v>-7.0635200248671509E-2</v>
      </c>
      <c r="X81" s="8" t="str">
        <f t="shared" si="19"/>
        <v>Normal</v>
      </c>
    </row>
    <row r="82" spans="1:24" x14ac:dyDescent="0.25">
      <c r="A82" s="6">
        <v>81</v>
      </c>
      <c r="B82" s="7">
        <v>40547</v>
      </c>
      <c r="C82" s="6">
        <v>1</v>
      </c>
      <c r="D82" s="6" t="str">
        <f t="shared" si="10"/>
        <v>january</v>
      </c>
      <c r="E82" s="6">
        <v>12</v>
      </c>
      <c r="F82" s="6" t="str">
        <f t="shared" si="11"/>
        <v>Afternoon</v>
      </c>
      <c r="G82" s="6" t="b">
        <v>0</v>
      </c>
      <c r="H82" s="6">
        <f t="shared" si="12"/>
        <v>0</v>
      </c>
      <c r="I82" s="6">
        <v>2</v>
      </c>
      <c r="J82" s="6" t="str">
        <f t="shared" si="13"/>
        <v>Tuesday</v>
      </c>
      <c r="K82" s="6">
        <f t="shared" si="14"/>
        <v>0</v>
      </c>
      <c r="L82" s="6">
        <v>1</v>
      </c>
      <c r="M82" s="6" t="str">
        <f t="shared" si="15"/>
        <v>Partly cloudy</v>
      </c>
      <c r="N82" s="8">
        <v>0.22</v>
      </c>
      <c r="O82" s="8">
        <v>0.2273</v>
      </c>
      <c r="P82" s="8">
        <v>0.51</v>
      </c>
      <c r="Q82" s="8">
        <v>0.16420000000000001</v>
      </c>
      <c r="R82" s="6">
        <v>12</v>
      </c>
      <c r="S82" s="6">
        <v>66</v>
      </c>
      <c r="T82" s="6">
        <v>78</v>
      </c>
      <c r="U82" s="8">
        <f t="shared" si="16"/>
        <v>0.92609808504763491</v>
      </c>
      <c r="V82" s="8" t="str">
        <f t="shared" si="17"/>
        <v>Normal</v>
      </c>
      <c r="W82" s="8">
        <f t="shared" si="18"/>
        <v>0.26343609859222217</v>
      </c>
      <c r="X82" s="8" t="str">
        <f t="shared" si="19"/>
        <v>Normal</v>
      </c>
    </row>
    <row r="83" spans="1:24" x14ac:dyDescent="0.25">
      <c r="A83" s="6">
        <v>82</v>
      </c>
      <c r="B83" s="7">
        <v>40547</v>
      </c>
      <c r="C83" s="6">
        <v>1</v>
      </c>
      <c r="D83" s="6" t="str">
        <f t="shared" si="10"/>
        <v>january</v>
      </c>
      <c r="E83" s="6">
        <v>13</v>
      </c>
      <c r="F83" s="6" t="str">
        <f t="shared" si="11"/>
        <v>Afternoon</v>
      </c>
      <c r="G83" s="6" t="b">
        <v>0</v>
      </c>
      <c r="H83" s="6">
        <f t="shared" si="12"/>
        <v>0</v>
      </c>
      <c r="I83" s="6">
        <v>2</v>
      </c>
      <c r="J83" s="6" t="str">
        <f t="shared" si="13"/>
        <v>Tuesday</v>
      </c>
      <c r="K83" s="6">
        <f t="shared" si="14"/>
        <v>0</v>
      </c>
      <c r="L83" s="6">
        <v>1</v>
      </c>
      <c r="M83" s="6" t="str">
        <f t="shared" si="15"/>
        <v>Partly cloudy</v>
      </c>
      <c r="N83" s="8">
        <v>0.24</v>
      </c>
      <c r="O83" s="8">
        <v>0.2273</v>
      </c>
      <c r="P83" s="8">
        <v>0.56000000000000005</v>
      </c>
      <c r="Q83" s="8">
        <v>0.19400000000000001</v>
      </c>
      <c r="R83" s="6">
        <v>18</v>
      </c>
      <c r="S83" s="6">
        <v>79</v>
      </c>
      <c r="T83" s="6">
        <v>97</v>
      </c>
      <c r="U83" s="8">
        <f t="shared" si="16"/>
        <v>1.7110378378779514</v>
      </c>
      <c r="V83" s="8" t="str">
        <f t="shared" si="17"/>
        <v>Normal</v>
      </c>
      <c r="W83" s="8">
        <f t="shared" si="18"/>
        <v>0.5348690289004483</v>
      </c>
      <c r="X83" s="8" t="str">
        <f t="shared" si="19"/>
        <v>Normal</v>
      </c>
    </row>
    <row r="84" spans="1:24" x14ac:dyDescent="0.25">
      <c r="A84" s="6">
        <v>83</v>
      </c>
      <c r="B84" s="7">
        <v>40547</v>
      </c>
      <c r="C84" s="6">
        <v>1</v>
      </c>
      <c r="D84" s="6" t="str">
        <f t="shared" si="10"/>
        <v>january</v>
      </c>
      <c r="E84" s="6">
        <v>14</v>
      </c>
      <c r="F84" s="6" t="str">
        <f t="shared" si="11"/>
        <v>Afternoon</v>
      </c>
      <c r="G84" s="6" t="b">
        <v>0</v>
      </c>
      <c r="H84" s="6">
        <f t="shared" si="12"/>
        <v>0</v>
      </c>
      <c r="I84" s="6">
        <v>2</v>
      </c>
      <c r="J84" s="6" t="str">
        <f t="shared" si="13"/>
        <v>Tuesday</v>
      </c>
      <c r="K84" s="6">
        <f t="shared" si="14"/>
        <v>0</v>
      </c>
      <c r="L84" s="6">
        <v>1</v>
      </c>
      <c r="M84" s="6" t="str">
        <f t="shared" si="15"/>
        <v>Partly cloudy</v>
      </c>
      <c r="N84" s="8">
        <v>0.26</v>
      </c>
      <c r="O84" s="8">
        <v>0.2576</v>
      </c>
      <c r="P84" s="8">
        <v>0.52</v>
      </c>
      <c r="Q84" s="8">
        <v>0.22389999999999999</v>
      </c>
      <c r="R84" s="6">
        <v>9</v>
      </c>
      <c r="S84" s="6">
        <v>54</v>
      </c>
      <c r="T84" s="6">
        <v>63</v>
      </c>
      <c r="U84" s="8">
        <f t="shared" si="16"/>
        <v>0.53362820863247673</v>
      </c>
      <c r="V84" s="8" t="str">
        <f t="shared" si="17"/>
        <v>Normal</v>
      </c>
      <c r="W84" s="8">
        <f t="shared" si="18"/>
        <v>1.2882624461551907E-2</v>
      </c>
      <c r="X84" s="8" t="str">
        <f t="shared" si="19"/>
        <v>Normal</v>
      </c>
    </row>
    <row r="85" spans="1:24" x14ac:dyDescent="0.25">
      <c r="A85" s="6">
        <v>84</v>
      </c>
      <c r="B85" s="7">
        <v>40547</v>
      </c>
      <c r="C85" s="6">
        <v>1</v>
      </c>
      <c r="D85" s="6" t="str">
        <f t="shared" si="10"/>
        <v>january</v>
      </c>
      <c r="E85" s="6">
        <v>15</v>
      </c>
      <c r="F85" s="6" t="str">
        <f t="shared" si="11"/>
        <v>Afternoon</v>
      </c>
      <c r="G85" s="6" t="b">
        <v>0</v>
      </c>
      <c r="H85" s="6">
        <f t="shared" si="12"/>
        <v>0</v>
      </c>
      <c r="I85" s="6">
        <v>2</v>
      </c>
      <c r="J85" s="6" t="str">
        <f t="shared" si="13"/>
        <v>Tuesday</v>
      </c>
      <c r="K85" s="6">
        <f t="shared" si="14"/>
        <v>0</v>
      </c>
      <c r="L85" s="6">
        <v>1</v>
      </c>
      <c r="M85" s="6" t="str">
        <f t="shared" si="15"/>
        <v>Partly cloudy</v>
      </c>
      <c r="N85" s="8">
        <v>0.28000000000000003</v>
      </c>
      <c r="O85" s="8">
        <v>0.2727</v>
      </c>
      <c r="P85" s="8">
        <v>0.52</v>
      </c>
      <c r="Q85" s="8">
        <v>0.25369999999999998</v>
      </c>
      <c r="R85" s="6">
        <v>17</v>
      </c>
      <c r="S85" s="6">
        <v>48</v>
      </c>
      <c r="T85" s="6">
        <v>65</v>
      </c>
      <c r="U85" s="8">
        <f t="shared" si="16"/>
        <v>1.5802145457395653</v>
      </c>
      <c r="V85" s="8" t="str">
        <f t="shared" si="17"/>
        <v>Normal</v>
      </c>
      <c r="W85" s="8">
        <f t="shared" si="18"/>
        <v>-0.11239411260378322</v>
      </c>
      <c r="X85" s="8" t="str">
        <f t="shared" si="19"/>
        <v>Normal</v>
      </c>
    </row>
    <row r="86" spans="1:24" x14ac:dyDescent="0.25">
      <c r="A86" s="6">
        <v>85</v>
      </c>
      <c r="B86" s="7">
        <v>40547</v>
      </c>
      <c r="C86" s="6">
        <v>1</v>
      </c>
      <c r="D86" s="6" t="str">
        <f t="shared" si="10"/>
        <v>january</v>
      </c>
      <c r="E86" s="6">
        <v>16</v>
      </c>
      <c r="F86" s="6" t="str">
        <f t="shared" si="11"/>
        <v>Afternoon</v>
      </c>
      <c r="G86" s="6" t="b">
        <v>0</v>
      </c>
      <c r="H86" s="6">
        <f t="shared" si="12"/>
        <v>0</v>
      </c>
      <c r="I86" s="6">
        <v>2</v>
      </c>
      <c r="J86" s="6" t="str">
        <f t="shared" si="13"/>
        <v>Tuesday</v>
      </c>
      <c r="K86" s="6">
        <f t="shared" si="14"/>
        <v>0</v>
      </c>
      <c r="L86" s="6">
        <v>1</v>
      </c>
      <c r="M86" s="6" t="str">
        <f t="shared" si="15"/>
        <v>Partly cloudy</v>
      </c>
      <c r="N86" s="8">
        <v>0.3</v>
      </c>
      <c r="O86" s="8">
        <v>0.28789999999999999</v>
      </c>
      <c r="P86" s="8">
        <v>0.49</v>
      </c>
      <c r="Q86" s="8">
        <v>0.25369999999999998</v>
      </c>
      <c r="R86" s="6">
        <v>15</v>
      </c>
      <c r="S86" s="6">
        <v>68</v>
      </c>
      <c r="T86" s="6">
        <v>83</v>
      </c>
      <c r="U86" s="8">
        <f t="shared" si="16"/>
        <v>1.3185679614627932</v>
      </c>
      <c r="V86" s="8" t="str">
        <f t="shared" si="17"/>
        <v>Normal</v>
      </c>
      <c r="W86" s="8">
        <f t="shared" si="18"/>
        <v>0.30519501094733387</v>
      </c>
      <c r="X86" s="8" t="str">
        <f t="shared" si="19"/>
        <v>Normal</v>
      </c>
    </row>
    <row r="87" spans="1:24" x14ac:dyDescent="0.25">
      <c r="A87" s="6">
        <v>86</v>
      </c>
      <c r="B87" s="7">
        <v>40547</v>
      </c>
      <c r="C87" s="6">
        <v>1</v>
      </c>
      <c r="D87" s="6" t="str">
        <f t="shared" si="10"/>
        <v>january</v>
      </c>
      <c r="E87" s="6">
        <v>17</v>
      </c>
      <c r="F87" s="6" t="str">
        <f t="shared" si="11"/>
        <v>Evening</v>
      </c>
      <c r="G87" s="6" t="b">
        <v>0</v>
      </c>
      <c r="H87" s="6">
        <f t="shared" si="12"/>
        <v>0</v>
      </c>
      <c r="I87" s="6">
        <v>2</v>
      </c>
      <c r="J87" s="6" t="str">
        <f t="shared" si="13"/>
        <v>Tuesday</v>
      </c>
      <c r="K87" s="6">
        <f t="shared" si="14"/>
        <v>0</v>
      </c>
      <c r="L87" s="6">
        <v>1</v>
      </c>
      <c r="M87" s="6" t="str">
        <f t="shared" si="15"/>
        <v>Partly cloudy</v>
      </c>
      <c r="N87" s="8">
        <v>0.28000000000000003</v>
      </c>
      <c r="O87" s="8">
        <v>0.2727</v>
      </c>
      <c r="P87" s="8">
        <v>0.48</v>
      </c>
      <c r="Q87" s="8">
        <v>0.22389999999999999</v>
      </c>
      <c r="R87" s="6">
        <v>10</v>
      </c>
      <c r="S87" s="6">
        <v>202</v>
      </c>
      <c r="T87" s="6">
        <v>212</v>
      </c>
      <c r="U87" s="8">
        <f t="shared" si="16"/>
        <v>0.66445150077086279</v>
      </c>
      <c r="V87" s="8" t="str">
        <f t="shared" si="17"/>
        <v>Normal</v>
      </c>
      <c r="W87" s="8">
        <f t="shared" si="18"/>
        <v>3.1030421387398182</v>
      </c>
      <c r="X87" s="8" t="str">
        <f t="shared" si="19"/>
        <v>Peak</v>
      </c>
    </row>
    <row r="88" spans="1:24" x14ac:dyDescent="0.25">
      <c r="A88" s="6">
        <v>87</v>
      </c>
      <c r="B88" s="7">
        <v>40547</v>
      </c>
      <c r="C88" s="6">
        <v>1</v>
      </c>
      <c r="D88" s="6" t="str">
        <f t="shared" si="10"/>
        <v>january</v>
      </c>
      <c r="E88" s="6">
        <v>18</v>
      </c>
      <c r="F88" s="6" t="str">
        <f t="shared" si="11"/>
        <v>Evening</v>
      </c>
      <c r="G88" s="6" t="b">
        <v>0</v>
      </c>
      <c r="H88" s="6">
        <f t="shared" si="12"/>
        <v>0</v>
      </c>
      <c r="I88" s="6">
        <v>2</v>
      </c>
      <c r="J88" s="6" t="str">
        <f t="shared" si="13"/>
        <v>Tuesday</v>
      </c>
      <c r="K88" s="6">
        <f t="shared" si="14"/>
        <v>0</v>
      </c>
      <c r="L88" s="6">
        <v>1</v>
      </c>
      <c r="M88" s="6" t="str">
        <f t="shared" si="15"/>
        <v>Partly cloudy</v>
      </c>
      <c r="N88" s="8">
        <v>0.26</v>
      </c>
      <c r="O88" s="8">
        <v>0.2576</v>
      </c>
      <c r="P88" s="8">
        <v>0.48</v>
      </c>
      <c r="Q88" s="8">
        <v>0.19400000000000001</v>
      </c>
      <c r="R88" s="6">
        <v>3</v>
      </c>
      <c r="S88" s="6">
        <v>179</v>
      </c>
      <c r="T88" s="6">
        <v>182</v>
      </c>
      <c r="U88" s="8">
        <f t="shared" si="16"/>
        <v>-0.25131154419783963</v>
      </c>
      <c r="V88" s="8" t="str">
        <f t="shared" si="17"/>
        <v>Normal</v>
      </c>
      <c r="W88" s="8">
        <f t="shared" si="18"/>
        <v>2.6228146466560336</v>
      </c>
      <c r="X88" s="8" t="str">
        <f t="shared" si="19"/>
        <v>Peak</v>
      </c>
    </row>
    <row r="89" spans="1:24" x14ac:dyDescent="0.25">
      <c r="A89" s="6">
        <v>88</v>
      </c>
      <c r="B89" s="7">
        <v>40547</v>
      </c>
      <c r="C89" s="6">
        <v>1</v>
      </c>
      <c r="D89" s="6" t="str">
        <f t="shared" si="10"/>
        <v>january</v>
      </c>
      <c r="E89" s="6">
        <v>19</v>
      </c>
      <c r="F89" s="6" t="str">
        <f t="shared" si="11"/>
        <v>Evening</v>
      </c>
      <c r="G89" s="6" t="b">
        <v>0</v>
      </c>
      <c r="H89" s="6">
        <f t="shared" si="12"/>
        <v>0</v>
      </c>
      <c r="I89" s="6">
        <v>2</v>
      </c>
      <c r="J89" s="6" t="str">
        <f t="shared" si="13"/>
        <v>Tuesday</v>
      </c>
      <c r="K89" s="6">
        <f t="shared" si="14"/>
        <v>0</v>
      </c>
      <c r="L89" s="6">
        <v>1</v>
      </c>
      <c r="M89" s="6" t="str">
        <f t="shared" si="15"/>
        <v>Partly cloudy</v>
      </c>
      <c r="N89" s="8">
        <v>0.24</v>
      </c>
      <c r="O89" s="8">
        <v>0.2576</v>
      </c>
      <c r="P89" s="8">
        <v>0.48</v>
      </c>
      <c r="Q89" s="8">
        <v>0.1045</v>
      </c>
      <c r="R89" s="6">
        <v>2</v>
      </c>
      <c r="S89" s="6">
        <v>110</v>
      </c>
      <c r="T89" s="6">
        <v>112</v>
      </c>
      <c r="U89" s="8">
        <f t="shared" si="16"/>
        <v>-0.38213483633622569</v>
      </c>
      <c r="V89" s="8" t="str">
        <f t="shared" si="17"/>
        <v>Normal</v>
      </c>
      <c r="W89" s="8">
        <f t="shared" si="18"/>
        <v>1.1821321704046797</v>
      </c>
      <c r="X89" s="8" t="str">
        <f t="shared" si="19"/>
        <v>Normal</v>
      </c>
    </row>
    <row r="90" spans="1:24" x14ac:dyDescent="0.25">
      <c r="A90" s="6">
        <v>89</v>
      </c>
      <c r="B90" s="7">
        <v>40547</v>
      </c>
      <c r="C90" s="6">
        <v>1</v>
      </c>
      <c r="D90" s="6" t="str">
        <f t="shared" si="10"/>
        <v>january</v>
      </c>
      <c r="E90" s="6">
        <v>20</v>
      </c>
      <c r="F90" s="6" t="str">
        <f t="shared" si="11"/>
        <v>Evening</v>
      </c>
      <c r="G90" s="6" t="b">
        <v>0</v>
      </c>
      <c r="H90" s="6">
        <f t="shared" si="12"/>
        <v>0</v>
      </c>
      <c r="I90" s="6">
        <v>2</v>
      </c>
      <c r="J90" s="6" t="str">
        <f t="shared" si="13"/>
        <v>Tuesday</v>
      </c>
      <c r="K90" s="6">
        <f t="shared" si="14"/>
        <v>0</v>
      </c>
      <c r="L90" s="6">
        <v>1</v>
      </c>
      <c r="M90" s="6" t="str">
        <f t="shared" si="15"/>
        <v>Partly cloudy</v>
      </c>
      <c r="N90" s="8">
        <v>0.24</v>
      </c>
      <c r="O90" s="8">
        <v>0.2576</v>
      </c>
      <c r="P90" s="8">
        <v>0.48</v>
      </c>
      <c r="Q90" s="8">
        <v>0.1045</v>
      </c>
      <c r="R90" s="6">
        <v>1</v>
      </c>
      <c r="S90" s="6">
        <v>53</v>
      </c>
      <c r="T90" s="6">
        <v>54</v>
      </c>
      <c r="U90" s="8">
        <f t="shared" si="16"/>
        <v>-0.51295812847461175</v>
      </c>
      <c r="V90" s="8" t="str">
        <f t="shared" si="17"/>
        <v>Normal</v>
      </c>
      <c r="W90" s="8">
        <f t="shared" si="18"/>
        <v>-7.9968317160039482E-3</v>
      </c>
      <c r="X90" s="8" t="str">
        <f t="shared" si="19"/>
        <v>Normal</v>
      </c>
    </row>
    <row r="91" spans="1:24" x14ac:dyDescent="0.25">
      <c r="A91" s="6">
        <v>90</v>
      </c>
      <c r="B91" s="7">
        <v>40547</v>
      </c>
      <c r="C91" s="6">
        <v>1</v>
      </c>
      <c r="D91" s="6" t="str">
        <f t="shared" si="10"/>
        <v>january</v>
      </c>
      <c r="E91" s="6">
        <v>21</v>
      </c>
      <c r="F91" s="6" t="str">
        <f t="shared" si="11"/>
        <v>Night</v>
      </c>
      <c r="G91" s="6" t="b">
        <v>0</v>
      </c>
      <c r="H91" s="6">
        <f t="shared" si="12"/>
        <v>0</v>
      </c>
      <c r="I91" s="6">
        <v>2</v>
      </c>
      <c r="J91" s="6" t="str">
        <f t="shared" si="13"/>
        <v>Tuesday</v>
      </c>
      <c r="K91" s="6">
        <f t="shared" si="14"/>
        <v>0</v>
      </c>
      <c r="L91" s="6">
        <v>1</v>
      </c>
      <c r="M91" s="6" t="str">
        <f t="shared" si="15"/>
        <v>Partly cloudy</v>
      </c>
      <c r="N91" s="8">
        <v>0.22</v>
      </c>
      <c r="O91" s="8">
        <v>0.2727</v>
      </c>
      <c r="P91" s="8">
        <v>0.64</v>
      </c>
      <c r="Q91" s="8">
        <v>0</v>
      </c>
      <c r="R91" s="6">
        <v>0</v>
      </c>
      <c r="S91" s="6">
        <v>48</v>
      </c>
      <c r="T91" s="6">
        <v>48</v>
      </c>
      <c r="U91" s="8">
        <f t="shared" si="16"/>
        <v>-0.64378142061299781</v>
      </c>
      <c r="V91" s="8" t="str">
        <f t="shared" si="17"/>
        <v>Normal</v>
      </c>
      <c r="W91" s="8">
        <f t="shared" si="18"/>
        <v>-0.11239411260378322</v>
      </c>
      <c r="X91" s="8" t="str">
        <f t="shared" si="19"/>
        <v>Normal</v>
      </c>
    </row>
    <row r="92" spans="1:24" x14ac:dyDescent="0.25">
      <c r="A92" s="6">
        <v>91</v>
      </c>
      <c r="B92" s="7">
        <v>40547</v>
      </c>
      <c r="C92" s="6">
        <v>1</v>
      </c>
      <c r="D92" s="6" t="str">
        <f t="shared" si="10"/>
        <v>january</v>
      </c>
      <c r="E92" s="6">
        <v>22</v>
      </c>
      <c r="F92" s="6" t="str">
        <f t="shared" si="11"/>
        <v>Night</v>
      </c>
      <c r="G92" s="6" t="b">
        <v>0</v>
      </c>
      <c r="H92" s="6">
        <f t="shared" si="12"/>
        <v>0</v>
      </c>
      <c r="I92" s="6">
        <v>2</v>
      </c>
      <c r="J92" s="6" t="str">
        <f t="shared" si="13"/>
        <v>Tuesday</v>
      </c>
      <c r="K92" s="6">
        <f t="shared" si="14"/>
        <v>0</v>
      </c>
      <c r="L92" s="6">
        <v>1</v>
      </c>
      <c r="M92" s="6" t="str">
        <f t="shared" si="15"/>
        <v>Partly cloudy</v>
      </c>
      <c r="N92" s="8">
        <v>0.22</v>
      </c>
      <c r="O92" s="8">
        <v>0.2576</v>
      </c>
      <c r="P92" s="8">
        <v>0.64</v>
      </c>
      <c r="Q92" s="8">
        <v>8.9599999999999999E-2</v>
      </c>
      <c r="R92" s="6">
        <v>1</v>
      </c>
      <c r="S92" s="6">
        <v>34</v>
      </c>
      <c r="T92" s="6">
        <v>35</v>
      </c>
      <c r="U92" s="8">
        <f t="shared" si="16"/>
        <v>-0.51295812847461175</v>
      </c>
      <c r="V92" s="8" t="str">
        <f t="shared" si="17"/>
        <v>Normal</v>
      </c>
      <c r="W92" s="8">
        <f t="shared" si="18"/>
        <v>-0.40470649908956519</v>
      </c>
      <c r="X92" s="8" t="str">
        <f t="shared" si="19"/>
        <v>Normal</v>
      </c>
    </row>
    <row r="93" spans="1:24" x14ac:dyDescent="0.25">
      <c r="A93" s="6">
        <v>92</v>
      </c>
      <c r="B93" s="7">
        <v>40547</v>
      </c>
      <c r="C93" s="6">
        <v>1</v>
      </c>
      <c r="D93" s="6" t="str">
        <f t="shared" si="10"/>
        <v>january</v>
      </c>
      <c r="E93" s="6">
        <v>23</v>
      </c>
      <c r="F93" s="6" t="str">
        <f t="shared" si="11"/>
        <v>Night</v>
      </c>
      <c r="G93" s="6" t="b">
        <v>0</v>
      </c>
      <c r="H93" s="6">
        <f t="shared" si="12"/>
        <v>0</v>
      </c>
      <c r="I93" s="6">
        <v>2</v>
      </c>
      <c r="J93" s="6" t="str">
        <f t="shared" si="13"/>
        <v>Tuesday</v>
      </c>
      <c r="K93" s="6">
        <f t="shared" si="14"/>
        <v>0</v>
      </c>
      <c r="L93" s="6">
        <v>1</v>
      </c>
      <c r="M93" s="6" t="str">
        <f t="shared" si="15"/>
        <v>Partly cloudy</v>
      </c>
      <c r="N93" s="8">
        <v>0.2</v>
      </c>
      <c r="O93" s="8">
        <v>0.2273</v>
      </c>
      <c r="P93" s="8">
        <v>0.69</v>
      </c>
      <c r="Q93" s="8">
        <v>8.9599999999999999E-2</v>
      </c>
      <c r="R93" s="6">
        <v>2</v>
      </c>
      <c r="S93" s="6">
        <v>9</v>
      </c>
      <c r="T93" s="6">
        <v>11</v>
      </c>
      <c r="U93" s="8">
        <f t="shared" si="16"/>
        <v>-0.38213483633622569</v>
      </c>
      <c r="V93" s="8" t="str">
        <f t="shared" si="17"/>
        <v>Normal</v>
      </c>
      <c r="W93" s="8">
        <f t="shared" si="18"/>
        <v>-0.92669290352846156</v>
      </c>
      <c r="X93" s="8" t="str">
        <f t="shared" si="19"/>
        <v>Normal</v>
      </c>
    </row>
    <row r="94" spans="1:24" x14ac:dyDescent="0.25">
      <c r="A94" s="6">
        <v>93</v>
      </c>
      <c r="B94" s="7">
        <v>40548</v>
      </c>
      <c r="C94" s="6">
        <v>1</v>
      </c>
      <c r="D94" s="6" t="str">
        <f t="shared" si="10"/>
        <v>january</v>
      </c>
      <c r="E94" s="6">
        <v>0</v>
      </c>
      <c r="F94" s="6" t="str">
        <f t="shared" si="11"/>
        <v>Night</v>
      </c>
      <c r="G94" s="6" t="b">
        <v>0</v>
      </c>
      <c r="H94" s="6">
        <f t="shared" si="12"/>
        <v>0</v>
      </c>
      <c r="I94" s="6">
        <v>3</v>
      </c>
      <c r="J94" s="6" t="str">
        <f t="shared" si="13"/>
        <v>Wednesday</v>
      </c>
      <c r="K94" s="6">
        <f t="shared" si="14"/>
        <v>0</v>
      </c>
      <c r="L94" s="6">
        <v>1</v>
      </c>
      <c r="M94" s="6" t="str">
        <f t="shared" si="15"/>
        <v>Partly cloudy</v>
      </c>
      <c r="N94" s="8">
        <v>0.2</v>
      </c>
      <c r="O94" s="8">
        <v>0.2576</v>
      </c>
      <c r="P94" s="8">
        <v>0.64</v>
      </c>
      <c r="Q94" s="8">
        <v>0</v>
      </c>
      <c r="R94" s="6">
        <v>0</v>
      </c>
      <c r="S94" s="6">
        <v>6</v>
      </c>
      <c r="T94" s="6">
        <v>6</v>
      </c>
      <c r="U94" s="8">
        <f t="shared" si="16"/>
        <v>-0.64378142061299781</v>
      </c>
      <c r="V94" s="8" t="str">
        <f t="shared" si="17"/>
        <v>Normal</v>
      </c>
      <c r="W94" s="8">
        <f t="shared" si="18"/>
        <v>-0.98933127206112903</v>
      </c>
      <c r="X94" s="8" t="str">
        <f t="shared" si="19"/>
        <v>Normal</v>
      </c>
    </row>
    <row r="95" spans="1:24" x14ac:dyDescent="0.25">
      <c r="A95" s="6">
        <v>94</v>
      </c>
      <c r="B95" s="7">
        <v>40548</v>
      </c>
      <c r="C95" s="6">
        <v>1</v>
      </c>
      <c r="D95" s="6" t="str">
        <f t="shared" si="10"/>
        <v>january</v>
      </c>
      <c r="E95" s="6">
        <v>1</v>
      </c>
      <c r="F95" s="6" t="str">
        <f t="shared" si="11"/>
        <v>Night</v>
      </c>
      <c r="G95" s="6" t="b">
        <v>0</v>
      </c>
      <c r="H95" s="6">
        <f t="shared" si="12"/>
        <v>0</v>
      </c>
      <c r="I95" s="6">
        <v>3</v>
      </c>
      <c r="J95" s="6" t="str">
        <f t="shared" si="13"/>
        <v>Wednesday</v>
      </c>
      <c r="K95" s="6">
        <f t="shared" si="14"/>
        <v>0</v>
      </c>
      <c r="L95" s="6">
        <v>1</v>
      </c>
      <c r="M95" s="6" t="str">
        <f t="shared" si="15"/>
        <v>Partly cloudy</v>
      </c>
      <c r="N95" s="8">
        <v>0.16</v>
      </c>
      <c r="O95" s="8">
        <v>0.19700000000000001</v>
      </c>
      <c r="P95" s="8">
        <v>0.74</v>
      </c>
      <c r="Q95" s="8">
        <v>8.9599999999999999E-2</v>
      </c>
      <c r="R95" s="6">
        <v>0</v>
      </c>
      <c r="S95" s="6">
        <v>6</v>
      </c>
      <c r="T95" s="6">
        <v>6</v>
      </c>
      <c r="U95" s="8">
        <f t="shared" si="16"/>
        <v>-0.64378142061299781</v>
      </c>
      <c r="V95" s="8" t="str">
        <f t="shared" si="17"/>
        <v>Normal</v>
      </c>
      <c r="W95" s="8">
        <f t="shared" si="18"/>
        <v>-0.98933127206112903</v>
      </c>
      <c r="X95" s="8" t="str">
        <f t="shared" si="19"/>
        <v>Normal</v>
      </c>
    </row>
    <row r="96" spans="1:24" x14ac:dyDescent="0.25">
      <c r="A96" s="6">
        <v>95</v>
      </c>
      <c r="B96" s="7">
        <v>40548</v>
      </c>
      <c r="C96" s="6">
        <v>1</v>
      </c>
      <c r="D96" s="6" t="str">
        <f t="shared" si="10"/>
        <v>january</v>
      </c>
      <c r="E96" s="6">
        <v>2</v>
      </c>
      <c r="F96" s="6" t="str">
        <f t="shared" si="11"/>
        <v>Night</v>
      </c>
      <c r="G96" s="6" t="b">
        <v>0</v>
      </c>
      <c r="H96" s="6">
        <f t="shared" si="12"/>
        <v>0</v>
      </c>
      <c r="I96" s="6">
        <v>3</v>
      </c>
      <c r="J96" s="6" t="str">
        <f t="shared" si="13"/>
        <v>Wednesday</v>
      </c>
      <c r="K96" s="6">
        <f t="shared" si="14"/>
        <v>0</v>
      </c>
      <c r="L96" s="6">
        <v>1</v>
      </c>
      <c r="M96" s="6" t="str">
        <f t="shared" si="15"/>
        <v>Partly cloudy</v>
      </c>
      <c r="N96" s="8">
        <v>0.16</v>
      </c>
      <c r="O96" s="8">
        <v>0.19700000000000001</v>
      </c>
      <c r="P96" s="8">
        <v>0.74</v>
      </c>
      <c r="Q96" s="8">
        <v>8.9599999999999999E-2</v>
      </c>
      <c r="R96" s="6">
        <v>0</v>
      </c>
      <c r="S96" s="6">
        <v>2</v>
      </c>
      <c r="T96" s="6">
        <v>2</v>
      </c>
      <c r="U96" s="8">
        <f t="shared" si="16"/>
        <v>-0.64378142061299781</v>
      </c>
      <c r="V96" s="8" t="str">
        <f t="shared" si="17"/>
        <v>Normal</v>
      </c>
      <c r="W96" s="8">
        <f t="shared" si="18"/>
        <v>-1.0728490967713524</v>
      </c>
      <c r="X96" s="8" t="str">
        <f t="shared" si="19"/>
        <v>Normal</v>
      </c>
    </row>
    <row r="97" spans="1:24" x14ac:dyDescent="0.25">
      <c r="A97" s="6">
        <v>96</v>
      </c>
      <c r="B97" s="7">
        <v>40548</v>
      </c>
      <c r="C97" s="6">
        <v>1</v>
      </c>
      <c r="D97" s="6" t="str">
        <f t="shared" si="10"/>
        <v>january</v>
      </c>
      <c r="E97" s="6">
        <v>4</v>
      </c>
      <c r="F97" s="6" t="str">
        <f t="shared" si="11"/>
        <v>Night</v>
      </c>
      <c r="G97" s="6" t="b">
        <v>0</v>
      </c>
      <c r="H97" s="6">
        <f t="shared" si="12"/>
        <v>0</v>
      </c>
      <c r="I97" s="6">
        <v>3</v>
      </c>
      <c r="J97" s="6" t="str">
        <f t="shared" si="13"/>
        <v>Wednesday</v>
      </c>
      <c r="K97" s="6">
        <f t="shared" si="14"/>
        <v>0</v>
      </c>
      <c r="L97" s="6">
        <v>1</v>
      </c>
      <c r="M97" s="6" t="str">
        <f t="shared" si="15"/>
        <v>Partly cloudy</v>
      </c>
      <c r="N97" s="8">
        <v>0.24</v>
      </c>
      <c r="O97" s="8">
        <v>0.2273</v>
      </c>
      <c r="P97" s="8">
        <v>0.48</v>
      </c>
      <c r="Q97" s="8">
        <v>0.22389999999999999</v>
      </c>
      <c r="R97" s="6">
        <v>0</v>
      </c>
      <c r="S97" s="6">
        <v>2</v>
      </c>
      <c r="T97" s="6">
        <v>2</v>
      </c>
      <c r="U97" s="8">
        <f t="shared" si="16"/>
        <v>-0.64378142061299781</v>
      </c>
      <c r="V97" s="8" t="str">
        <f t="shared" si="17"/>
        <v>Normal</v>
      </c>
      <c r="W97" s="8">
        <f t="shared" si="18"/>
        <v>-1.0728490967713524</v>
      </c>
      <c r="X97" s="8" t="str">
        <f t="shared" si="19"/>
        <v>Normal</v>
      </c>
    </row>
    <row r="98" spans="1:24" x14ac:dyDescent="0.25">
      <c r="A98" s="6">
        <v>97</v>
      </c>
      <c r="B98" s="7">
        <v>40548</v>
      </c>
      <c r="C98" s="6">
        <v>1</v>
      </c>
      <c r="D98" s="6" t="str">
        <f t="shared" si="10"/>
        <v>january</v>
      </c>
      <c r="E98" s="6">
        <v>5</v>
      </c>
      <c r="F98" s="6" t="str">
        <f t="shared" si="11"/>
        <v>Early Morning</v>
      </c>
      <c r="G98" s="6" t="b">
        <v>0</v>
      </c>
      <c r="H98" s="6">
        <f t="shared" si="12"/>
        <v>0</v>
      </c>
      <c r="I98" s="6">
        <v>3</v>
      </c>
      <c r="J98" s="6" t="str">
        <f t="shared" si="13"/>
        <v>Wednesday</v>
      </c>
      <c r="K98" s="6">
        <f t="shared" si="14"/>
        <v>0</v>
      </c>
      <c r="L98" s="6">
        <v>1</v>
      </c>
      <c r="M98" s="6" t="str">
        <f t="shared" si="15"/>
        <v>Partly cloudy</v>
      </c>
      <c r="N98" s="8">
        <v>0.22</v>
      </c>
      <c r="O98" s="8">
        <v>0.2273</v>
      </c>
      <c r="P98" s="8">
        <v>0.47</v>
      </c>
      <c r="Q98" s="8">
        <v>0.16420000000000001</v>
      </c>
      <c r="R98" s="6">
        <v>0</v>
      </c>
      <c r="S98" s="6">
        <v>3</v>
      </c>
      <c r="T98" s="6">
        <v>3</v>
      </c>
      <c r="U98" s="8">
        <f t="shared" si="16"/>
        <v>-0.64378142061299781</v>
      </c>
      <c r="V98" s="8" t="str">
        <f t="shared" si="17"/>
        <v>Normal</v>
      </c>
      <c r="W98" s="8">
        <f t="shared" si="18"/>
        <v>-1.0519696405937966</v>
      </c>
      <c r="X98" s="8" t="str">
        <f t="shared" si="19"/>
        <v>Normal</v>
      </c>
    </row>
    <row r="99" spans="1:24" x14ac:dyDescent="0.25">
      <c r="A99" s="6">
        <v>98</v>
      </c>
      <c r="B99" s="7">
        <v>40548</v>
      </c>
      <c r="C99" s="6">
        <v>1</v>
      </c>
      <c r="D99" s="6" t="str">
        <f t="shared" si="10"/>
        <v>january</v>
      </c>
      <c r="E99" s="6">
        <v>6</v>
      </c>
      <c r="F99" s="6" t="str">
        <f t="shared" si="11"/>
        <v>Early Morning</v>
      </c>
      <c r="G99" s="6" t="b">
        <v>0</v>
      </c>
      <c r="H99" s="6">
        <f t="shared" si="12"/>
        <v>0</v>
      </c>
      <c r="I99" s="6">
        <v>3</v>
      </c>
      <c r="J99" s="6" t="str">
        <f t="shared" si="13"/>
        <v>Wednesday</v>
      </c>
      <c r="K99" s="6">
        <f t="shared" si="14"/>
        <v>0</v>
      </c>
      <c r="L99" s="6">
        <v>1</v>
      </c>
      <c r="M99" s="6" t="str">
        <f t="shared" si="15"/>
        <v>Partly cloudy</v>
      </c>
      <c r="N99" s="8">
        <v>0.2</v>
      </c>
      <c r="O99" s="8">
        <v>0.19700000000000001</v>
      </c>
      <c r="P99" s="8">
        <v>0.47</v>
      </c>
      <c r="Q99" s="8">
        <v>0.22389999999999999</v>
      </c>
      <c r="R99" s="6">
        <v>0</v>
      </c>
      <c r="S99" s="6">
        <v>33</v>
      </c>
      <c r="T99" s="6">
        <v>33</v>
      </c>
      <c r="U99" s="8">
        <f t="shared" si="16"/>
        <v>-0.64378142061299781</v>
      </c>
      <c r="V99" s="8" t="str">
        <f t="shared" si="17"/>
        <v>Normal</v>
      </c>
      <c r="W99" s="8">
        <f t="shared" si="18"/>
        <v>-0.42558595526712101</v>
      </c>
      <c r="X99" s="8" t="str">
        <f t="shared" si="19"/>
        <v>Normal</v>
      </c>
    </row>
    <row r="100" spans="1:24" x14ac:dyDescent="0.25">
      <c r="A100" s="6">
        <v>99</v>
      </c>
      <c r="B100" s="7">
        <v>40548</v>
      </c>
      <c r="C100" s="6">
        <v>1</v>
      </c>
      <c r="D100" s="6" t="str">
        <f t="shared" si="10"/>
        <v>january</v>
      </c>
      <c r="E100" s="6">
        <v>7</v>
      </c>
      <c r="F100" s="6" t="str">
        <f t="shared" si="11"/>
        <v>Early Morning</v>
      </c>
      <c r="G100" s="6" t="b">
        <v>0</v>
      </c>
      <c r="H100" s="6">
        <f t="shared" si="12"/>
        <v>0</v>
      </c>
      <c r="I100" s="6">
        <v>3</v>
      </c>
      <c r="J100" s="6" t="str">
        <f t="shared" si="13"/>
        <v>Wednesday</v>
      </c>
      <c r="K100" s="6">
        <f t="shared" si="14"/>
        <v>0</v>
      </c>
      <c r="L100" s="6">
        <v>1</v>
      </c>
      <c r="M100" s="6" t="str">
        <f t="shared" si="15"/>
        <v>Partly cloudy</v>
      </c>
      <c r="N100" s="8">
        <v>0.18</v>
      </c>
      <c r="O100" s="8">
        <v>0.18179999999999999</v>
      </c>
      <c r="P100" s="8">
        <v>0.43</v>
      </c>
      <c r="Q100" s="8">
        <v>0.19400000000000001</v>
      </c>
      <c r="R100" s="6">
        <v>1</v>
      </c>
      <c r="S100" s="6">
        <v>87</v>
      </c>
      <c r="T100" s="6">
        <v>88</v>
      </c>
      <c r="U100" s="8">
        <f t="shared" si="16"/>
        <v>-0.51295812847461175</v>
      </c>
      <c r="V100" s="8" t="str">
        <f t="shared" si="17"/>
        <v>Normal</v>
      </c>
      <c r="W100" s="8">
        <f t="shared" si="18"/>
        <v>0.70190467832089509</v>
      </c>
      <c r="X100" s="8" t="str">
        <f t="shared" si="19"/>
        <v>Normal</v>
      </c>
    </row>
    <row r="101" spans="1:24" x14ac:dyDescent="0.25">
      <c r="A101" s="6">
        <v>100</v>
      </c>
      <c r="B101" s="7">
        <v>40548</v>
      </c>
      <c r="C101" s="6">
        <v>1</v>
      </c>
      <c r="D101" s="6" t="str">
        <f t="shared" si="10"/>
        <v>january</v>
      </c>
      <c r="E101" s="6">
        <v>8</v>
      </c>
      <c r="F101" s="6" t="str">
        <f t="shared" si="11"/>
        <v>Morning</v>
      </c>
      <c r="G101" s="6" t="b">
        <v>0</v>
      </c>
      <c r="H101" s="6">
        <f t="shared" si="12"/>
        <v>0</v>
      </c>
      <c r="I101" s="6">
        <v>3</v>
      </c>
      <c r="J101" s="6" t="str">
        <f t="shared" si="13"/>
        <v>Wednesday</v>
      </c>
      <c r="K101" s="6">
        <f t="shared" si="14"/>
        <v>0</v>
      </c>
      <c r="L101" s="6">
        <v>1</v>
      </c>
      <c r="M101" s="6" t="str">
        <f t="shared" si="15"/>
        <v>Partly cloudy</v>
      </c>
      <c r="N101" s="8">
        <v>0.2</v>
      </c>
      <c r="O101" s="8">
        <v>0.18179999999999999</v>
      </c>
      <c r="P101" s="8">
        <v>0.4</v>
      </c>
      <c r="Q101" s="8">
        <v>0.29849999999999999</v>
      </c>
      <c r="R101" s="6">
        <v>3</v>
      </c>
      <c r="S101" s="6">
        <v>192</v>
      </c>
      <c r="T101" s="6">
        <v>195</v>
      </c>
      <c r="U101" s="8">
        <f t="shared" si="16"/>
        <v>-0.25131154419783963</v>
      </c>
      <c r="V101" s="8" t="str">
        <f t="shared" si="17"/>
        <v>Normal</v>
      </c>
      <c r="W101" s="8">
        <f t="shared" si="18"/>
        <v>2.8942475769642595</v>
      </c>
      <c r="X101" s="8" t="str">
        <f t="shared" si="19"/>
        <v>Peak</v>
      </c>
    </row>
    <row r="102" spans="1:24" x14ac:dyDescent="0.25">
      <c r="A102" s="6">
        <v>101</v>
      </c>
      <c r="B102" s="7">
        <v>40548</v>
      </c>
      <c r="C102" s="6">
        <v>1</v>
      </c>
      <c r="D102" s="6" t="str">
        <f t="shared" si="10"/>
        <v>january</v>
      </c>
      <c r="E102" s="6">
        <v>9</v>
      </c>
      <c r="F102" s="6" t="str">
        <f t="shared" si="11"/>
        <v>Morning</v>
      </c>
      <c r="G102" s="6" t="b">
        <v>0</v>
      </c>
      <c r="H102" s="6">
        <f t="shared" si="12"/>
        <v>0</v>
      </c>
      <c r="I102" s="6">
        <v>3</v>
      </c>
      <c r="J102" s="6" t="str">
        <f t="shared" si="13"/>
        <v>Wednesday</v>
      </c>
      <c r="K102" s="6">
        <f t="shared" si="14"/>
        <v>0</v>
      </c>
      <c r="L102" s="6">
        <v>1</v>
      </c>
      <c r="M102" s="6" t="str">
        <f t="shared" si="15"/>
        <v>Partly cloudy</v>
      </c>
      <c r="N102" s="8">
        <v>0.22</v>
      </c>
      <c r="O102" s="8">
        <v>0.19700000000000001</v>
      </c>
      <c r="P102" s="8">
        <v>0.37</v>
      </c>
      <c r="Q102" s="8">
        <v>0.32840000000000003</v>
      </c>
      <c r="R102" s="6">
        <v>6</v>
      </c>
      <c r="S102" s="6">
        <v>109</v>
      </c>
      <c r="T102" s="6">
        <v>115</v>
      </c>
      <c r="U102" s="8">
        <f t="shared" si="16"/>
        <v>0.14115833221731852</v>
      </c>
      <c r="V102" s="8" t="str">
        <f t="shared" si="17"/>
        <v>Normal</v>
      </c>
      <c r="W102" s="8">
        <f t="shared" si="18"/>
        <v>1.1612527142271238</v>
      </c>
      <c r="X102" s="8" t="str">
        <f t="shared" si="19"/>
        <v>Normal</v>
      </c>
    </row>
    <row r="103" spans="1:24" x14ac:dyDescent="0.25">
      <c r="A103" s="6">
        <v>102</v>
      </c>
      <c r="B103" s="7">
        <v>40548</v>
      </c>
      <c r="C103" s="6">
        <v>1</v>
      </c>
      <c r="D103" s="6" t="str">
        <f t="shared" si="10"/>
        <v>january</v>
      </c>
      <c r="E103" s="6">
        <v>10</v>
      </c>
      <c r="F103" s="6" t="str">
        <f t="shared" si="11"/>
        <v>Morning</v>
      </c>
      <c r="G103" s="6" t="b">
        <v>0</v>
      </c>
      <c r="H103" s="6">
        <f t="shared" si="12"/>
        <v>0</v>
      </c>
      <c r="I103" s="6">
        <v>3</v>
      </c>
      <c r="J103" s="6" t="str">
        <f t="shared" si="13"/>
        <v>Wednesday</v>
      </c>
      <c r="K103" s="6">
        <f t="shared" si="14"/>
        <v>0</v>
      </c>
      <c r="L103" s="6">
        <v>1</v>
      </c>
      <c r="M103" s="6" t="str">
        <f t="shared" si="15"/>
        <v>Partly cloudy</v>
      </c>
      <c r="N103" s="8">
        <v>0.22</v>
      </c>
      <c r="O103" s="8">
        <v>0.19700000000000001</v>
      </c>
      <c r="P103" s="8">
        <v>0.37</v>
      </c>
      <c r="Q103" s="8">
        <v>0.32840000000000003</v>
      </c>
      <c r="R103" s="6">
        <v>4</v>
      </c>
      <c r="S103" s="6">
        <v>53</v>
      </c>
      <c r="T103" s="6">
        <v>57</v>
      </c>
      <c r="U103" s="8">
        <f t="shared" si="16"/>
        <v>-0.1204882520594536</v>
      </c>
      <c r="V103" s="8" t="str">
        <f t="shared" si="17"/>
        <v>Normal</v>
      </c>
      <c r="W103" s="8">
        <f t="shared" si="18"/>
        <v>-7.9968317160039482E-3</v>
      </c>
      <c r="X103" s="8" t="str">
        <f t="shared" si="19"/>
        <v>Normal</v>
      </c>
    </row>
    <row r="104" spans="1:24" x14ac:dyDescent="0.25">
      <c r="A104" s="6">
        <v>103</v>
      </c>
      <c r="B104" s="7">
        <v>40548</v>
      </c>
      <c r="C104" s="6">
        <v>1</v>
      </c>
      <c r="D104" s="6" t="str">
        <f t="shared" si="10"/>
        <v>january</v>
      </c>
      <c r="E104" s="6">
        <v>11</v>
      </c>
      <c r="F104" s="6" t="str">
        <f t="shared" si="11"/>
        <v>Morning</v>
      </c>
      <c r="G104" s="6" t="b">
        <v>0</v>
      </c>
      <c r="H104" s="6">
        <f t="shared" si="12"/>
        <v>0</v>
      </c>
      <c r="I104" s="6">
        <v>3</v>
      </c>
      <c r="J104" s="6" t="str">
        <f t="shared" si="13"/>
        <v>Wednesday</v>
      </c>
      <c r="K104" s="6">
        <f t="shared" si="14"/>
        <v>0</v>
      </c>
      <c r="L104" s="6">
        <v>1</v>
      </c>
      <c r="M104" s="6" t="str">
        <f t="shared" si="15"/>
        <v>Partly cloudy</v>
      </c>
      <c r="N104" s="8">
        <v>0.26</v>
      </c>
      <c r="O104" s="8">
        <v>0.2273</v>
      </c>
      <c r="P104" s="8">
        <v>0.33</v>
      </c>
      <c r="Q104" s="8">
        <v>0.32840000000000003</v>
      </c>
      <c r="R104" s="6">
        <v>12</v>
      </c>
      <c r="S104" s="6">
        <v>34</v>
      </c>
      <c r="T104" s="6">
        <v>46</v>
      </c>
      <c r="U104" s="8">
        <f t="shared" si="16"/>
        <v>0.92609808504763491</v>
      </c>
      <c r="V104" s="8" t="str">
        <f t="shared" si="17"/>
        <v>Normal</v>
      </c>
      <c r="W104" s="8">
        <f t="shared" si="18"/>
        <v>-0.40470649908956519</v>
      </c>
      <c r="X104" s="8" t="str">
        <f t="shared" si="19"/>
        <v>Normal</v>
      </c>
    </row>
    <row r="105" spans="1:24" x14ac:dyDescent="0.25">
      <c r="A105" s="6">
        <v>104</v>
      </c>
      <c r="B105" s="7">
        <v>40548</v>
      </c>
      <c r="C105" s="6">
        <v>1</v>
      </c>
      <c r="D105" s="6" t="str">
        <f t="shared" si="10"/>
        <v>january</v>
      </c>
      <c r="E105" s="6">
        <v>12</v>
      </c>
      <c r="F105" s="6" t="str">
        <f t="shared" si="11"/>
        <v>Afternoon</v>
      </c>
      <c r="G105" s="6" t="b">
        <v>0</v>
      </c>
      <c r="H105" s="6">
        <f t="shared" si="12"/>
        <v>0</v>
      </c>
      <c r="I105" s="6">
        <v>3</v>
      </c>
      <c r="J105" s="6" t="str">
        <f t="shared" si="13"/>
        <v>Wednesday</v>
      </c>
      <c r="K105" s="6">
        <f t="shared" si="14"/>
        <v>0</v>
      </c>
      <c r="L105" s="6">
        <v>1</v>
      </c>
      <c r="M105" s="6" t="str">
        <f t="shared" si="15"/>
        <v>Partly cloudy</v>
      </c>
      <c r="N105" s="8">
        <v>0.26</v>
      </c>
      <c r="O105" s="8">
        <v>0.2273</v>
      </c>
      <c r="P105" s="8">
        <v>0.33</v>
      </c>
      <c r="Q105" s="8">
        <v>0.32840000000000003</v>
      </c>
      <c r="R105" s="6">
        <v>5</v>
      </c>
      <c r="S105" s="6">
        <v>74</v>
      </c>
      <c r="T105" s="6">
        <v>79</v>
      </c>
      <c r="U105" s="8">
        <f t="shared" si="16"/>
        <v>1.0335040078932463E-2</v>
      </c>
      <c r="V105" s="8" t="str">
        <f t="shared" si="17"/>
        <v>Normal</v>
      </c>
      <c r="W105" s="8">
        <f t="shared" si="18"/>
        <v>0.43047174801266896</v>
      </c>
      <c r="X105" s="8" t="str">
        <f t="shared" si="19"/>
        <v>Normal</v>
      </c>
    </row>
    <row r="106" spans="1:24" x14ac:dyDescent="0.25">
      <c r="A106" s="6">
        <v>105</v>
      </c>
      <c r="B106" s="7">
        <v>40548</v>
      </c>
      <c r="C106" s="6">
        <v>1</v>
      </c>
      <c r="D106" s="6" t="str">
        <f t="shared" si="10"/>
        <v>january</v>
      </c>
      <c r="E106" s="6">
        <v>13</v>
      </c>
      <c r="F106" s="6" t="str">
        <f t="shared" si="11"/>
        <v>Afternoon</v>
      </c>
      <c r="G106" s="6" t="b">
        <v>0</v>
      </c>
      <c r="H106" s="6">
        <f t="shared" si="12"/>
        <v>0</v>
      </c>
      <c r="I106" s="6">
        <v>3</v>
      </c>
      <c r="J106" s="6" t="str">
        <f t="shared" si="13"/>
        <v>Wednesday</v>
      </c>
      <c r="K106" s="6">
        <f t="shared" si="14"/>
        <v>0</v>
      </c>
      <c r="L106" s="6">
        <v>1</v>
      </c>
      <c r="M106" s="6" t="str">
        <f t="shared" si="15"/>
        <v>Partly cloudy</v>
      </c>
      <c r="N106" s="8">
        <v>0.28000000000000003</v>
      </c>
      <c r="O106" s="8">
        <v>0.2576</v>
      </c>
      <c r="P106" s="8">
        <v>0.3</v>
      </c>
      <c r="Q106" s="8">
        <v>0.29849999999999999</v>
      </c>
      <c r="R106" s="6">
        <v>6</v>
      </c>
      <c r="S106" s="6">
        <v>65</v>
      </c>
      <c r="T106" s="6">
        <v>71</v>
      </c>
      <c r="U106" s="8">
        <f t="shared" si="16"/>
        <v>0.14115833221731852</v>
      </c>
      <c r="V106" s="8" t="str">
        <f t="shared" si="17"/>
        <v>Normal</v>
      </c>
      <c r="W106" s="8">
        <f t="shared" si="18"/>
        <v>0.24255664241466629</v>
      </c>
      <c r="X106" s="8" t="str">
        <f t="shared" si="19"/>
        <v>Normal</v>
      </c>
    </row>
    <row r="107" spans="1:24" x14ac:dyDescent="0.25">
      <c r="A107" s="6">
        <v>106</v>
      </c>
      <c r="B107" s="7">
        <v>40548</v>
      </c>
      <c r="C107" s="6">
        <v>1</v>
      </c>
      <c r="D107" s="6" t="str">
        <f t="shared" si="10"/>
        <v>january</v>
      </c>
      <c r="E107" s="6">
        <v>14</v>
      </c>
      <c r="F107" s="6" t="str">
        <f t="shared" si="11"/>
        <v>Afternoon</v>
      </c>
      <c r="G107" s="6" t="b">
        <v>0</v>
      </c>
      <c r="H107" s="6">
        <f t="shared" si="12"/>
        <v>0</v>
      </c>
      <c r="I107" s="6">
        <v>3</v>
      </c>
      <c r="J107" s="6" t="str">
        <f t="shared" si="13"/>
        <v>Wednesday</v>
      </c>
      <c r="K107" s="6">
        <f t="shared" si="14"/>
        <v>0</v>
      </c>
      <c r="L107" s="6">
        <v>1</v>
      </c>
      <c r="M107" s="6" t="str">
        <f t="shared" si="15"/>
        <v>Partly cloudy</v>
      </c>
      <c r="N107" s="8">
        <v>0.3</v>
      </c>
      <c r="O107" s="8">
        <v>0.28789999999999999</v>
      </c>
      <c r="P107" s="8">
        <v>0.28000000000000003</v>
      </c>
      <c r="Q107" s="8">
        <v>0.19400000000000001</v>
      </c>
      <c r="R107" s="6">
        <v>10</v>
      </c>
      <c r="S107" s="6">
        <v>52</v>
      </c>
      <c r="T107" s="6">
        <v>62</v>
      </c>
      <c r="U107" s="8">
        <f t="shared" si="16"/>
        <v>0.66445150077086279</v>
      </c>
      <c r="V107" s="8" t="str">
        <f t="shared" si="17"/>
        <v>Normal</v>
      </c>
      <c r="W107" s="8">
        <f t="shared" si="18"/>
        <v>-2.8876287893559803E-2</v>
      </c>
      <c r="X107" s="8" t="str">
        <f t="shared" si="19"/>
        <v>Normal</v>
      </c>
    </row>
    <row r="108" spans="1:24" x14ac:dyDescent="0.25">
      <c r="A108" s="6">
        <v>107</v>
      </c>
      <c r="B108" s="7">
        <v>40548</v>
      </c>
      <c r="C108" s="6">
        <v>1</v>
      </c>
      <c r="D108" s="6" t="str">
        <f t="shared" si="10"/>
        <v>january</v>
      </c>
      <c r="E108" s="6">
        <v>15</v>
      </c>
      <c r="F108" s="6" t="str">
        <f t="shared" si="11"/>
        <v>Afternoon</v>
      </c>
      <c r="G108" s="6" t="b">
        <v>0</v>
      </c>
      <c r="H108" s="6">
        <f t="shared" si="12"/>
        <v>0</v>
      </c>
      <c r="I108" s="6">
        <v>3</v>
      </c>
      <c r="J108" s="6" t="str">
        <f t="shared" si="13"/>
        <v>Wednesday</v>
      </c>
      <c r="K108" s="6">
        <f t="shared" si="14"/>
        <v>0</v>
      </c>
      <c r="L108" s="6">
        <v>1</v>
      </c>
      <c r="M108" s="6" t="str">
        <f t="shared" si="15"/>
        <v>Partly cloudy</v>
      </c>
      <c r="N108" s="8">
        <v>0.3</v>
      </c>
      <c r="O108" s="8">
        <v>0.28789999999999999</v>
      </c>
      <c r="P108" s="8">
        <v>0.28000000000000003</v>
      </c>
      <c r="Q108" s="8">
        <v>0.19400000000000001</v>
      </c>
      <c r="R108" s="6">
        <v>7</v>
      </c>
      <c r="S108" s="6">
        <v>55</v>
      </c>
      <c r="T108" s="6">
        <v>62</v>
      </c>
      <c r="U108" s="8">
        <f t="shared" si="16"/>
        <v>0.27198162435570455</v>
      </c>
      <c r="V108" s="8" t="str">
        <f t="shared" si="17"/>
        <v>Normal</v>
      </c>
      <c r="W108" s="8">
        <f t="shared" si="18"/>
        <v>3.376208063910776E-2</v>
      </c>
      <c r="X108" s="8" t="str">
        <f t="shared" si="19"/>
        <v>Normal</v>
      </c>
    </row>
    <row r="109" spans="1:24" x14ac:dyDescent="0.25">
      <c r="A109" s="6">
        <v>108</v>
      </c>
      <c r="B109" s="7">
        <v>40548</v>
      </c>
      <c r="C109" s="6">
        <v>1</v>
      </c>
      <c r="D109" s="6" t="str">
        <f t="shared" si="10"/>
        <v>january</v>
      </c>
      <c r="E109" s="6">
        <v>16</v>
      </c>
      <c r="F109" s="6" t="str">
        <f t="shared" si="11"/>
        <v>Afternoon</v>
      </c>
      <c r="G109" s="6" t="b">
        <v>0</v>
      </c>
      <c r="H109" s="6">
        <f t="shared" si="12"/>
        <v>0</v>
      </c>
      <c r="I109" s="6">
        <v>3</v>
      </c>
      <c r="J109" s="6" t="str">
        <f t="shared" si="13"/>
        <v>Wednesday</v>
      </c>
      <c r="K109" s="6">
        <f t="shared" si="14"/>
        <v>0</v>
      </c>
      <c r="L109" s="6">
        <v>1</v>
      </c>
      <c r="M109" s="6" t="str">
        <f t="shared" si="15"/>
        <v>Partly cloudy</v>
      </c>
      <c r="N109" s="8">
        <v>0.3</v>
      </c>
      <c r="O109" s="8">
        <v>0.31819999999999998</v>
      </c>
      <c r="P109" s="8">
        <v>0.28000000000000003</v>
      </c>
      <c r="Q109" s="8">
        <v>8.9599999999999999E-2</v>
      </c>
      <c r="R109" s="6">
        <v>4</v>
      </c>
      <c r="S109" s="6">
        <v>85</v>
      </c>
      <c r="T109" s="6">
        <v>89</v>
      </c>
      <c r="U109" s="8">
        <f t="shared" si="16"/>
        <v>-0.1204882520594536</v>
      </c>
      <c r="V109" s="8" t="str">
        <f t="shared" si="17"/>
        <v>Normal</v>
      </c>
      <c r="W109" s="8">
        <f t="shared" si="18"/>
        <v>0.66014576596578334</v>
      </c>
      <c r="X109" s="8" t="str">
        <f t="shared" si="19"/>
        <v>Normal</v>
      </c>
    </row>
    <row r="110" spans="1:24" x14ac:dyDescent="0.25">
      <c r="A110" s="6">
        <v>109</v>
      </c>
      <c r="B110" s="7">
        <v>40548</v>
      </c>
      <c r="C110" s="6">
        <v>1</v>
      </c>
      <c r="D110" s="6" t="str">
        <f t="shared" si="10"/>
        <v>january</v>
      </c>
      <c r="E110" s="6">
        <v>17</v>
      </c>
      <c r="F110" s="6" t="str">
        <f t="shared" si="11"/>
        <v>Evening</v>
      </c>
      <c r="G110" s="6" t="b">
        <v>0</v>
      </c>
      <c r="H110" s="6">
        <f t="shared" si="12"/>
        <v>0</v>
      </c>
      <c r="I110" s="6">
        <v>3</v>
      </c>
      <c r="J110" s="6" t="str">
        <f t="shared" si="13"/>
        <v>Wednesday</v>
      </c>
      <c r="K110" s="6">
        <f t="shared" si="14"/>
        <v>0</v>
      </c>
      <c r="L110" s="6">
        <v>1</v>
      </c>
      <c r="M110" s="6" t="str">
        <f t="shared" si="15"/>
        <v>Partly cloudy</v>
      </c>
      <c r="N110" s="8">
        <v>0.24</v>
      </c>
      <c r="O110" s="8">
        <v>0.2273</v>
      </c>
      <c r="P110" s="8">
        <v>0.38</v>
      </c>
      <c r="Q110" s="8">
        <v>0.19400000000000001</v>
      </c>
      <c r="R110" s="6">
        <v>4</v>
      </c>
      <c r="S110" s="6">
        <v>186</v>
      </c>
      <c r="T110" s="6">
        <v>190</v>
      </c>
      <c r="U110" s="8">
        <f t="shared" si="16"/>
        <v>-0.1204882520594536</v>
      </c>
      <c r="V110" s="8" t="str">
        <f t="shared" si="17"/>
        <v>Normal</v>
      </c>
      <c r="W110" s="8">
        <f t="shared" si="18"/>
        <v>2.7689708398989246</v>
      </c>
      <c r="X110" s="8" t="str">
        <f t="shared" si="19"/>
        <v>Peak</v>
      </c>
    </row>
    <row r="111" spans="1:24" x14ac:dyDescent="0.25">
      <c r="A111" s="6">
        <v>110</v>
      </c>
      <c r="B111" s="7">
        <v>40548</v>
      </c>
      <c r="C111" s="6">
        <v>1</v>
      </c>
      <c r="D111" s="6" t="str">
        <f t="shared" si="10"/>
        <v>january</v>
      </c>
      <c r="E111" s="6">
        <v>18</v>
      </c>
      <c r="F111" s="6" t="str">
        <f t="shared" si="11"/>
        <v>Evening</v>
      </c>
      <c r="G111" s="6" t="b">
        <v>0</v>
      </c>
      <c r="H111" s="6">
        <f t="shared" si="12"/>
        <v>0</v>
      </c>
      <c r="I111" s="6">
        <v>3</v>
      </c>
      <c r="J111" s="6" t="str">
        <f t="shared" si="13"/>
        <v>Wednesday</v>
      </c>
      <c r="K111" s="6">
        <f t="shared" si="14"/>
        <v>0</v>
      </c>
      <c r="L111" s="6">
        <v>1</v>
      </c>
      <c r="M111" s="6" t="str">
        <f t="shared" si="15"/>
        <v>Partly cloudy</v>
      </c>
      <c r="N111" s="8">
        <v>0.24</v>
      </c>
      <c r="O111" s="8">
        <v>0.2424</v>
      </c>
      <c r="P111" s="8">
        <v>0.38</v>
      </c>
      <c r="Q111" s="8">
        <v>0.1343</v>
      </c>
      <c r="R111" s="6">
        <v>3</v>
      </c>
      <c r="S111" s="6">
        <v>166</v>
      </c>
      <c r="T111" s="6">
        <v>169</v>
      </c>
      <c r="U111" s="8">
        <f t="shared" si="16"/>
        <v>-0.25131154419783963</v>
      </c>
      <c r="V111" s="8" t="str">
        <f t="shared" si="17"/>
        <v>Normal</v>
      </c>
      <c r="W111" s="8">
        <f t="shared" si="18"/>
        <v>2.3513817163478072</v>
      </c>
      <c r="X111" s="8" t="str">
        <f t="shared" si="19"/>
        <v>Peak</v>
      </c>
    </row>
    <row r="112" spans="1:24" x14ac:dyDescent="0.25">
      <c r="A112" s="6">
        <v>111</v>
      </c>
      <c r="B112" s="7">
        <v>40548</v>
      </c>
      <c r="C112" s="6">
        <v>1</v>
      </c>
      <c r="D112" s="6" t="str">
        <f t="shared" si="10"/>
        <v>january</v>
      </c>
      <c r="E112" s="6">
        <v>19</v>
      </c>
      <c r="F112" s="6" t="str">
        <f t="shared" si="11"/>
        <v>Evening</v>
      </c>
      <c r="G112" s="6" t="b">
        <v>0</v>
      </c>
      <c r="H112" s="6">
        <f t="shared" si="12"/>
        <v>0</v>
      </c>
      <c r="I112" s="6">
        <v>3</v>
      </c>
      <c r="J112" s="6" t="str">
        <f t="shared" si="13"/>
        <v>Wednesday</v>
      </c>
      <c r="K112" s="6">
        <f t="shared" si="14"/>
        <v>0</v>
      </c>
      <c r="L112" s="6">
        <v>1</v>
      </c>
      <c r="M112" s="6" t="str">
        <f t="shared" si="15"/>
        <v>Partly cloudy</v>
      </c>
      <c r="N112" s="8">
        <v>0.24</v>
      </c>
      <c r="O112" s="8">
        <v>0.2576</v>
      </c>
      <c r="P112" s="8">
        <v>0.38</v>
      </c>
      <c r="Q112" s="8">
        <v>0.1045</v>
      </c>
      <c r="R112" s="6">
        <v>5</v>
      </c>
      <c r="S112" s="6">
        <v>127</v>
      </c>
      <c r="T112" s="6">
        <v>132</v>
      </c>
      <c r="U112" s="8">
        <f t="shared" si="16"/>
        <v>1.0335040078932463E-2</v>
      </c>
      <c r="V112" s="8" t="str">
        <f t="shared" si="17"/>
        <v>Normal</v>
      </c>
      <c r="W112" s="8">
        <f t="shared" si="18"/>
        <v>1.5370829254231291</v>
      </c>
      <c r="X112" s="8" t="str">
        <f t="shared" si="19"/>
        <v>Normal</v>
      </c>
    </row>
    <row r="113" spans="1:24" x14ac:dyDescent="0.25">
      <c r="A113" s="6">
        <v>112</v>
      </c>
      <c r="B113" s="7">
        <v>40548</v>
      </c>
      <c r="C113" s="6">
        <v>1</v>
      </c>
      <c r="D113" s="6" t="str">
        <f t="shared" si="10"/>
        <v>january</v>
      </c>
      <c r="E113" s="6">
        <v>20</v>
      </c>
      <c r="F113" s="6" t="str">
        <f t="shared" si="11"/>
        <v>Evening</v>
      </c>
      <c r="G113" s="6" t="b">
        <v>0</v>
      </c>
      <c r="H113" s="6">
        <f t="shared" si="12"/>
        <v>0</v>
      </c>
      <c r="I113" s="6">
        <v>3</v>
      </c>
      <c r="J113" s="6" t="str">
        <f t="shared" si="13"/>
        <v>Wednesday</v>
      </c>
      <c r="K113" s="6">
        <f t="shared" si="14"/>
        <v>0</v>
      </c>
      <c r="L113" s="6">
        <v>1</v>
      </c>
      <c r="M113" s="6" t="str">
        <f t="shared" si="15"/>
        <v>Partly cloudy</v>
      </c>
      <c r="N113" s="8">
        <v>0.22</v>
      </c>
      <c r="O113" s="8">
        <v>0.2273</v>
      </c>
      <c r="P113" s="8">
        <v>0.47</v>
      </c>
      <c r="Q113" s="8">
        <v>0.16420000000000001</v>
      </c>
      <c r="R113" s="6">
        <v>7</v>
      </c>
      <c r="S113" s="6">
        <v>82</v>
      </c>
      <c r="T113" s="6">
        <v>89</v>
      </c>
      <c r="U113" s="8">
        <f t="shared" si="16"/>
        <v>0.27198162435570455</v>
      </c>
      <c r="V113" s="8" t="str">
        <f t="shared" si="17"/>
        <v>Normal</v>
      </c>
      <c r="W113" s="8">
        <f t="shared" si="18"/>
        <v>0.59750739743311576</v>
      </c>
      <c r="X113" s="8" t="str">
        <f t="shared" si="19"/>
        <v>Normal</v>
      </c>
    </row>
    <row r="114" spans="1:24" x14ac:dyDescent="0.25">
      <c r="A114" s="6">
        <v>113</v>
      </c>
      <c r="B114" s="7">
        <v>40548</v>
      </c>
      <c r="C114" s="6">
        <v>1</v>
      </c>
      <c r="D114" s="6" t="str">
        <f t="shared" si="10"/>
        <v>january</v>
      </c>
      <c r="E114" s="6">
        <v>21</v>
      </c>
      <c r="F114" s="6" t="str">
        <f t="shared" si="11"/>
        <v>Night</v>
      </c>
      <c r="G114" s="6" t="b">
        <v>0</v>
      </c>
      <c r="H114" s="6">
        <f t="shared" si="12"/>
        <v>0</v>
      </c>
      <c r="I114" s="6">
        <v>3</v>
      </c>
      <c r="J114" s="6" t="str">
        <f t="shared" si="13"/>
        <v>Wednesday</v>
      </c>
      <c r="K114" s="6">
        <f t="shared" si="14"/>
        <v>0</v>
      </c>
      <c r="L114" s="6">
        <v>1</v>
      </c>
      <c r="M114" s="6" t="str">
        <f t="shared" si="15"/>
        <v>Partly cloudy</v>
      </c>
      <c r="N114" s="8">
        <v>0.2</v>
      </c>
      <c r="O114" s="8">
        <v>0.19700000000000001</v>
      </c>
      <c r="P114" s="8">
        <v>0.51</v>
      </c>
      <c r="Q114" s="8">
        <v>0.19400000000000001</v>
      </c>
      <c r="R114" s="6">
        <v>3</v>
      </c>
      <c r="S114" s="6">
        <v>40</v>
      </c>
      <c r="T114" s="6">
        <v>43</v>
      </c>
      <c r="U114" s="8">
        <f t="shared" si="16"/>
        <v>-0.25131154419783963</v>
      </c>
      <c r="V114" s="8" t="str">
        <f t="shared" si="17"/>
        <v>Normal</v>
      </c>
      <c r="W114" s="8">
        <f t="shared" si="18"/>
        <v>-0.27942976202423003</v>
      </c>
      <c r="X114" s="8" t="str">
        <f t="shared" si="19"/>
        <v>Normal</v>
      </c>
    </row>
    <row r="115" spans="1:24" x14ac:dyDescent="0.25">
      <c r="A115" s="6">
        <v>114</v>
      </c>
      <c r="B115" s="7">
        <v>40548</v>
      </c>
      <c r="C115" s="6">
        <v>1</v>
      </c>
      <c r="D115" s="6" t="str">
        <f t="shared" si="10"/>
        <v>january</v>
      </c>
      <c r="E115" s="6">
        <v>22</v>
      </c>
      <c r="F115" s="6" t="str">
        <f t="shared" si="11"/>
        <v>Night</v>
      </c>
      <c r="G115" s="6" t="b">
        <v>0</v>
      </c>
      <c r="H115" s="6">
        <f t="shared" si="12"/>
        <v>0</v>
      </c>
      <c r="I115" s="6">
        <v>3</v>
      </c>
      <c r="J115" s="6" t="str">
        <f t="shared" si="13"/>
        <v>Wednesday</v>
      </c>
      <c r="K115" s="6">
        <f t="shared" si="14"/>
        <v>0</v>
      </c>
      <c r="L115" s="6">
        <v>1</v>
      </c>
      <c r="M115" s="6" t="str">
        <f t="shared" si="15"/>
        <v>Partly cloudy</v>
      </c>
      <c r="N115" s="8">
        <v>0.18</v>
      </c>
      <c r="O115" s="8">
        <v>0.19700000000000001</v>
      </c>
      <c r="P115" s="8">
        <v>0.55000000000000004</v>
      </c>
      <c r="Q115" s="8">
        <v>0.1343</v>
      </c>
      <c r="R115" s="6">
        <v>1</v>
      </c>
      <c r="S115" s="6">
        <v>41</v>
      </c>
      <c r="T115" s="6">
        <v>42</v>
      </c>
      <c r="U115" s="8">
        <f t="shared" si="16"/>
        <v>-0.51295812847461175</v>
      </c>
      <c r="V115" s="8" t="str">
        <f t="shared" si="17"/>
        <v>Normal</v>
      </c>
      <c r="W115" s="8">
        <f t="shared" si="18"/>
        <v>-0.25855030584667421</v>
      </c>
      <c r="X115" s="8" t="str">
        <f t="shared" si="19"/>
        <v>Normal</v>
      </c>
    </row>
    <row r="116" spans="1:24" x14ac:dyDescent="0.25">
      <c r="A116" s="6">
        <v>115</v>
      </c>
      <c r="B116" s="7">
        <v>40548</v>
      </c>
      <c r="C116" s="6">
        <v>1</v>
      </c>
      <c r="D116" s="6" t="str">
        <f t="shared" si="10"/>
        <v>january</v>
      </c>
      <c r="E116" s="6">
        <v>23</v>
      </c>
      <c r="F116" s="6" t="str">
        <f t="shared" si="11"/>
        <v>Night</v>
      </c>
      <c r="G116" s="6" t="b">
        <v>0</v>
      </c>
      <c r="H116" s="6">
        <f t="shared" si="12"/>
        <v>0</v>
      </c>
      <c r="I116" s="6">
        <v>3</v>
      </c>
      <c r="J116" s="6" t="str">
        <f t="shared" si="13"/>
        <v>Wednesday</v>
      </c>
      <c r="K116" s="6">
        <f t="shared" si="14"/>
        <v>0</v>
      </c>
      <c r="L116" s="6">
        <v>1</v>
      </c>
      <c r="M116" s="6" t="str">
        <f t="shared" si="15"/>
        <v>Partly cloudy</v>
      </c>
      <c r="N116" s="8">
        <v>0.2</v>
      </c>
      <c r="O116" s="8">
        <v>0.2576</v>
      </c>
      <c r="P116" s="8">
        <v>0.47</v>
      </c>
      <c r="Q116" s="8">
        <v>0</v>
      </c>
      <c r="R116" s="6">
        <v>1</v>
      </c>
      <c r="S116" s="6">
        <v>18</v>
      </c>
      <c r="T116" s="6">
        <v>19</v>
      </c>
      <c r="U116" s="8">
        <f t="shared" si="16"/>
        <v>-0.51295812847461175</v>
      </c>
      <c r="V116" s="8" t="str">
        <f t="shared" si="17"/>
        <v>Normal</v>
      </c>
      <c r="W116" s="8">
        <f t="shared" si="18"/>
        <v>-0.73877779793045883</v>
      </c>
      <c r="X116" s="8" t="str">
        <f t="shared" si="19"/>
        <v>Normal</v>
      </c>
    </row>
    <row r="117" spans="1:24" x14ac:dyDescent="0.25">
      <c r="A117" s="6">
        <v>116</v>
      </c>
      <c r="B117" s="7">
        <v>40549</v>
      </c>
      <c r="C117" s="6">
        <v>1</v>
      </c>
      <c r="D117" s="6" t="str">
        <f t="shared" si="10"/>
        <v>january</v>
      </c>
      <c r="E117" s="6">
        <v>0</v>
      </c>
      <c r="F117" s="6" t="str">
        <f t="shared" si="11"/>
        <v>Night</v>
      </c>
      <c r="G117" s="6" t="b">
        <v>0</v>
      </c>
      <c r="H117" s="6">
        <f t="shared" si="12"/>
        <v>0</v>
      </c>
      <c r="I117" s="6">
        <v>4</v>
      </c>
      <c r="J117" s="6" t="str">
        <f t="shared" si="13"/>
        <v>Thursday</v>
      </c>
      <c r="K117" s="6">
        <f t="shared" si="14"/>
        <v>0</v>
      </c>
      <c r="L117" s="6">
        <v>1</v>
      </c>
      <c r="M117" s="6" t="str">
        <f t="shared" si="15"/>
        <v>Partly cloudy</v>
      </c>
      <c r="N117" s="8">
        <v>0.18</v>
      </c>
      <c r="O117" s="8">
        <v>0.2424</v>
      </c>
      <c r="P117" s="8">
        <v>0.55000000000000004</v>
      </c>
      <c r="Q117" s="8">
        <v>0</v>
      </c>
      <c r="R117" s="6">
        <v>0</v>
      </c>
      <c r="S117" s="6">
        <v>11</v>
      </c>
      <c r="T117" s="6">
        <v>11</v>
      </c>
      <c r="U117" s="8">
        <f t="shared" si="16"/>
        <v>-0.64378142061299781</v>
      </c>
      <c r="V117" s="8" t="str">
        <f t="shared" si="17"/>
        <v>Normal</v>
      </c>
      <c r="W117" s="8">
        <f t="shared" si="18"/>
        <v>-0.88493399117334981</v>
      </c>
      <c r="X117" s="8" t="str">
        <f t="shared" si="19"/>
        <v>Normal</v>
      </c>
    </row>
    <row r="118" spans="1:24" x14ac:dyDescent="0.25">
      <c r="A118" s="6">
        <v>117</v>
      </c>
      <c r="B118" s="7">
        <v>40549</v>
      </c>
      <c r="C118" s="6">
        <v>1</v>
      </c>
      <c r="D118" s="6" t="str">
        <f t="shared" si="10"/>
        <v>january</v>
      </c>
      <c r="E118" s="6">
        <v>1</v>
      </c>
      <c r="F118" s="6" t="str">
        <f t="shared" si="11"/>
        <v>Night</v>
      </c>
      <c r="G118" s="6" t="b">
        <v>0</v>
      </c>
      <c r="H118" s="6">
        <f t="shared" si="12"/>
        <v>0</v>
      </c>
      <c r="I118" s="6">
        <v>4</v>
      </c>
      <c r="J118" s="6" t="str">
        <f t="shared" si="13"/>
        <v>Thursday</v>
      </c>
      <c r="K118" s="6">
        <f t="shared" si="14"/>
        <v>0</v>
      </c>
      <c r="L118" s="6">
        <v>1</v>
      </c>
      <c r="M118" s="6" t="str">
        <f t="shared" si="15"/>
        <v>Partly cloudy</v>
      </c>
      <c r="N118" s="8">
        <v>0.16</v>
      </c>
      <c r="O118" s="8">
        <v>0.2273</v>
      </c>
      <c r="P118" s="8">
        <v>0.64</v>
      </c>
      <c r="Q118" s="8">
        <v>0</v>
      </c>
      <c r="R118" s="6">
        <v>0</v>
      </c>
      <c r="S118" s="6">
        <v>4</v>
      </c>
      <c r="T118" s="6">
        <v>4</v>
      </c>
      <c r="U118" s="8">
        <f t="shared" si="16"/>
        <v>-0.64378142061299781</v>
      </c>
      <c r="V118" s="8" t="str">
        <f t="shared" si="17"/>
        <v>Normal</v>
      </c>
      <c r="W118" s="8">
        <f t="shared" si="18"/>
        <v>-1.0310901844162408</v>
      </c>
      <c r="X118" s="8" t="str">
        <f t="shared" si="19"/>
        <v>Normal</v>
      </c>
    </row>
    <row r="119" spans="1:24" x14ac:dyDescent="0.25">
      <c r="A119" s="6">
        <v>118</v>
      </c>
      <c r="B119" s="7">
        <v>40549</v>
      </c>
      <c r="C119" s="6">
        <v>1</v>
      </c>
      <c r="D119" s="6" t="str">
        <f t="shared" si="10"/>
        <v>january</v>
      </c>
      <c r="E119" s="6">
        <v>2</v>
      </c>
      <c r="F119" s="6" t="str">
        <f t="shared" si="11"/>
        <v>Night</v>
      </c>
      <c r="G119" s="6" t="b">
        <v>0</v>
      </c>
      <c r="H119" s="6">
        <f t="shared" si="12"/>
        <v>0</v>
      </c>
      <c r="I119" s="6">
        <v>4</v>
      </c>
      <c r="J119" s="6" t="str">
        <f t="shared" si="13"/>
        <v>Thursday</v>
      </c>
      <c r="K119" s="6">
        <f t="shared" si="14"/>
        <v>0</v>
      </c>
      <c r="L119" s="6">
        <v>1</v>
      </c>
      <c r="M119" s="6" t="str">
        <f t="shared" si="15"/>
        <v>Partly cloudy</v>
      </c>
      <c r="N119" s="8">
        <v>0.16</v>
      </c>
      <c r="O119" s="8">
        <v>0.2273</v>
      </c>
      <c r="P119" s="8">
        <v>0.64</v>
      </c>
      <c r="Q119" s="8">
        <v>0</v>
      </c>
      <c r="R119" s="6">
        <v>0</v>
      </c>
      <c r="S119" s="6">
        <v>2</v>
      </c>
      <c r="T119" s="6">
        <v>2</v>
      </c>
      <c r="U119" s="8">
        <f t="shared" si="16"/>
        <v>-0.64378142061299781</v>
      </c>
      <c r="V119" s="8" t="str">
        <f t="shared" si="17"/>
        <v>Normal</v>
      </c>
      <c r="W119" s="8">
        <f t="shared" si="18"/>
        <v>-1.0728490967713524</v>
      </c>
      <c r="X119" s="8" t="str">
        <f t="shared" si="19"/>
        <v>Normal</v>
      </c>
    </row>
    <row r="120" spans="1:24" x14ac:dyDescent="0.25">
      <c r="A120" s="6">
        <v>119</v>
      </c>
      <c r="B120" s="7">
        <v>40549</v>
      </c>
      <c r="C120" s="6">
        <v>1</v>
      </c>
      <c r="D120" s="6" t="str">
        <f t="shared" si="10"/>
        <v>january</v>
      </c>
      <c r="E120" s="6">
        <v>4</v>
      </c>
      <c r="F120" s="6" t="str">
        <f t="shared" si="11"/>
        <v>Night</v>
      </c>
      <c r="G120" s="6" t="b">
        <v>0</v>
      </c>
      <c r="H120" s="6">
        <f t="shared" si="12"/>
        <v>0</v>
      </c>
      <c r="I120" s="6">
        <v>4</v>
      </c>
      <c r="J120" s="6" t="str">
        <f t="shared" si="13"/>
        <v>Thursday</v>
      </c>
      <c r="K120" s="6">
        <f t="shared" si="14"/>
        <v>0</v>
      </c>
      <c r="L120" s="6">
        <v>2</v>
      </c>
      <c r="M120" s="6" t="str">
        <f t="shared" si="15"/>
        <v>Cloudy</v>
      </c>
      <c r="N120" s="8">
        <v>0.16</v>
      </c>
      <c r="O120" s="8">
        <v>0.19700000000000001</v>
      </c>
      <c r="P120" s="8">
        <v>0.64</v>
      </c>
      <c r="Q120" s="8">
        <v>8.9599999999999999E-2</v>
      </c>
      <c r="R120" s="6">
        <v>0</v>
      </c>
      <c r="S120" s="6">
        <v>1</v>
      </c>
      <c r="T120" s="6">
        <v>1</v>
      </c>
      <c r="U120" s="8">
        <f t="shared" si="16"/>
        <v>-0.64378142061299781</v>
      </c>
      <c r="V120" s="8" t="str">
        <f t="shared" si="17"/>
        <v>Normal</v>
      </c>
      <c r="W120" s="8">
        <f t="shared" si="18"/>
        <v>-1.0937285529489083</v>
      </c>
      <c r="X120" s="8" t="str">
        <f t="shared" si="19"/>
        <v>Normal</v>
      </c>
    </row>
    <row r="121" spans="1:24" x14ac:dyDescent="0.25">
      <c r="A121" s="6">
        <v>120</v>
      </c>
      <c r="B121" s="7">
        <v>40549</v>
      </c>
      <c r="C121" s="6">
        <v>1</v>
      </c>
      <c r="D121" s="6" t="str">
        <f t="shared" si="10"/>
        <v>january</v>
      </c>
      <c r="E121" s="6">
        <v>5</v>
      </c>
      <c r="F121" s="6" t="str">
        <f t="shared" si="11"/>
        <v>Early Morning</v>
      </c>
      <c r="G121" s="6" t="b">
        <v>0</v>
      </c>
      <c r="H121" s="6">
        <f t="shared" si="12"/>
        <v>0</v>
      </c>
      <c r="I121" s="6">
        <v>4</v>
      </c>
      <c r="J121" s="6" t="str">
        <f t="shared" si="13"/>
        <v>Thursday</v>
      </c>
      <c r="K121" s="6">
        <f t="shared" si="14"/>
        <v>0</v>
      </c>
      <c r="L121" s="6">
        <v>2</v>
      </c>
      <c r="M121" s="6" t="str">
        <f t="shared" si="15"/>
        <v>Cloudy</v>
      </c>
      <c r="N121" s="8">
        <v>0.14000000000000001</v>
      </c>
      <c r="O121" s="8">
        <v>0.18179999999999999</v>
      </c>
      <c r="P121" s="8">
        <v>0.69</v>
      </c>
      <c r="Q121" s="8">
        <v>8.9599999999999999E-2</v>
      </c>
      <c r="R121" s="6">
        <v>0</v>
      </c>
      <c r="S121" s="6">
        <v>4</v>
      </c>
      <c r="T121" s="6">
        <v>4</v>
      </c>
      <c r="U121" s="8">
        <f t="shared" si="16"/>
        <v>-0.64378142061299781</v>
      </c>
      <c r="V121" s="8" t="str">
        <f t="shared" si="17"/>
        <v>Normal</v>
      </c>
      <c r="W121" s="8">
        <f t="shared" si="18"/>
        <v>-1.0310901844162408</v>
      </c>
      <c r="X121" s="8" t="str">
        <f t="shared" si="19"/>
        <v>Normal</v>
      </c>
    </row>
    <row r="122" spans="1:24" x14ac:dyDescent="0.25">
      <c r="A122" s="6">
        <v>121</v>
      </c>
      <c r="B122" s="7">
        <v>40549</v>
      </c>
      <c r="C122" s="6">
        <v>1</v>
      </c>
      <c r="D122" s="6" t="str">
        <f t="shared" si="10"/>
        <v>january</v>
      </c>
      <c r="E122" s="6">
        <v>6</v>
      </c>
      <c r="F122" s="6" t="str">
        <f t="shared" si="11"/>
        <v>Early Morning</v>
      </c>
      <c r="G122" s="6" t="b">
        <v>0</v>
      </c>
      <c r="H122" s="6">
        <f t="shared" si="12"/>
        <v>0</v>
      </c>
      <c r="I122" s="6">
        <v>4</v>
      </c>
      <c r="J122" s="6" t="str">
        <f t="shared" si="13"/>
        <v>Thursday</v>
      </c>
      <c r="K122" s="6">
        <f t="shared" si="14"/>
        <v>0</v>
      </c>
      <c r="L122" s="6">
        <v>2</v>
      </c>
      <c r="M122" s="6" t="str">
        <f t="shared" si="15"/>
        <v>Cloudy</v>
      </c>
      <c r="N122" s="8">
        <v>0.14000000000000001</v>
      </c>
      <c r="O122" s="8">
        <v>0.16669999999999999</v>
      </c>
      <c r="P122" s="8">
        <v>0.63</v>
      </c>
      <c r="Q122" s="8">
        <v>0.1045</v>
      </c>
      <c r="R122" s="6">
        <v>0</v>
      </c>
      <c r="S122" s="6">
        <v>36</v>
      </c>
      <c r="T122" s="6">
        <v>36</v>
      </c>
      <c r="U122" s="8">
        <f t="shared" si="16"/>
        <v>-0.64378142061299781</v>
      </c>
      <c r="V122" s="8" t="str">
        <f t="shared" si="17"/>
        <v>Normal</v>
      </c>
      <c r="W122" s="8">
        <f t="shared" si="18"/>
        <v>-0.36294758673445349</v>
      </c>
      <c r="X122" s="8" t="str">
        <f t="shared" si="19"/>
        <v>Normal</v>
      </c>
    </row>
    <row r="123" spans="1:24" x14ac:dyDescent="0.25">
      <c r="A123" s="6">
        <v>122</v>
      </c>
      <c r="B123" s="7">
        <v>40549</v>
      </c>
      <c r="C123" s="6">
        <v>1</v>
      </c>
      <c r="D123" s="6" t="str">
        <f t="shared" si="10"/>
        <v>january</v>
      </c>
      <c r="E123" s="6">
        <v>7</v>
      </c>
      <c r="F123" s="6" t="str">
        <f t="shared" si="11"/>
        <v>Early Morning</v>
      </c>
      <c r="G123" s="6" t="b">
        <v>0</v>
      </c>
      <c r="H123" s="6">
        <f t="shared" si="12"/>
        <v>0</v>
      </c>
      <c r="I123" s="6">
        <v>4</v>
      </c>
      <c r="J123" s="6" t="str">
        <f t="shared" si="13"/>
        <v>Thursday</v>
      </c>
      <c r="K123" s="6">
        <f t="shared" si="14"/>
        <v>0</v>
      </c>
      <c r="L123" s="6">
        <v>2</v>
      </c>
      <c r="M123" s="6" t="str">
        <f t="shared" si="15"/>
        <v>Cloudy</v>
      </c>
      <c r="N123" s="8">
        <v>0.16</v>
      </c>
      <c r="O123" s="8">
        <v>0.2273</v>
      </c>
      <c r="P123" s="8">
        <v>0.59</v>
      </c>
      <c r="Q123" s="8">
        <v>0</v>
      </c>
      <c r="R123" s="6">
        <v>0</v>
      </c>
      <c r="S123" s="6">
        <v>95</v>
      </c>
      <c r="T123" s="6">
        <v>95</v>
      </c>
      <c r="U123" s="8">
        <f t="shared" si="16"/>
        <v>-0.64378142061299781</v>
      </c>
      <c r="V123" s="8" t="str">
        <f t="shared" si="17"/>
        <v>Normal</v>
      </c>
      <c r="W123" s="8">
        <f t="shared" si="18"/>
        <v>0.86894032774134189</v>
      </c>
      <c r="X123" s="8" t="str">
        <f t="shared" si="19"/>
        <v>Normal</v>
      </c>
    </row>
    <row r="124" spans="1:24" x14ac:dyDescent="0.25">
      <c r="A124" s="6">
        <v>123</v>
      </c>
      <c r="B124" s="7">
        <v>40549</v>
      </c>
      <c r="C124" s="6">
        <v>1</v>
      </c>
      <c r="D124" s="6" t="str">
        <f t="shared" si="10"/>
        <v>january</v>
      </c>
      <c r="E124" s="6">
        <v>8</v>
      </c>
      <c r="F124" s="6" t="str">
        <f t="shared" si="11"/>
        <v>Morning</v>
      </c>
      <c r="G124" s="6" t="b">
        <v>0</v>
      </c>
      <c r="H124" s="6">
        <f t="shared" si="12"/>
        <v>0</v>
      </c>
      <c r="I124" s="6">
        <v>4</v>
      </c>
      <c r="J124" s="6" t="str">
        <f t="shared" si="13"/>
        <v>Thursday</v>
      </c>
      <c r="K124" s="6">
        <f t="shared" si="14"/>
        <v>0</v>
      </c>
      <c r="L124" s="6">
        <v>1</v>
      </c>
      <c r="M124" s="6" t="str">
        <f t="shared" si="15"/>
        <v>Partly cloudy</v>
      </c>
      <c r="N124" s="8">
        <v>0.16</v>
      </c>
      <c r="O124" s="8">
        <v>0.2273</v>
      </c>
      <c r="P124" s="8">
        <v>0.59</v>
      </c>
      <c r="Q124" s="8">
        <v>0</v>
      </c>
      <c r="R124" s="6">
        <v>3</v>
      </c>
      <c r="S124" s="6">
        <v>216</v>
      </c>
      <c r="T124" s="6">
        <v>219</v>
      </c>
      <c r="U124" s="8">
        <f t="shared" si="16"/>
        <v>-0.25131154419783963</v>
      </c>
      <c r="V124" s="8" t="str">
        <f t="shared" si="17"/>
        <v>Normal</v>
      </c>
      <c r="W124" s="8">
        <f t="shared" si="18"/>
        <v>3.3953545252256001</v>
      </c>
      <c r="X124" s="8" t="str">
        <f t="shared" si="19"/>
        <v>Peak</v>
      </c>
    </row>
    <row r="125" spans="1:24" x14ac:dyDescent="0.25">
      <c r="A125" s="6">
        <v>124</v>
      </c>
      <c r="B125" s="7">
        <v>40549</v>
      </c>
      <c r="C125" s="6">
        <v>1</v>
      </c>
      <c r="D125" s="6" t="str">
        <f t="shared" si="10"/>
        <v>january</v>
      </c>
      <c r="E125" s="6">
        <v>9</v>
      </c>
      <c r="F125" s="6" t="str">
        <f t="shared" si="11"/>
        <v>Morning</v>
      </c>
      <c r="G125" s="6" t="b">
        <v>0</v>
      </c>
      <c r="H125" s="6">
        <f t="shared" si="12"/>
        <v>0</v>
      </c>
      <c r="I125" s="6">
        <v>4</v>
      </c>
      <c r="J125" s="6" t="str">
        <f t="shared" si="13"/>
        <v>Thursday</v>
      </c>
      <c r="K125" s="6">
        <f t="shared" si="14"/>
        <v>0</v>
      </c>
      <c r="L125" s="6">
        <v>2</v>
      </c>
      <c r="M125" s="6" t="str">
        <f t="shared" si="15"/>
        <v>Cloudy</v>
      </c>
      <c r="N125" s="8">
        <v>0.18</v>
      </c>
      <c r="O125" s="8">
        <v>0.2424</v>
      </c>
      <c r="P125" s="8">
        <v>0.51</v>
      </c>
      <c r="Q125" s="8">
        <v>0</v>
      </c>
      <c r="R125" s="6">
        <v>6</v>
      </c>
      <c r="S125" s="6">
        <v>116</v>
      </c>
      <c r="T125" s="6">
        <v>122</v>
      </c>
      <c r="U125" s="8">
        <f t="shared" si="16"/>
        <v>0.14115833221731852</v>
      </c>
      <c r="V125" s="8" t="str">
        <f t="shared" si="17"/>
        <v>Normal</v>
      </c>
      <c r="W125" s="8">
        <f t="shared" si="18"/>
        <v>1.3074089074700148</v>
      </c>
      <c r="X125" s="8" t="str">
        <f t="shared" si="19"/>
        <v>Normal</v>
      </c>
    </row>
    <row r="126" spans="1:24" x14ac:dyDescent="0.25">
      <c r="A126" s="6">
        <v>125</v>
      </c>
      <c r="B126" s="7">
        <v>40549</v>
      </c>
      <c r="C126" s="6">
        <v>1</v>
      </c>
      <c r="D126" s="6" t="str">
        <f t="shared" si="10"/>
        <v>january</v>
      </c>
      <c r="E126" s="6">
        <v>10</v>
      </c>
      <c r="F126" s="6" t="str">
        <f t="shared" si="11"/>
        <v>Morning</v>
      </c>
      <c r="G126" s="6" t="b">
        <v>0</v>
      </c>
      <c r="H126" s="6">
        <f t="shared" si="12"/>
        <v>0</v>
      </c>
      <c r="I126" s="6">
        <v>4</v>
      </c>
      <c r="J126" s="6" t="str">
        <f t="shared" si="13"/>
        <v>Thursday</v>
      </c>
      <c r="K126" s="6">
        <f t="shared" si="14"/>
        <v>0</v>
      </c>
      <c r="L126" s="6">
        <v>1</v>
      </c>
      <c r="M126" s="6" t="str">
        <f t="shared" si="15"/>
        <v>Partly cloudy</v>
      </c>
      <c r="N126" s="8">
        <v>0.2</v>
      </c>
      <c r="O126" s="8">
        <v>0.2576</v>
      </c>
      <c r="P126" s="8">
        <v>0.47</v>
      </c>
      <c r="Q126" s="8">
        <v>0</v>
      </c>
      <c r="R126" s="6">
        <v>3</v>
      </c>
      <c r="S126" s="6">
        <v>42</v>
      </c>
      <c r="T126" s="6">
        <v>45</v>
      </c>
      <c r="U126" s="8">
        <f t="shared" si="16"/>
        <v>-0.25131154419783963</v>
      </c>
      <c r="V126" s="8" t="str">
        <f t="shared" si="17"/>
        <v>Normal</v>
      </c>
      <c r="W126" s="8">
        <f t="shared" si="18"/>
        <v>-0.23767084966911833</v>
      </c>
      <c r="X126" s="8" t="str">
        <f t="shared" si="19"/>
        <v>Normal</v>
      </c>
    </row>
    <row r="127" spans="1:24" x14ac:dyDescent="0.25">
      <c r="A127" s="6">
        <v>126</v>
      </c>
      <c r="B127" s="7">
        <v>40549</v>
      </c>
      <c r="C127" s="6">
        <v>1</v>
      </c>
      <c r="D127" s="6" t="str">
        <f t="shared" si="10"/>
        <v>january</v>
      </c>
      <c r="E127" s="6">
        <v>11</v>
      </c>
      <c r="F127" s="6" t="str">
        <f t="shared" si="11"/>
        <v>Morning</v>
      </c>
      <c r="G127" s="6" t="b">
        <v>0</v>
      </c>
      <c r="H127" s="6">
        <f t="shared" si="12"/>
        <v>0</v>
      </c>
      <c r="I127" s="6">
        <v>4</v>
      </c>
      <c r="J127" s="6" t="str">
        <f t="shared" si="13"/>
        <v>Thursday</v>
      </c>
      <c r="K127" s="6">
        <f t="shared" si="14"/>
        <v>0</v>
      </c>
      <c r="L127" s="6">
        <v>1</v>
      </c>
      <c r="M127" s="6" t="str">
        <f t="shared" si="15"/>
        <v>Partly cloudy</v>
      </c>
      <c r="N127" s="8">
        <v>0.22</v>
      </c>
      <c r="O127" s="8">
        <v>0.2576</v>
      </c>
      <c r="P127" s="8">
        <v>0.44</v>
      </c>
      <c r="Q127" s="8">
        <v>8.9599999999999999E-2</v>
      </c>
      <c r="R127" s="6">
        <v>2</v>
      </c>
      <c r="S127" s="6">
        <v>57</v>
      </c>
      <c r="T127" s="6">
        <v>59</v>
      </c>
      <c r="U127" s="8">
        <f t="shared" si="16"/>
        <v>-0.38213483633622569</v>
      </c>
      <c r="V127" s="8" t="str">
        <f t="shared" si="17"/>
        <v>Normal</v>
      </c>
      <c r="W127" s="8">
        <f t="shared" si="18"/>
        <v>7.5520992994219466E-2</v>
      </c>
      <c r="X127" s="8" t="str">
        <f t="shared" si="19"/>
        <v>Normal</v>
      </c>
    </row>
    <row r="128" spans="1:24" x14ac:dyDescent="0.25">
      <c r="A128" s="6">
        <v>127</v>
      </c>
      <c r="B128" s="7">
        <v>40549</v>
      </c>
      <c r="C128" s="6">
        <v>1</v>
      </c>
      <c r="D128" s="6" t="str">
        <f t="shared" si="10"/>
        <v>january</v>
      </c>
      <c r="E128" s="6">
        <v>12</v>
      </c>
      <c r="F128" s="6" t="str">
        <f t="shared" si="11"/>
        <v>Afternoon</v>
      </c>
      <c r="G128" s="6" t="b">
        <v>0</v>
      </c>
      <c r="H128" s="6">
        <f t="shared" si="12"/>
        <v>0</v>
      </c>
      <c r="I128" s="6">
        <v>4</v>
      </c>
      <c r="J128" s="6" t="str">
        <f t="shared" si="13"/>
        <v>Thursday</v>
      </c>
      <c r="K128" s="6">
        <f t="shared" si="14"/>
        <v>0</v>
      </c>
      <c r="L128" s="6">
        <v>1</v>
      </c>
      <c r="M128" s="6" t="str">
        <f t="shared" si="15"/>
        <v>Partly cloudy</v>
      </c>
      <c r="N128" s="8">
        <v>0.26</v>
      </c>
      <c r="O128" s="8">
        <v>0.28789999999999999</v>
      </c>
      <c r="P128" s="8">
        <v>0.35</v>
      </c>
      <c r="Q128" s="8">
        <v>0</v>
      </c>
      <c r="R128" s="6">
        <v>6</v>
      </c>
      <c r="S128" s="6">
        <v>78</v>
      </c>
      <c r="T128" s="6">
        <v>84</v>
      </c>
      <c r="U128" s="8">
        <f t="shared" si="16"/>
        <v>0.14115833221731852</v>
      </c>
      <c r="V128" s="8" t="str">
        <f t="shared" si="17"/>
        <v>Normal</v>
      </c>
      <c r="W128" s="8">
        <f t="shared" si="18"/>
        <v>0.51398957272289236</v>
      </c>
      <c r="X128" s="8" t="str">
        <f t="shared" si="19"/>
        <v>Normal</v>
      </c>
    </row>
    <row r="129" spans="1:24" x14ac:dyDescent="0.25">
      <c r="A129" s="6">
        <v>128</v>
      </c>
      <c r="B129" s="7">
        <v>40549</v>
      </c>
      <c r="C129" s="6">
        <v>1</v>
      </c>
      <c r="D129" s="6" t="str">
        <f t="shared" si="10"/>
        <v>january</v>
      </c>
      <c r="E129" s="6">
        <v>13</v>
      </c>
      <c r="F129" s="6" t="str">
        <f t="shared" si="11"/>
        <v>Afternoon</v>
      </c>
      <c r="G129" s="6" t="b">
        <v>0</v>
      </c>
      <c r="H129" s="6">
        <f t="shared" si="12"/>
        <v>0</v>
      </c>
      <c r="I129" s="6">
        <v>4</v>
      </c>
      <c r="J129" s="6" t="str">
        <f t="shared" si="13"/>
        <v>Thursday</v>
      </c>
      <c r="K129" s="6">
        <f t="shared" si="14"/>
        <v>0</v>
      </c>
      <c r="L129" s="6">
        <v>1</v>
      </c>
      <c r="M129" s="6" t="str">
        <f t="shared" si="15"/>
        <v>Partly cloudy</v>
      </c>
      <c r="N129" s="8">
        <v>0.26</v>
      </c>
      <c r="O129" s="8">
        <v>0.2727</v>
      </c>
      <c r="P129" s="8">
        <v>0.35</v>
      </c>
      <c r="Q129" s="8">
        <v>0.1045</v>
      </c>
      <c r="R129" s="6">
        <v>12</v>
      </c>
      <c r="S129" s="6">
        <v>55</v>
      </c>
      <c r="T129" s="6">
        <v>67</v>
      </c>
      <c r="U129" s="8">
        <f t="shared" si="16"/>
        <v>0.92609808504763491</v>
      </c>
      <c r="V129" s="8" t="str">
        <f t="shared" si="17"/>
        <v>Normal</v>
      </c>
      <c r="W129" s="8">
        <f t="shared" si="18"/>
        <v>3.376208063910776E-2</v>
      </c>
      <c r="X129" s="8" t="str">
        <f t="shared" si="19"/>
        <v>Normal</v>
      </c>
    </row>
    <row r="130" spans="1:24" x14ac:dyDescent="0.25">
      <c r="A130" s="6">
        <v>129</v>
      </c>
      <c r="B130" s="7">
        <v>40549</v>
      </c>
      <c r="C130" s="6">
        <v>1</v>
      </c>
      <c r="D130" s="6" t="str">
        <f t="shared" ref="D130:D193" si="20">IF(C130=1,"january",IF(C130=2,"february"))</f>
        <v>january</v>
      </c>
      <c r="E130" s="6">
        <v>14</v>
      </c>
      <c r="F130" s="6" t="str">
        <f t="shared" ref="F130:F193" si="21">IF(AND(E130&gt;=5,E130&lt;8),"Early Morning", IF(AND(E130&gt;=8,E130&lt;12),"Morning", IF(AND(E130&gt;=12,E130&lt;17),"Afternoon", IF(AND(E130&gt;=17,E130&lt;21),"Evening","Night"))))</f>
        <v>Afternoon</v>
      </c>
      <c r="G130" s="6" t="b">
        <v>0</v>
      </c>
      <c r="H130" s="6">
        <f t="shared" ref="H130:H193" si="22">IF(G130=FALSE,0,IF(G130=TRUE,1))</f>
        <v>0</v>
      </c>
      <c r="I130" s="6">
        <v>4</v>
      </c>
      <c r="J130" s="6" t="str">
        <f t="shared" ref="J130:J193" si="23">TEXT(B130,"dddd")</f>
        <v>Thursday</v>
      </c>
      <c r="K130" s="6">
        <f t="shared" ref="K130:K193" si="24">IF(OR(J130="Saturday",J130="Sunday"),1,0)</f>
        <v>0</v>
      </c>
      <c r="L130" s="6">
        <v>1</v>
      </c>
      <c r="M130" s="6" t="str">
        <f t="shared" ref="M130:M193" si="25">IF(L130=0,"clear sky",IF(L130=1,"Partly cloudy",IF(L130=2,"Cloudy",IF(L130=3,"Light rain",IF(L130=4,"Heavy rain")))))</f>
        <v>Partly cloudy</v>
      </c>
      <c r="N130" s="8">
        <v>0.28000000000000003</v>
      </c>
      <c r="O130" s="8">
        <v>0.2727</v>
      </c>
      <c r="P130" s="8">
        <v>0.36</v>
      </c>
      <c r="Q130" s="8">
        <v>0.16420000000000001</v>
      </c>
      <c r="R130" s="6">
        <v>11</v>
      </c>
      <c r="S130" s="6">
        <v>59</v>
      </c>
      <c r="T130" s="6">
        <v>70</v>
      </c>
      <c r="U130" s="8">
        <f t="shared" ref="U130:U193" si="26">(R130-$AA$7)/$AA$9</f>
        <v>0.79527479290924885</v>
      </c>
      <c r="V130" s="8" t="str">
        <f t="shared" ref="V130:V193" si="27">IF(ABS(U130)&gt;2,"Peak","Normal")</f>
        <v>Normal</v>
      </c>
      <c r="W130" s="8">
        <f t="shared" ref="W130:W193" si="28">(S130-$AA$11)/$AA$13</f>
        <v>0.11727990534933118</v>
      </c>
      <c r="X130" s="8" t="str">
        <f t="shared" ref="X130:X193" si="29">IF(ABS(W130)&gt;2,"Peak","Normal")</f>
        <v>Normal</v>
      </c>
    </row>
    <row r="131" spans="1:24" x14ac:dyDescent="0.25">
      <c r="A131" s="6">
        <v>130</v>
      </c>
      <c r="B131" s="7">
        <v>40549</v>
      </c>
      <c r="C131" s="6">
        <v>1</v>
      </c>
      <c r="D131" s="6" t="str">
        <f t="shared" si="20"/>
        <v>january</v>
      </c>
      <c r="E131" s="6">
        <v>15</v>
      </c>
      <c r="F131" s="6" t="str">
        <f t="shared" si="21"/>
        <v>Afternoon</v>
      </c>
      <c r="G131" s="6" t="b">
        <v>0</v>
      </c>
      <c r="H131" s="6">
        <f t="shared" si="22"/>
        <v>0</v>
      </c>
      <c r="I131" s="6">
        <v>4</v>
      </c>
      <c r="J131" s="6" t="str">
        <f t="shared" si="23"/>
        <v>Thursday</v>
      </c>
      <c r="K131" s="6">
        <f t="shared" si="24"/>
        <v>0</v>
      </c>
      <c r="L131" s="6">
        <v>1</v>
      </c>
      <c r="M131" s="6" t="str">
        <f t="shared" si="25"/>
        <v>Partly cloudy</v>
      </c>
      <c r="N131" s="8">
        <v>0.28000000000000003</v>
      </c>
      <c r="O131" s="8">
        <v>0.2727</v>
      </c>
      <c r="P131" s="8">
        <v>0.36</v>
      </c>
      <c r="Q131" s="8">
        <v>0</v>
      </c>
      <c r="R131" s="6">
        <v>8</v>
      </c>
      <c r="S131" s="6">
        <v>54</v>
      </c>
      <c r="T131" s="6">
        <v>62</v>
      </c>
      <c r="U131" s="8">
        <f t="shared" si="26"/>
        <v>0.40280491649409061</v>
      </c>
      <c r="V131" s="8" t="str">
        <f t="shared" si="27"/>
        <v>Normal</v>
      </c>
      <c r="W131" s="8">
        <f t="shared" si="28"/>
        <v>1.2882624461551907E-2</v>
      </c>
      <c r="X131" s="8" t="str">
        <f t="shared" si="29"/>
        <v>Normal</v>
      </c>
    </row>
    <row r="132" spans="1:24" x14ac:dyDescent="0.25">
      <c r="A132" s="6">
        <v>131</v>
      </c>
      <c r="B132" s="7">
        <v>40549</v>
      </c>
      <c r="C132" s="6">
        <v>1</v>
      </c>
      <c r="D132" s="6" t="str">
        <f t="shared" si="20"/>
        <v>january</v>
      </c>
      <c r="E132" s="6">
        <v>16</v>
      </c>
      <c r="F132" s="6" t="str">
        <f t="shared" si="21"/>
        <v>Afternoon</v>
      </c>
      <c r="G132" s="6" t="b">
        <v>0</v>
      </c>
      <c r="H132" s="6">
        <f t="shared" si="22"/>
        <v>0</v>
      </c>
      <c r="I132" s="6">
        <v>4</v>
      </c>
      <c r="J132" s="6" t="str">
        <f t="shared" si="23"/>
        <v>Thursday</v>
      </c>
      <c r="K132" s="6">
        <f t="shared" si="24"/>
        <v>0</v>
      </c>
      <c r="L132" s="6">
        <v>1</v>
      </c>
      <c r="M132" s="6" t="str">
        <f t="shared" si="25"/>
        <v>Partly cloudy</v>
      </c>
      <c r="N132" s="8">
        <v>0.26</v>
      </c>
      <c r="O132" s="8">
        <v>0.2576</v>
      </c>
      <c r="P132" s="8">
        <v>0.38</v>
      </c>
      <c r="Q132" s="8">
        <v>0.16420000000000001</v>
      </c>
      <c r="R132" s="6">
        <v>12</v>
      </c>
      <c r="S132" s="6">
        <v>74</v>
      </c>
      <c r="T132" s="6">
        <v>86</v>
      </c>
      <c r="U132" s="8">
        <f t="shared" si="26"/>
        <v>0.92609808504763491</v>
      </c>
      <c r="V132" s="8" t="str">
        <f t="shared" si="27"/>
        <v>Normal</v>
      </c>
      <c r="W132" s="8">
        <f t="shared" si="28"/>
        <v>0.43047174801266896</v>
      </c>
      <c r="X132" s="8" t="str">
        <f t="shared" si="29"/>
        <v>Normal</v>
      </c>
    </row>
    <row r="133" spans="1:24" x14ac:dyDescent="0.25">
      <c r="A133" s="6">
        <v>132</v>
      </c>
      <c r="B133" s="7">
        <v>40549</v>
      </c>
      <c r="C133" s="6">
        <v>1</v>
      </c>
      <c r="D133" s="6" t="str">
        <f t="shared" si="20"/>
        <v>january</v>
      </c>
      <c r="E133" s="6">
        <v>17</v>
      </c>
      <c r="F133" s="6" t="str">
        <f t="shared" si="21"/>
        <v>Evening</v>
      </c>
      <c r="G133" s="6" t="b">
        <v>0</v>
      </c>
      <c r="H133" s="6">
        <f t="shared" si="22"/>
        <v>0</v>
      </c>
      <c r="I133" s="6">
        <v>4</v>
      </c>
      <c r="J133" s="6" t="str">
        <f t="shared" si="23"/>
        <v>Thursday</v>
      </c>
      <c r="K133" s="6">
        <f t="shared" si="24"/>
        <v>0</v>
      </c>
      <c r="L133" s="6">
        <v>1</v>
      </c>
      <c r="M133" s="6" t="str">
        <f t="shared" si="25"/>
        <v>Partly cloudy</v>
      </c>
      <c r="N133" s="8">
        <v>0.22</v>
      </c>
      <c r="O133" s="8">
        <v>0.2273</v>
      </c>
      <c r="P133" s="8">
        <v>0.51</v>
      </c>
      <c r="Q133" s="8">
        <v>0.16420000000000001</v>
      </c>
      <c r="R133" s="6">
        <v>9</v>
      </c>
      <c r="S133" s="6">
        <v>163</v>
      </c>
      <c r="T133" s="6">
        <v>172</v>
      </c>
      <c r="U133" s="8">
        <f t="shared" si="26"/>
        <v>0.53362820863247673</v>
      </c>
      <c r="V133" s="8" t="str">
        <f t="shared" si="27"/>
        <v>Normal</v>
      </c>
      <c r="W133" s="8">
        <f t="shared" si="28"/>
        <v>2.28874334781514</v>
      </c>
      <c r="X133" s="8" t="str">
        <f t="shared" si="29"/>
        <v>Peak</v>
      </c>
    </row>
    <row r="134" spans="1:24" x14ac:dyDescent="0.25">
      <c r="A134" s="6">
        <v>133</v>
      </c>
      <c r="B134" s="7">
        <v>40549</v>
      </c>
      <c r="C134" s="6">
        <v>1</v>
      </c>
      <c r="D134" s="6" t="str">
        <f t="shared" si="20"/>
        <v>january</v>
      </c>
      <c r="E134" s="6">
        <v>18</v>
      </c>
      <c r="F134" s="6" t="str">
        <f t="shared" si="21"/>
        <v>Evening</v>
      </c>
      <c r="G134" s="6" t="b">
        <v>0</v>
      </c>
      <c r="H134" s="6">
        <f t="shared" si="22"/>
        <v>0</v>
      </c>
      <c r="I134" s="6">
        <v>4</v>
      </c>
      <c r="J134" s="6" t="str">
        <f t="shared" si="23"/>
        <v>Thursday</v>
      </c>
      <c r="K134" s="6">
        <f t="shared" si="24"/>
        <v>0</v>
      </c>
      <c r="L134" s="6">
        <v>1</v>
      </c>
      <c r="M134" s="6" t="str">
        <f t="shared" si="25"/>
        <v>Partly cloudy</v>
      </c>
      <c r="N134" s="8">
        <v>0.22</v>
      </c>
      <c r="O134" s="8">
        <v>0.2273</v>
      </c>
      <c r="P134" s="8">
        <v>0.51</v>
      </c>
      <c r="Q134" s="8">
        <v>0.1343</v>
      </c>
      <c r="R134" s="6">
        <v>5</v>
      </c>
      <c r="S134" s="6">
        <v>158</v>
      </c>
      <c r="T134" s="6">
        <v>163</v>
      </c>
      <c r="U134" s="8">
        <f t="shared" si="26"/>
        <v>1.0335040078932463E-2</v>
      </c>
      <c r="V134" s="8" t="str">
        <f t="shared" si="27"/>
        <v>Normal</v>
      </c>
      <c r="W134" s="8">
        <f t="shared" si="28"/>
        <v>2.1843460669273607</v>
      </c>
      <c r="X134" s="8" t="str">
        <f t="shared" si="29"/>
        <v>Peak</v>
      </c>
    </row>
    <row r="135" spans="1:24" x14ac:dyDescent="0.25">
      <c r="A135" s="6">
        <v>134</v>
      </c>
      <c r="B135" s="7">
        <v>40549</v>
      </c>
      <c r="C135" s="6">
        <v>1</v>
      </c>
      <c r="D135" s="6" t="str">
        <f t="shared" si="20"/>
        <v>january</v>
      </c>
      <c r="E135" s="6">
        <v>19</v>
      </c>
      <c r="F135" s="6" t="str">
        <f t="shared" si="21"/>
        <v>Evening</v>
      </c>
      <c r="G135" s="6" t="b">
        <v>0</v>
      </c>
      <c r="H135" s="6">
        <f t="shared" si="22"/>
        <v>0</v>
      </c>
      <c r="I135" s="6">
        <v>4</v>
      </c>
      <c r="J135" s="6" t="str">
        <f t="shared" si="23"/>
        <v>Thursday</v>
      </c>
      <c r="K135" s="6">
        <f t="shared" si="24"/>
        <v>0</v>
      </c>
      <c r="L135" s="6">
        <v>1</v>
      </c>
      <c r="M135" s="6" t="str">
        <f t="shared" si="25"/>
        <v>Partly cloudy</v>
      </c>
      <c r="N135" s="8">
        <v>0.22</v>
      </c>
      <c r="O135" s="8">
        <v>0.2576</v>
      </c>
      <c r="P135" s="8">
        <v>0.55000000000000004</v>
      </c>
      <c r="Q135" s="8">
        <v>8.9599999999999999E-2</v>
      </c>
      <c r="R135" s="6">
        <v>3</v>
      </c>
      <c r="S135" s="6">
        <v>109</v>
      </c>
      <c r="T135" s="6">
        <v>112</v>
      </c>
      <c r="U135" s="8">
        <f t="shared" si="26"/>
        <v>-0.25131154419783963</v>
      </c>
      <c r="V135" s="8" t="str">
        <f t="shared" si="27"/>
        <v>Normal</v>
      </c>
      <c r="W135" s="8">
        <f t="shared" si="28"/>
        <v>1.1612527142271238</v>
      </c>
      <c r="X135" s="8" t="str">
        <f t="shared" si="29"/>
        <v>Normal</v>
      </c>
    </row>
    <row r="136" spans="1:24" x14ac:dyDescent="0.25">
      <c r="A136" s="6">
        <v>135</v>
      </c>
      <c r="B136" s="7">
        <v>40549</v>
      </c>
      <c r="C136" s="6">
        <v>1</v>
      </c>
      <c r="D136" s="6" t="str">
        <f t="shared" si="20"/>
        <v>january</v>
      </c>
      <c r="E136" s="6">
        <v>20</v>
      </c>
      <c r="F136" s="6" t="str">
        <f t="shared" si="21"/>
        <v>Evening</v>
      </c>
      <c r="G136" s="6" t="b">
        <v>0</v>
      </c>
      <c r="H136" s="6">
        <f t="shared" si="22"/>
        <v>0</v>
      </c>
      <c r="I136" s="6">
        <v>4</v>
      </c>
      <c r="J136" s="6" t="str">
        <f t="shared" si="23"/>
        <v>Thursday</v>
      </c>
      <c r="K136" s="6">
        <f t="shared" si="24"/>
        <v>0</v>
      </c>
      <c r="L136" s="6">
        <v>1</v>
      </c>
      <c r="M136" s="6" t="str">
        <f t="shared" si="25"/>
        <v>Partly cloudy</v>
      </c>
      <c r="N136" s="8">
        <v>0.2</v>
      </c>
      <c r="O136" s="8">
        <v>0.21210000000000001</v>
      </c>
      <c r="P136" s="8">
        <v>0.51</v>
      </c>
      <c r="Q136" s="8">
        <v>0.16420000000000001</v>
      </c>
      <c r="R136" s="6">
        <v>3</v>
      </c>
      <c r="S136" s="6">
        <v>66</v>
      </c>
      <c r="T136" s="6">
        <v>69</v>
      </c>
      <c r="U136" s="8">
        <f t="shared" si="26"/>
        <v>-0.25131154419783963</v>
      </c>
      <c r="V136" s="8" t="str">
        <f t="shared" si="27"/>
        <v>Normal</v>
      </c>
      <c r="W136" s="8">
        <f t="shared" si="28"/>
        <v>0.26343609859222217</v>
      </c>
      <c r="X136" s="8" t="str">
        <f t="shared" si="29"/>
        <v>Normal</v>
      </c>
    </row>
    <row r="137" spans="1:24" x14ac:dyDescent="0.25">
      <c r="A137" s="6">
        <v>136</v>
      </c>
      <c r="B137" s="7">
        <v>40549</v>
      </c>
      <c r="C137" s="6">
        <v>1</v>
      </c>
      <c r="D137" s="6" t="str">
        <f t="shared" si="20"/>
        <v>january</v>
      </c>
      <c r="E137" s="6">
        <v>21</v>
      </c>
      <c r="F137" s="6" t="str">
        <f t="shared" si="21"/>
        <v>Night</v>
      </c>
      <c r="G137" s="6" t="b">
        <v>0</v>
      </c>
      <c r="H137" s="6">
        <f t="shared" si="22"/>
        <v>0</v>
      </c>
      <c r="I137" s="6">
        <v>4</v>
      </c>
      <c r="J137" s="6" t="str">
        <f t="shared" si="23"/>
        <v>Thursday</v>
      </c>
      <c r="K137" s="6">
        <f t="shared" si="24"/>
        <v>0</v>
      </c>
      <c r="L137" s="6">
        <v>2</v>
      </c>
      <c r="M137" s="6" t="str">
        <f t="shared" si="25"/>
        <v>Cloudy</v>
      </c>
      <c r="N137" s="8">
        <v>0.22</v>
      </c>
      <c r="O137" s="8">
        <v>0.21210000000000001</v>
      </c>
      <c r="P137" s="8">
        <v>0.55000000000000004</v>
      </c>
      <c r="Q137" s="8">
        <v>0.22389999999999999</v>
      </c>
      <c r="R137" s="6">
        <v>0</v>
      </c>
      <c r="S137" s="6">
        <v>48</v>
      </c>
      <c r="T137" s="6">
        <v>48</v>
      </c>
      <c r="U137" s="8">
        <f t="shared" si="26"/>
        <v>-0.64378142061299781</v>
      </c>
      <c r="V137" s="8" t="str">
        <f t="shared" si="27"/>
        <v>Normal</v>
      </c>
      <c r="W137" s="8">
        <f t="shared" si="28"/>
        <v>-0.11239411260378322</v>
      </c>
      <c r="X137" s="8" t="str">
        <f t="shared" si="29"/>
        <v>Normal</v>
      </c>
    </row>
    <row r="138" spans="1:24" x14ac:dyDescent="0.25">
      <c r="A138" s="6">
        <v>137</v>
      </c>
      <c r="B138" s="7">
        <v>40549</v>
      </c>
      <c r="C138" s="6">
        <v>1</v>
      </c>
      <c r="D138" s="6" t="str">
        <f t="shared" si="20"/>
        <v>january</v>
      </c>
      <c r="E138" s="6">
        <v>22</v>
      </c>
      <c r="F138" s="6" t="str">
        <f t="shared" si="21"/>
        <v>Night</v>
      </c>
      <c r="G138" s="6" t="b">
        <v>0</v>
      </c>
      <c r="H138" s="6">
        <f t="shared" si="22"/>
        <v>0</v>
      </c>
      <c r="I138" s="6">
        <v>4</v>
      </c>
      <c r="J138" s="6" t="str">
        <f t="shared" si="23"/>
        <v>Thursday</v>
      </c>
      <c r="K138" s="6">
        <f t="shared" si="24"/>
        <v>0</v>
      </c>
      <c r="L138" s="6">
        <v>2</v>
      </c>
      <c r="M138" s="6" t="str">
        <f t="shared" si="25"/>
        <v>Cloudy</v>
      </c>
      <c r="N138" s="8">
        <v>0.22</v>
      </c>
      <c r="O138" s="8">
        <v>0.21210000000000001</v>
      </c>
      <c r="P138" s="8">
        <v>0.51</v>
      </c>
      <c r="Q138" s="8">
        <v>0.28360000000000002</v>
      </c>
      <c r="R138" s="6">
        <v>1</v>
      </c>
      <c r="S138" s="6">
        <v>51</v>
      </c>
      <c r="T138" s="6">
        <v>52</v>
      </c>
      <c r="U138" s="8">
        <f t="shared" si="26"/>
        <v>-0.51295812847461175</v>
      </c>
      <c r="V138" s="8" t="str">
        <f t="shared" si="27"/>
        <v>Normal</v>
      </c>
      <c r="W138" s="8">
        <f t="shared" si="28"/>
        <v>-4.9755744071115653E-2</v>
      </c>
      <c r="X138" s="8" t="str">
        <f t="shared" si="29"/>
        <v>Normal</v>
      </c>
    </row>
    <row r="139" spans="1:24" x14ac:dyDescent="0.25">
      <c r="A139" s="6">
        <v>138</v>
      </c>
      <c r="B139" s="7">
        <v>40549</v>
      </c>
      <c r="C139" s="6">
        <v>1</v>
      </c>
      <c r="D139" s="6" t="str">
        <f t="shared" si="20"/>
        <v>january</v>
      </c>
      <c r="E139" s="6">
        <v>23</v>
      </c>
      <c r="F139" s="6" t="str">
        <f t="shared" si="21"/>
        <v>Night</v>
      </c>
      <c r="G139" s="6" t="b">
        <v>0</v>
      </c>
      <c r="H139" s="6">
        <f t="shared" si="22"/>
        <v>0</v>
      </c>
      <c r="I139" s="6">
        <v>4</v>
      </c>
      <c r="J139" s="6" t="str">
        <f t="shared" si="23"/>
        <v>Thursday</v>
      </c>
      <c r="K139" s="6">
        <f t="shared" si="24"/>
        <v>0</v>
      </c>
      <c r="L139" s="6">
        <v>2</v>
      </c>
      <c r="M139" s="6" t="str">
        <f t="shared" si="25"/>
        <v>Cloudy</v>
      </c>
      <c r="N139" s="8">
        <v>0.2</v>
      </c>
      <c r="O139" s="8">
        <v>0.19700000000000001</v>
      </c>
      <c r="P139" s="8">
        <v>0.59</v>
      </c>
      <c r="Q139" s="8">
        <v>0.19400000000000001</v>
      </c>
      <c r="R139" s="6">
        <v>4</v>
      </c>
      <c r="S139" s="6">
        <v>19</v>
      </c>
      <c r="T139" s="6">
        <v>23</v>
      </c>
      <c r="U139" s="8">
        <f t="shared" si="26"/>
        <v>-0.1204882520594536</v>
      </c>
      <c r="V139" s="8" t="str">
        <f t="shared" si="27"/>
        <v>Normal</v>
      </c>
      <c r="W139" s="8">
        <f t="shared" si="28"/>
        <v>-0.71789834175290301</v>
      </c>
      <c r="X139" s="8" t="str">
        <f t="shared" si="29"/>
        <v>Normal</v>
      </c>
    </row>
    <row r="140" spans="1:24" x14ac:dyDescent="0.25">
      <c r="A140" s="6">
        <v>139</v>
      </c>
      <c r="B140" s="7">
        <v>40550</v>
      </c>
      <c r="C140" s="6">
        <v>1</v>
      </c>
      <c r="D140" s="6" t="str">
        <f t="shared" si="20"/>
        <v>january</v>
      </c>
      <c r="E140" s="6">
        <v>0</v>
      </c>
      <c r="F140" s="6" t="str">
        <f t="shared" si="21"/>
        <v>Night</v>
      </c>
      <c r="G140" s="6" t="b">
        <v>0</v>
      </c>
      <c r="H140" s="6">
        <f t="shared" si="22"/>
        <v>0</v>
      </c>
      <c r="I140" s="6">
        <v>5</v>
      </c>
      <c r="J140" s="6" t="str">
        <f t="shared" si="23"/>
        <v>Friday</v>
      </c>
      <c r="K140" s="6">
        <f t="shared" si="24"/>
        <v>0</v>
      </c>
      <c r="L140" s="6">
        <v>2</v>
      </c>
      <c r="M140" s="6" t="str">
        <f t="shared" si="25"/>
        <v>Cloudy</v>
      </c>
      <c r="N140" s="8">
        <v>0.2</v>
      </c>
      <c r="O140" s="8">
        <v>0.19700000000000001</v>
      </c>
      <c r="P140" s="8">
        <v>0.64</v>
      </c>
      <c r="Q140" s="8">
        <v>0.19400000000000001</v>
      </c>
      <c r="R140" s="6">
        <v>4</v>
      </c>
      <c r="S140" s="6">
        <v>13</v>
      </c>
      <c r="T140" s="6">
        <v>17</v>
      </c>
      <c r="U140" s="8">
        <f t="shared" si="26"/>
        <v>-0.1204882520594536</v>
      </c>
      <c r="V140" s="8" t="str">
        <f t="shared" si="27"/>
        <v>Normal</v>
      </c>
      <c r="W140" s="8">
        <f t="shared" si="28"/>
        <v>-0.84317507881823806</v>
      </c>
      <c r="X140" s="8" t="str">
        <f t="shared" si="29"/>
        <v>Normal</v>
      </c>
    </row>
    <row r="141" spans="1:24" x14ac:dyDescent="0.25">
      <c r="A141" s="6">
        <v>140</v>
      </c>
      <c r="B141" s="7">
        <v>40550</v>
      </c>
      <c r="C141" s="6">
        <v>1</v>
      </c>
      <c r="D141" s="6" t="str">
        <f t="shared" si="20"/>
        <v>january</v>
      </c>
      <c r="E141" s="6">
        <v>1</v>
      </c>
      <c r="F141" s="6" t="str">
        <f t="shared" si="21"/>
        <v>Night</v>
      </c>
      <c r="G141" s="6" t="b">
        <v>0</v>
      </c>
      <c r="H141" s="6">
        <f t="shared" si="22"/>
        <v>0</v>
      </c>
      <c r="I141" s="6">
        <v>5</v>
      </c>
      <c r="J141" s="6" t="str">
        <f t="shared" si="23"/>
        <v>Friday</v>
      </c>
      <c r="K141" s="6">
        <f t="shared" si="24"/>
        <v>0</v>
      </c>
      <c r="L141" s="6">
        <v>2</v>
      </c>
      <c r="M141" s="6" t="str">
        <f t="shared" si="25"/>
        <v>Cloudy</v>
      </c>
      <c r="N141" s="8">
        <v>0.2</v>
      </c>
      <c r="O141" s="8">
        <v>0.19700000000000001</v>
      </c>
      <c r="P141" s="8">
        <v>0.69</v>
      </c>
      <c r="Q141" s="8">
        <v>0.22389999999999999</v>
      </c>
      <c r="R141" s="6">
        <v>2</v>
      </c>
      <c r="S141" s="6">
        <v>5</v>
      </c>
      <c r="T141" s="6">
        <v>7</v>
      </c>
      <c r="U141" s="8">
        <f t="shared" si="26"/>
        <v>-0.38213483633622569</v>
      </c>
      <c r="V141" s="8" t="str">
        <f t="shared" si="27"/>
        <v>Normal</v>
      </c>
      <c r="W141" s="8">
        <f t="shared" si="28"/>
        <v>-1.010210728238685</v>
      </c>
      <c r="X141" s="8" t="str">
        <f t="shared" si="29"/>
        <v>Normal</v>
      </c>
    </row>
    <row r="142" spans="1:24" x14ac:dyDescent="0.25">
      <c r="A142" s="6">
        <v>141</v>
      </c>
      <c r="B142" s="7">
        <v>40550</v>
      </c>
      <c r="C142" s="6">
        <v>1</v>
      </c>
      <c r="D142" s="6" t="str">
        <f t="shared" si="20"/>
        <v>january</v>
      </c>
      <c r="E142" s="6">
        <v>2</v>
      </c>
      <c r="F142" s="6" t="str">
        <f t="shared" si="21"/>
        <v>Night</v>
      </c>
      <c r="G142" s="6" t="b">
        <v>0</v>
      </c>
      <c r="H142" s="6">
        <f t="shared" si="22"/>
        <v>0</v>
      </c>
      <c r="I142" s="6">
        <v>5</v>
      </c>
      <c r="J142" s="6" t="str">
        <f t="shared" si="23"/>
        <v>Friday</v>
      </c>
      <c r="K142" s="6">
        <f t="shared" si="24"/>
        <v>0</v>
      </c>
      <c r="L142" s="6">
        <v>2</v>
      </c>
      <c r="M142" s="6" t="str">
        <f t="shared" si="25"/>
        <v>Cloudy</v>
      </c>
      <c r="N142" s="8">
        <v>0.2</v>
      </c>
      <c r="O142" s="8">
        <v>0.19700000000000001</v>
      </c>
      <c r="P142" s="8">
        <v>0.69</v>
      </c>
      <c r="Q142" s="8">
        <v>0.22389999999999999</v>
      </c>
      <c r="R142" s="6">
        <v>0</v>
      </c>
      <c r="S142" s="6">
        <v>1</v>
      </c>
      <c r="T142" s="6">
        <v>1</v>
      </c>
      <c r="U142" s="8">
        <f t="shared" si="26"/>
        <v>-0.64378142061299781</v>
      </c>
      <c r="V142" s="8" t="str">
        <f t="shared" si="27"/>
        <v>Normal</v>
      </c>
      <c r="W142" s="8">
        <f t="shared" si="28"/>
        <v>-1.0937285529489083</v>
      </c>
      <c r="X142" s="8" t="str">
        <f t="shared" si="29"/>
        <v>Normal</v>
      </c>
    </row>
    <row r="143" spans="1:24" x14ac:dyDescent="0.25">
      <c r="A143" s="6">
        <v>142</v>
      </c>
      <c r="B143" s="7">
        <v>40550</v>
      </c>
      <c r="C143" s="6">
        <v>1</v>
      </c>
      <c r="D143" s="6" t="str">
        <f t="shared" si="20"/>
        <v>january</v>
      </c>
      <c r="E143" s="6">
        <v>4</v>
      </c>
      <c r="F143" s="6" t="str">
        <f t="shared" si="21"/>
        <v>Night</v>
      </c>
      <c r="G143" s="6" t="b">
        <v>0</v>
      </c>
      <c r="H143" s="6">
        <f t="shared" si="22"/>
        <v>0</v>
      </c>
      <c r="I143" s="6">
        <v>5</v>
      </c>
      <c r="J143" s="6" t="str">
        <f t="shared" si="23"/>
        <v>Friday</v>
      </c>
      <c r="K143" s="6">
        <f t="shared" si="24"/>
        <v>0</v>
      </c>
      <c r="L143" s="6">
        <v>2</v>
      </c>
      <c r="M143" s="6" t="str">
        <f t="shared" si="25"/>
        <v>Cloudy</v>
      </c>
      <c r="N143" s="8">
        <v>0.2</v>
      </c>
      <c r="O143" s="8">
        <v>0.21210000000000001</v>
      </c>
      <c r="P143" s="8">
        <v>0.69</v>
      </c>
      <c r="Q143" s="8">
        <v>0.1343</v>
      </c>
      <c r="R143" s="6">
        <v>0</v>
      </c>
      <c r="S143" s="6">
        <v>1</v>
      </c>
      <c r="T143" s="6">
        <v>1</v>
      </c>
      <c r="U143" s="8">
        <f t="shared" si="26"/>
        <v>-0.64378142061299781</v>
      </c>
      <c r="V143" s="8" t="str">
        <f t="shared" si="27"/>
        <v>Normal</v>
      </c>
      <c r="W143" s="8">
        <f t="shared" si="28"/>
        <v>-1.0937285529489083</v>
      </c>
      <c r="X143" s="8" t="str">
        <f t="shared" si="29"/>
        <v>Normal</v>
      </c>
    </row>
    <row r="144" spans="1:24" x14ac:dyDescent="0.25">
      <c r="A144" s="6">
        <v>143</v>
      </c>
      <c r="B144" s="7">
        <v>40550</v>
      </c>
      <c r="C144" s="6">
        <v>1</v>
      </c>
      <c r="D144" s="6" t="str">
        <f t="shared" si="20"/>
        <v>january</v>
      </c>
      <c r="E144" s="6">
        <v>5</v>
      </c>
      <c r="F144" s="6" t="str">
        <f t="shared" si="21"/>
        <v>Early Morning</v>
      </c>
      <c r="G144" s="6" t="b">
        <v>0</v>
      </c>
      <c r="H144" s="6">
        <f t="shared" si="22"/>
        <v>0</v>
      </c>
      <c r="I144" s="6">
        <v>5</v>
      </c>
      <c r="J144" s="6" t="str">
        <f t="shared" si="23"/>
        <v>Friday</v>
      </c>
      <c r="K144" s="6">
        <f t="shared" si="24"/>
        <v>0</v>
      </c>
      <c r="L144" s="6">
        <v>3</v>
      </c>
      <c r="M144" s="6" t="str">
        <f t="shared" si="25"/>
        <v>Light rain</v>
      </c>
      <c r="N144" s="8">
        <v>0.22</v>
      </c>
      <c r="O144" s="8">
        <v>0.2727</v>
      </c>
      <c r="P144" s="8">
        <v>0.55000000000000004</v>
      </c>
      <c r="Q144" s="8">
        <v>0</v>
      </c>
      <c r="R144" s="6">
        <v>0</v>
      </c>
      <c r="S144" s="6">
        <v>5</v>
      </c>
      <c r="T144" s="6">
        <v>5</v>
      </c>
      <c r="U144" s="8">
        <f t="shared" si="26"/>
        <v>-0.64378142061299781</v>
      </c>
      <c r="V144" s="8" t="str">
        <f t="shared" si="27"/>
        <v>Normal</v>
      </c>
      <c r="W144" s="8">
        <f t="shared" si="28"/>
        <v>-1.010210728238685</v>
      </c>
      <c r="X144" s="8" t="str">
        <f t="shared" si="29"/>
        <v>Normal</v>
      </c>
    </row>
    <row r="145" spans="1:24" x14ac:dyDescent="0.25">
      <c r="A145" s="6">
        <v>144</v>
      </c>
      <c r="B145" s="7">
        <v>40550</v>
      </c>
      <c r="C145" s="6">
        <v>1</v>
      </c>
      <c r="D145" s="6" t="str">
        <f t="shared" si="20"/>
        <v>january</v>
      </c>
      <c r="E145" s="6">
        <v>6</v>
      </c>
      <c r="F145" s="6" t="str">
        <f t="shared" si="21"/>
        <v>Early Morning</v>
      </c>
      <c r="G145" s="6" t="b">
        <v>0</v>
      </c>
      <c r="H145" s="6">
        <f t="shared" si="22"/>
        <v>0</v>
      </c>
      <c r="I145" s="6">
        <v>5</v>
      </c>
      <c r="J145" s="6" t="str">
        <f t="shared" si="23"/>
        <v>Friday</v>
      </c>
      <c r="K145" s="6">
        <f t="shared" si="24"/>
        <v>0</v>
      </c>
      <c r="L145" s="6">
        <v>2</v>
      </c>
      <c r="M145" s="6" t="str">
        <f t="shared" si="25"/>
        <v>Cloudy</v>
      </c>
      <c r="N145" s="8">
        <v>0.2</v>
      </c>
      <c r="O145" s="8">
        <v>0.2576</v>
      </c>
      <c r="P145" s="8">
        <v>0.69</v>
      </c>
      <c r="Q145" s="8">
        <v>0</v>
      </c>
      <c r="R145" s="6">
        <v>8</v>
      </c>
      <c r="S145" s="6">
        <v>26</v>
      </c>
      <c r="T145" s="6">
        <v>34</v>
      </c>
      <c r="U145" s="8">
        <f t="shared" si="26"/>
        <v>0.40280491649409061</v>
      </c>
      <c r="V145" s="8" t="str">
        <f t="shared" si="27"/>
        <v>Normal</v>
      </c>
      <c r="W145" s="8">
        <f t="shared" si="28"/>
        <v>-0.57174214851001204</v>
      </c>
      <c r="X145" s="8" t="str">
        <f t="shared" si="29"/>
        <v>Normal</v>
      </c>
    </row>
    <row r="146" spans="1:24" x14ac:dyDescent="0.25">
      <c r="A146" s="6">
        <v>145</v>
      </c>
      <c r="B146" s="7">
        <v>40550</v>
      </c>
      <c r="C146" s="6">
        <v>1</v>
      </c>
      <c r="D146" s="6" t="str">
        <f t="shared" si="20"/>
        <v>january</v>
      </c>
      <c r="E146" s="6">
        <v>7</v>
      </c>
      <c r="F146" s="6" t="str">
        <f t="shared" si="21"/>
        <v>Early Morning</v>
      </c>
      <c r="G146" s="6" t="b">
        <v>0</v>
      </c>
      <c r="H146" s="6">
        <f t="shared" si="22"/>
        <v>0</v>
      </c>
      <c r="I146" s="6">
        <v>5</v>
      </c>
      <c r="J146" s="6" t="str">
        <f t="shared" si="23"/>
        <v>Friday</v>
      </c>
      <c r="K146" s="6">
        <f t="shared" si="24"/>
        <v>0</v>
      </c>
      <c r="L146" s="6">
        <v>1</v>
      </c>
      <c r="M146" s="6" t="str">
        <f t="shared" si="25"/>
        <v>Partly cloudy</v>
      </c>
      <c r="N146" s="8">
        <v>0.2</v>
      </c>
      <c r="O146" s="8">
        <v>0.21210000000000001</v>
      </c>
      <c r="P146" s="8">
        <v>0.69</v>
      </c>
      <c r="Q146" s="8">
        <v>0.1343</v>
      </c>
      <c r="R146" s="6">
        <v>8</v>
      </c>
      <c r="S146" s="6">
        <v>76</v>
      </c>
      <c r="T146" s="6">
        <v>84</v>
      </c>
      <c r="U146" s="8">
        <f t="shared" si="26"/>
        <v>0.40280491649409061</v>
      </c>
      <c r="V146" s="8" t="str">
        <f t="shared" si="27"/>
        <v>Normal</v>
      </c>
      <c r="W146" s="8">
        <f t="shared" si="28"/>
        <v>0.47223066036778072</v>
      </c>
      <c r="X146" s="8" t="str">
        <f t="shared" si="29"/>
        <v>Normal</v>
      </c>
    </row>
    <row r="147" spans="1:24" x14ac:dyDescent="0.25">
      <c r="A147" s="6">
        <v>146</v>
      </c>
      <c r="B147" s="7">
        <v>40550</v>
      </c>
      <c r="C147" s="6">
        <v>1</v>
      </c>
      <c r="D147" s="6" t="str">
        <f t="shared" si="20"/>
        <v>january</v>
      </c>
      <c r="E147" s="6">
        <v>8</v>
      </c>
      <c r="F147" s="6" t="str">
        <f t="shared" si="21"/>
        <v>Morning</v>
      </c>
      <c r="G147" s="6" t="b">
        <v>0</v>
      </c>
      <c r="H147" s="6">
        <f t="shared" si="22"/>
        <v>0</v>
      </c>
      <c r="I147" s="6">
        <v>5</v>
      </c>
      <c r="J147" s="6" t="str">
        <f t="shared" si="23"/>
        <v>Friday</v>
      </c>
      <c r="K147" s="6">
        <f t="shared" si="24"/>
        <v>0</v>
      </c>
      <c r="L147" s="6">
        <v>1</v>
      </c>
      <c r="M147" s="6" t="str">
        <f t="shared" si="25"/>
        <v>Partly cloudy</v>
      </c>
      <c r="N147" s="8">
        <v>0.2</v>
      </c>
      <c r="O147" s="8">
        <v>0.19700000000000001</v>
      </c>
      <c r="P147" s="8">
        <v>0.51</v>
      </c>
      <c r="Q147" s="8">
        <v>0.25369999999999998</v>
      </c>
      <c r="R147" s="6">
        <v>20</v>
      </c>
      <c r="S147" s="6">
        <v>190</v>
      </c>
      <c r="T147" s="6">
        <v>210</v>
      </c>
      <c r="U147" s="8">
        <f t="shared" si="26"/>
        <v>1.9726844221547235</v>
      </c>
      <c r="V147" s="8" t="str">
        <f t="shared" si="27"/>
        <v>Normal</v>
      </c>
      <c r="W147" s="8">
        <f t="shared" si="28"/>
        <v>2.8524886646091479</v>
      </c>
      <c r="X147" s="8" t="str">
        <f t="shared" si="29"/>
        <v>Peak</v>
      </c>
    </row>
    <row r="148" spans="1:24" x14ac:dyDescent="0.25">
      <c r="A148" s="6">
        <v>147</v>
      </c>
      <c r="B148" s="7">
        <v>40550</v>
      </c>
      <c r="C148" s="6">
        <v>1</v>
      </c>
      <c r="D148" s="6" t="str">
        <f t="shared" si="20"/>
        <v>january</v>
      </c>
      <c r="E148" s="6">
        <v>9</v>
      </c>
      <c r="F148" s="6" t="str">
        <f t="shared" si="21"/>
        <v>Morning</v>
      </c>
      <c r="G148" s="6" t="b">
        <v>0</v>
      </c>
      <c r="H148" s="6">
        <f t="shared" si="22"/>
        <v>0</v>
      </c>
      <c r="I148" s="6">
        <v>5</v>
      </c>
      <c r="J148" s="6" t="str">
        <f t="shared" si="23"/>
        <v>Friday</v>
      </c>
      <c r="K148" s="6">
        <f t="shared" si="24"/>
        <v>0</v>
      </c>
      <c r="L148" s="6">
        <v>1</v>
      </c>
      <c r="M148" s="6" t="str">
        <f t="shared" si="25"/>
        <v>Partly cloudy</v>
      </c>
      <c r="N148" s="8">
        <v>0.2</v>
      </c>
      <c r="O148" s="8">
        <v>0.18179999999999999</v>
      </c>
      <c r="P148" s="8">
        <v>0.47</v>
      </c>
      <c r="Q148" s="8">
        <v>0.29849999999999999</v>
      </c>
      <c r="R148" s="6">
        <v>9</v>
      </c>
      <c r="S148" s="6">
        <v>125</v>
      </c>
      <c r="T148" s="6">
        <v>134</v>
      </c>
      <c r="U148" s="8">
        <f t="shared" si="26"/>
        <v>0.53362820863247673</v>
      </c>
      <c r="V148" s="8" t="str">
        <f t="shared" si="27"/>
        <v>Normal</v>
      </c>
      <c r="W148" s="8">
        <f t="shared" si="28"/>
        <v>1.4953240130680174</v>
      </c>
      <c r="X148" s="8" t="str">
        <f t="shared" si="29"/>
        <v>Normal</v>
      </c>
    </row>
    <row r="149" spans="1:24" x14ac:dyDescent="0.25">
      <c r="A149" s="6">
        <v>148</v>
      </c>
      <c r="B149" s="7">
        <v>40550</v>
      </c>
      <c r="C149" s="6">
        <v>1</v>
      </c>
      <c r="D149" s="6" t="str">
        <f t="shared" si="20"/>
        <v>january</v>
      </c>
      <c r="E149" s="6">
        <v>10</v>
      </c>
      <c r="F149" s="6" t="str">
        <f t="shared" si="21"/>
        <v>Morning</v>
      </c>
      <c r="G149" s="6" t="b">
        <v>0</v>
      </c>
      <c r="H149" s="6">
        <f t="shared" si="22"/>
        <v>0</v>
      </c>
      <c r="I149" s="6">
        <v>5</v>
      </c>
      <c r="J149" s="6" t="str">
        <f t="shared" si="23"/>
        <v>Friday</v>
      </c>
      <c r="K149" s="6">
        <f t="shared" si="24"/>
        <v>0</v>
      </c>
      <c r="L149" s="6">
        <v>1</v>
      </c>
      <c r="M149" s="6" t="str">
        <f t="shared" si="25"/>
        <v>Partly cloudy</v>
      </c>
      <c r="N149" s="8">
        <v>0.22</v>
      </c>
      <c r="O149" s="8">
        <v>0.19700000000000001</v>
      </c>
      <c r="P149" s="8">
        <v>0.37</v>
      </c>
      <c r="Q149" s="8">
        <v>0.32840000000000003</v>
      </c>
      <c r="R149" s="6">
        <v>16</v>
      </c>
      <c r="S149" s="6">
        <v>47</v>
      </c>
      <c r="T149" s="6">
        <v>63</v>
      </c>
      <c r="U149" s="8">
        <f t="shared" si="26"/>
        <v>1.4493912536011793</v>
      </c>
      <c r="V149" s="8" t="str">
        <f t="shared" si="27"/>
        <v>Normal</v>
      </c>
      <c r="W149" s="8">
        <f t="shared" si="28"/>
        <v>-0.13327356878133906</v>
      </c>
      <c r="X149" s="8" t="str">
        <f t="shared" si="29"/>
        <v>Normal</v>
      </c>
    </row>
    <row r="150" spans="1:24" x14ac:dyDescent="0.25">
      <c r="A150" s="6">
        <v>149</v>
      </c>
      <c r="B150" s="7">
        <v>40550</v>
      </c>
      <c r="C150" s="6">
        <v>1</v>
      </c>
      <c r="D150" s="6" t="str">
        <f t="shared" si="20"/>
        <v>january</v>
      </c>
      <c r="E150" s="6">
        <v>11</v>
      </c>
      <c r="F150" s="6" t="str">
        <f t="shared" si="21"/>
        <v>Morning</v>
      </c>
      <c r="G150" s="6" t="b">
        <v>0</v>
      </c>
      <c r="H150" s="6">
        <f t="shared" si="22"/>
        <v>0</v>
      </c>
      <c r="I150" s="6">
        <v>5</v>
      </c>
      <c r="J150" s="6" t="str">
        <f t="shared" si="23"/>
        <v>Friday</v>
      </c>
      <c r="K150" s="6">
        <f t="shared" si="24"/>
        <v>0</v>
      </c>
      <c r="L150" s="6">
        <v>2</v>
      </c>
      <c r="M150" s="6" t="str">
        <f t="shared" si="25"/>
        <v>Cloudy</v>
      </c>
      <c r="N150" s="8">
        <v>0.2</v>
      </c>
      <c r="O150" s="8">
        <v>0.19700000000000001</v>
      </c>
      <c r="P150" s="8">
        <v>0.4</v>
      </c>
      <c r="Q150" s="8">
        <v>0.22389999999999999</v>
      </c>
      <c r="R150" s="6">
        <v>19</v>
      </c>
      <c r="S150" s="6">
        <v>48</v>
      </c>
      <c r="T150" s="6">
        <v>67</v>
      </c>
      <c r="U150" s="8">
        <f t="shared" si="26"/>
        <v>1.8418611300163374</v>
      </c>
      <c r="V150" s="8" t="str">
        <f t="shared" si="27"/>
        <v>Normal</v>
      </c>
      <c r="W150" s="8">
        <f t="shared" si="28"/>
        <v>-0.11239411260378322</v>
      </c>
      <c r="X150" s="8" t="str">
        <f t="shared" si="29"/>
        <v>Normal</v>
      </c>
    </row>
    <row r="151" spans="1:24" x14ac:dyDescent="0.25">
      <c r="A151" s="6">
        <v>150</v>
      </c>
      <c r="B151" s="7">
        <v>40550</v>
      </c>
      <c r="C151" s="6">
        <v>1</v>
      </c>
      <c r="D151" s="6" t="str">
        <f t="shared" si="20"/>
        <v>january</v>
      </c>
      <c r="E151" s="6">
        <v>12</v>
      </c>
      <c r="F151" s="6" t="str">
        <f t="shared" si="21"/>
        <v>Afternoon</v>
      </c>
      <c r="G151" s="6" t="b">
        <v>0</v>
      </c>
      <c r="H151" s="6">
        <f t="shared" si="22"/>
        <v>0</v>
      </c>
      <c r="I151" s="6">
        <v>5</v>
      </c>
      <c r="J151" s="6" t="str">
        <f t="shared" si="23"/>
        <v>Friday</v>
      </c>
      <c r="K151" s="6">
        <f t="shared" si="24"/>
        <v>0</v>
      </c>
      <c r="L151" s="6">
        <v>2</v>
      </c>
      <c r="M151" s="6" t="str">
        <f t="shared" si="25"/>
        <v>Cloudy</v>
      </c>
      <c r="N151" s="8">
        <v>0.2</v>
      </c>
      <c r="O151" s="8">
        <v>0.19700000000000001</v>
      </c>
      <c r="P151" s="8">
        <v>0.37</v>
      </c>
      <c r="Q151" s="8">
        <v>0.25369999999999998</v>
      </c>
      <c r="R151" s="6">
        <v>9</v>
      </c>
      <c r="S151" s="6">
        <v>50</v>
      </c>
      <c r="T151" s="6">
        <v>59</v>
      </c>
      <c r="U151" s="8">
        <f t="shared" si="26"/>
        <v>0.53362820863247673</v>
      </c>
      <c r="V151" s="8" t="str">
        <f t="shared" si="27"/>
        <v>Normal</v>
      </c>
      <c r="W151" s="8">
        <f t="shared" si="28"/>
        <v>-7.0635200248671509E-2</v>
      </c>
      <c r="X151" s="8" t="str">
        <f t="shared" si="29"/>
        <v>Normal</v>
      </c>
    </row>
    <row r="152" spans="1:24" x14ac:dyDescent="0.25">
      <c r="A152" s="6">
        <v>151</v>
      </c>
      <c r="B152" s="7">
        <v>40550</v>
      </c>
      <c r="C152" s="6">
        <v>1</v>
      </c>
      <c r="D152" s="6" t="str">
        <f t="shared" si="20"/>
        <v>january</v>
      </c>
      <c r="E152" s="6">
        <v>13</v>
      </c>
      <c r="F152" s="6" t="str">
        <f t="shared" si="21"/>
        <v>Afternoon</v>
      </c>
      <c r="G152" s="6" t="b">
        <v>0</v>
      </c>
      <c r="H152" s="6">
        <f t="shared" si="22"/>
        <v>0</v>
      </c>
      <c r="I152" s="6">
        <v>5</v>
      </c>
      <c r="J152" s="6" t="str">
        <f t="shared" si="23"/>
        <v>Friday</v>
      </c>
      <c r="K152" s="6">
        <f t="shared" si="24"/>
        <v>0</v>
      </c>
      <c r="L152" s="6">
        <v>2</v>
      </c>
      <c r="M152" s="6" t="str">
        <f t="shared" si="25"/>
        <v>Cloudy</v>
      </c>
      <c r="N152" s="8">
        <v>0.2</v>
      </c>
      <c r="O152" s="8">
        <v>0.18179999999999999</v>
      </c>
      <c r="P152" s="8">
        <v>0.37</v>
      </c>
      <c r="Q152" s="8">
        <v>0.28360000000000002</v>
      </c>
      <c r="R152" s="6">
        <v>9</v>
      </c>
      <c r="S152" s="6">
        <v>64</v>
      </c>
      <c r="T152" s="6">
        <v>73</v>
      </c>
      <c r="U152" s="8">
        <f t="shared" si="26"/>
        <v>0.53362820863247673</v>
      </c>
      <c r="V152" s="8" t="str">
        <f t="shared" si="27"/>
        <v>Normal</v>
      </c>
      <c r="W152" s="8">
        <f t="shared" si="28"/>
        <v>0.22167718623711044</v>
      </c>
      <c r="X152" s="8" t="str">
        <f t="shared" si="29"/>
        <v>Normal</v>
      </c>
    </row>
    <row r="153" spans="1:24" x14ac:dyDescent="0.25">
      <c r="A153" s="6">
        <v>152</v>
      </c>
      <c r="B153" s="7">
        <v>40550</v>
      </c>
      <c r="C153" s="6">
        <v>1</v>
      </c>
      <c r="D153" s="6" t="str">
        <f t="shared" si="20"/>
        <v>january</v>
      </c>
      <c r="E153" s="6">
        <v>14</v>
      </c>
      <c r="F153" s="6" t="str">
        <f t="shared" si="21"/>
        <v>Afternoon</v>
      </c>
      <c r="G153" s="6" t="b">
        <v>0</v>
      </c>
      <c r="H153" s="6">
        <f t="shared" si="22"/>
        <v>0</v>
      </c>
      <c r="I153" s="6">
        <v>5</v>
      </c>
      <c r="J153" s="6" t="str">
        <f t="shared" si="23"/>
        <v>Friday</v>
      </c>
      <c r="K153" s="6">
        <f t="shared" si="24"/>
        <v>0</v>
      </c>
      <c r="L153" s="6">
        <v>2</v>
      </c>
      <c r="M153" s="6" t="str">
        <f t="shared" si="25"/>
        <v>Cloudy</v>
      </c>
      <c r="N153" s="8">
        <v>0.2</v>
      </c>
      <c r="O153" s="8">
        <v>0.19700000000000001</v>
      </c>
      <c r="P153" s="8">
        <v>0.4</v>
      </c>
      <c r="Q153" s="8">
        <v>0.25369999999999998</v>
      </c>
      <c r="R153" s="6">
        <v>7</v>
      </c>
      <c r="S153" s="6">
        <v>43</v>
      </c>
      <c r="T153" s="6">
        <v>50</v>
      </c>
      <c r="U153" s="8">
        <f t="shared" si="26"/>
        <v>0.27198162435570455</v>
      </c>
      <c r="V153" s="8" t="str">
        <f t="shared" si="27"/>
        <v>Normal</v>
      </c>
      <c r="W153" s="8">
        <f t="shared" si="28"/>
        <v>-0.21679139349156248</v>
      </c>
      <c r="X153" s="8" t="str">
        <f t="shared" si="29"/>
        <v>Normal</v>
      </c>
    </row>
    <row r="154" spans="1:24" x14ac:dyDescent="0.25">
      <c r="A154" s="6">
        <v>153</v>
      </c>
      <c r="B154" s="7">
        <v>40550</v>
      </c>
      <c r="C154" s="6">
        <v>1</v>
      </c>
      <c r="D154" s="6" t="str">
        <f t="shared" si="20"/>
        <v>january</v>
      </c>
      <c r="E154" s="6">
        <v>15</v>
      </c>
      <c r="F154" s="6" t="str">
        <f t="shared" si="21"/>
        <v>Afternoon</v>
      </c>
      <c r="G154" s="6" t="b">
        <v>0</v>
      </c>
      <c r="H154" s="6">
        <f t="shared" si="22"/>
        <v>0</v>
      </c>
      <c r="I154" s="6">
        <v>5</v>
      </c>
      <c r="J154" s="6" t="str">
        <f t="shared" si="23"/>
        <v>Friday</v>
      </c>
      <c r="K154" s="6">
        <f t="shared" si="24"/>
        <v>0</v>
      </c>
      <c r="L154" s="6">
        <v>2</v>
      </c>
      <c r="M154" s="6" t="str">
        <f t="shared" si="25"/>
        <v>Cloudy</v>
      </c>
      <c r="N154" s="8">
        <v>0.2</v>
      </c>
      <c r="O154" s="8">
        <v>0.21210000000000001</v>
      </c>
      <c r="P154" s="8">
        <v>0.37</v>
      </c>
      <c r="Q154" s="8">
        <v>0.16420000000000001</v>
      </c>
      <c r="R154" s="6">
        <v>9</v>
      </c>
      <c r="S154" s="6">
        <v>63</v>
      </c>
      <c r="T154" s="6">
        <v>72</v>
      </c>
      <c r="U154" s="8">
        <f t="shared" si="26"/>
        <v>0.53362820863247673</v>
      </c>
      <c r="V154" s="8" t="str">
        <f t="shared" si="27"/>
        <v>Normal</v>
      </c>
      <c r="W154" s="8">
        <f t="shared" si="28"/>
        <v>0.20079773005955459</v>
      </c>
      <c r="X154" s="8" t="str">
        <f t="shared" si="29"/>
        <v>Normal</v>
      </c>
    </row>
    <row r="155" spans="1:24" x14ac:dyDescent="0.25">
      <c r="A155" s="6">
        <v>154</v>
      </c>
      <c r="B155" s="7">
        <v>40550</v>
      </c>
      <c r="C155" s="6">
        <v>1</v>
      </c>
      <c r="D155" s="6" t="str">
        <f t="shared" si="20"/>
        <v>january</v>
      </c>
      <c r="E155" s="6">
        <v>16</v>
      </c>
      <c r="F155" s="6" t="str">
        <f t="shared" si="21"/>
        <v>Afternoon</v>
      </c>
      <c r="G155" s="6" t="b">
        <v>0</v>
      </c>
      <c r="H155" s="6">
        <f t="shared" si="22"/>
        <v>0</v>
      </c>
      <c r="I155" s="6">
        <v>5</v>
      </c>
      <c r="J155" s="6" t="str">
        <f t="shared" si="23"/>
        <v>Friday</v>
      </c>
      <c r="K155" s="6">
        <f t="shared" si="24"/>
        <v>0</v>
      </c>
      <c r="L155" s="6">
        <v>2</v>
      </c>
      <c r="M155" s="6" t="str">
        <f t="shared" si="25"/>
        <v>Cloudy</v>
      </c>
      <c r="N155" s="8">
        <v>0.2</v>
      </c>
      <c r="O155" s="8">
        <v>0.21210000000000001</v>
      </c>
      <c r="P155" s="8">
        <v>0.37</v>
      </c>
      <c r="Q155" s="8">
        <v>0.16420000000000001</v>
      </c>
      <c r="R155" s="6">
        <v>5</v>
      </c>
      <c r="S155" s="6">
        <v>82</v>
      </c>
      <c r="T155" s="6">
        <v>87</v>
      </c>
      <c r="U155" s="8">
        <f t="shared" si="26"/>
        <v>1.0335040078932463E-2</v>
      </c>
      <c r="V155" s="8" t="str">
        <f t="shared" si="27"/>
        <v>Normal</v>
      </c>
      <c r="W155" s="8">
        <f t="shared" si="28"/>
        <v>0.59750739743311576</v>
      </c>
      <c r="X155" s="8" t="str">
        <f t="shared" si="29"/>
        <v>Normal</v>
      </c>
    </row>
    <row r="156" spans="1:24" x14ac:dyDescent="0.25">
      <c r="A156" s="6">
        <v>155</v>
      </c>
      <c r="B156" s="7">
        <v>40550</v>
      </c>
      <c r="C156" s="6">
        <v>1</v>
      </c>
      <c r="D156" s="6" t="str">
        <f t="shared" si="20"/>
        <v>january</v>
      </c>
      <c r="E156" s="6">
        <v>17</v>
      </c>
      <c r="F156" s="6" t="str">
        <f t="shared" si="21"/>
        <v>Evening</v>
      </c>
      <c r="G156" s="6" t="b">
        <v>0</v>
      </c>
      <c r="H156" s="6">
        <f t="shared" si="22"/>
        <v>0</v>
      </c>
      <c r="I156" s="6">
        <v>5</v>
      </c>
      <c r="J156" s="6" t="str">
        <f t="shared" si="23"/>
        <v>Friday</v>
      </c>
      <c r="K156" s="6">
        <f t="shared" si="24"/>
        <v>0</v>
      </c>
      <c r="L156" s="6">
        <v>2</v>
      </c>
      <c r="M156" s="6" t="str">
        <f t="shared" si="25"/>
        <v>Cloudy</v>
      </c>
      <c r="N156" s="8">
        <v>0.2</v>
      </c>
      <c r="O156" s="8">
        <v>0.2576</v>
      </c>
      <c r="P156" s="8">
        <v>0.37</v>
      </c>
      <c r="Q156" s="8">
        <v>0</v>
      </c>
      <c r="R156" s="6">
        <v>9</v>
      </c>
      <c r="S156" s="6">
        <v>178</v>
      </c>
      <c r="T156" s="6">
        <v>187</v>
      </c>
      <c r="U156" s="8">
        <f t="shared" si="26"/>
        <v>0.53362820863247673</v>
      </c>
      <c r="V156" s="8" t="str">
        <f t="shared" si="27"/>
        <v>Normal</v>
      </c>
      <c r="W156" s="8">
        <f t="shared" si="28"/>
        <v>2.6019351904784775</v>
      </c>
      <c r="X156" s="8" t="str">
        <f t="shared" si="29"/>
        <v>Peak</v>
      </c>
    </row>
    <row r="157" spans="1:24" x14ac:dyDescent="0.25">
      <c r="A157" s="6">
        <v>156</v>
      </c>
      <c r="B157" s="7">
        <v>40550</v>
      </c>
      <c r="C157" s="6">
        <v>1</v>
      </c>
      <c r="D157" s="6" t="str">
        <f t="shared" si="20"/>
        <v>january</v>
      </c>
      <c r="E157" s="6">
        <v>18</v>
      </c>
      <c r="F157" s="6" t="str">
        <f t="shared" si="21"/>
        <v>Evening</v>
      </c>
      <c r="G157" s="6" t="b">
        <v>0</v>
      </c>
      <c r="H157" s="6">
        <f t="shared" si="22"/>
        <v>0</v>
      </c>
      <c r="I157" s="6">
        <v>5</v>
      </c>
      <c r="J157" s="6" t="str">
        <f t="shared" si="23"/>
        <v>Friday</v>
      </c>
      <c r="K157" s="6">
        <f t="shared" si="24"/>
        <v>0</v>
      </c>
      <c r="L157" s="6">
        <v>1</v>
      </c>
      <c r="M157" s="6" t="str">
        <f t="shared" si="25"/>
        <v>Partly cloudy</v>
      </c>
      <c r="N157" s="8">
        <v>0.2</v>
      </c>
      <c r="O157" s="8">
        <v>0.2273</v>
      </c>
      <c r="P157" s="8">
        <v>0.4</v>
      </c>
      <c r="Q157" s="8">
        <v>8.9599999999999999E-2</v>
      </c>
      <c r="R157" s="6">
        <v>7</v>
      </c>
      <c r="S157" s="6">
        <v>116</v>
      </c>
      <c r="T157" s="6">
        <v>123</v>
      </c>
      <c r="U157" s="8">
        <f t="shared" si="26"/>
        <v>0.27198162435570455</v>
      </c>
      <c r="V157" s="8" t="str">
        <f t="shared" si="27"/>
        <v>Normal</v>
      </c>
      <c r="W157" s="8">
        <f t="shared" si="28"/>
        <v>1.3074089074700148</v>
      </c>
      <c r="X157" s="8" t="str">
        <f t="shared" si="29"/>
        <v>Normal</v>
      </c>
    </row>
    <row r="158" spans="1:24" x14ac:dyDescent="0.25">
      <c r="A158" s="6">
        <v>157</v>
      </c>
      <c r="B158" s="7">
        <v>40550</v>
      </c>
      <c r="C158" s="6">
        <v>1</v>
      </c>
      <c r="D158" s="6" t="str">
        <f t="shared" si="20"/>
        <v>january</v>
      </c>
      <c r="E158" s="6">
        <v>19</v>
      </c>
      <c r="F158" s="6" t="str">
        <f t="shared" si="21"/>
        <v>Evening</v>
      </c>
      <c r="G158" s="6" t="b">
        <v>0</v>
      </c>
      <c r="H158" s="6">
        <f t="shared" si="22"/>
        <v>0</v>
      </c>
      <c r="I158" s="6">
        <v>5</v>
      </c>
      <c r="J158" s="6" t="str">
        <f t="shared" si="23"/>
        <v>Friday</v>
      </c>
      <c r="K158" s="6">
        <f t="shared" si="24"/>
        <v>0</v>
      </c>
      <c r="L158" s="6">
        <v>1</v>
      </c>
      <c r="M158" s="6" t="str">
        <f t="shared" si="25"/>
        <v>Partly cloudy</v>
      </c>
      <c r="N158" s="8">
        <v>0.16</v>
      </c>
      <c r="O158" s="8">
        <v>0.19700000000000001</v>
      </c>
      <c r="P158" s="8">
        <v>0.55000000000000004</v>
      </c>
      <c r="Q158" s="8">
        <v>8.9599999999999999E-2</v>
      </c>
      <c r="R158" s="6">
        <v>3</v>
      </c>
      <c r="S158" s="6">
        <v>92</v>
      </c>
      <c r="T158" s="6">
        <v>95</v>
      </c>
      <c r="U158" s="8">
        <f t="shared" si="26"/>
        <v>-0.25131154419783963</v>
      </c>
      <c r="V158" s="8" t="str">
        <f t="shared" si="27"/>
        <v>Normal</v>
      </c>
      <c r="W158" s="8">
        <f t="shared" si="28"/>
        <v>0.80630195920867431</v>
      </c>
      <c r="X158" s="8" t="str">
        <f t="shared" si="29"/>
        <v>Normal</v>
      </c>
    </row>
    <row r="159" spans="1:24" x14ac:dyDescent="0.25">
      <c r="A159" s="6">
        <v>158</v>
      </c>
      <c r="B159" s="7">
        <v>40550</v>
      </c>
      <c r="C159" s="6">
        <v>1</v>
      </c>
      <c r="D159" s="6" t="str">
        <f t="shared" si="20"/>
        <v>january</v>
      </c>
      <c r="E159" s="6">
        <v>20</v>
      </c>
      <c r="F159" s="6" t="str">
        <f t="shared" si="21"/>
        <v>Evening</v>
      </c>
      <c r="G159" s="6" t="b">
        <v>0</v>
      </c>
      <c r="H159" s="6">
        <f t="shared" si="22"/>
        <v>0</v>
      </c>
      <c r="I159" s="6">
        <v>5</v>
      </c>
      <c r="J159" s="6" t="str">
        <f t="shared" si="23"/>
        <v>Friday</v>
      </c>
      <c r="K159" s="6">
        <f t="shared" si="24"/>
        <v>0</v>
      </c>
      <c r="L159" s="6">
        <v>1</v>
      </c>
      <c r="M159" s="6" t="str">
        <f t="shared" si="25"/>
        <v>Partly cloudy</v>
      </c>
      <c r="N159" s="8">
        <v>0.18</v>
      </c>
      <c r="O159" s="8">
        <v>0.21210000000000001</v>
      </c>
      <c r="P159" s="8">
        <v>0.47</v>
      </c>
      <c r="Q159" s="8">
        <v>0.1045</v>
      </c>
      <c r="R159" s="6">
        <v>1</v>
      </c>
      <c r="S159" s="6">
        <v>50</v>
      </c>
      <c r="T159" s="6">
        <v>51</v>
      </c>
      <c r="U159" s="8">
        <f t="shared" si="26"/>
        <v>-0.51295812847461175</v>
      </c>
      <c r="V159" s="8" t="str">
        <f t="shared" si="27"/>
        <v>Normal</v>
      </c>
      <c r="W159" s="8">
        <f t="shared" si="28"/>
        <v>-7.0635200248671509E-2</v>
      </c>
      <c r="X159" s="8" t="str">
        <f t="shared" si="29"/>
        <v>Normal</v>
      </c>
    </row>
    <row r="160" spans="1:24" x14ac:dyDescent="0.25">
      <c r="A160" s="6">
        <v>159</v>
      </c>
      <c r="B160" s="7">
        <v>40550</v>
      </c>
      <c r="C160" s="6">
        <v>1</v>
      </c>
      <c r="D160" s="6" t="str">
        <f t="shared" si="20"/>
        <v>january</v>
      </c>
      <c r="E160" s="6">
        <v>21</v>
      </c>
      <c r="F160" s="6" t="str">
        <f t="shared" si="21"/>
        <v>Night</v>
      </c>
      <c r="G160" s="6" t="b">
        <v>0</v>
      </c>
      <c r="H160" s="6">
        <f t="shared" si="22"/>
        <v>0</v>
      </c>
      <c r="I160" s="6">
        <v>5</v>
      </c>
      <c r="J160" s="6" t="str">
        <f t="shared" si="23"/>
        <v>Friday</v>
      </c>
      <c r="K160" s="6">
        <f t="shared" si="24"/>
        <v>0</v>
      </c>
      <c r="L160" s="6">
        <v>1</v>
      </c>
      <c r="M160" s="6" t="str">
        <f t="shared" si="25"/>
        <v>Partly cloudy</v>
      </c>
      <c r="N160" s="8">
        <v>0.18</v>
      </c>
      <c r="O160" s="8">
        <v>0.19700000000000001</v>
      </c>
      <c r="P160" s="8">
        <v>0.47</v>
      </c>
      <c r="Q160" s="8">
        <v>0.1343</v>
      </c>
      <c r="R160" s="6">
        <v>0</v>
      </c>
      <c r="S160" s="6">
        <v>39</v>
      </c>
      <c r="T160" s="6">
        <v>39</v>
      </c>
      <c r="U160" s="8">
        <f t="shared" si="26"/>
        <v>-0.64378142061299781</v>
      </c>
      <c r="V160" s="8" t="str">
        <f t="shared" si="27"/>
        <v>Normal</v>
      </c>
      <c r="W160" s="8">
        <f t="shared" si="28"/>
        <v>-0.30030921820178591</v>
      </c>
      <c r="X160" s="8" t="str">
        <f t="shared" si="29"/>
        <v>Normal</v>
      </c>
    </row>
    <row r="161" spans="1:24" x14ac:dyDescent="0.25">
      <c r="A161" s="6">
        <v>160</v>
      </c>
      <c r="B161" s="7">
        <v>40550</v>
      </c>
      <c r="C161" s="6">
        <v>1</v>
      </c>
      <c r="D161" s="6" t="str">
        <f t="shared" si="20"/>
        <v>january</v>
      </c>
      <c r="E161" s="6">
        <v>22</v>
      </c>
      <c r="F161" s="6" t="str">
        <f t="shared" si="21"/>
        <v>Night</v>
      </c>
      <c r="G161" s="6" t="b">
        <v>0</v>
      </c>
      <c r="H161" s="6">
        <f t="shared" si="22"/>
        <v>0</v>
      </c>
      <c r="I161" s="6">
        <v>5</v>
      </c>
      <c r="J161" s="6" t="str">
        <f t="shared" si="23"/>
        <v>Friday</v>
      </c>
      <c r="K161" s="6">
        <f t="shared" si="24"/>
        <v>0</v>
      </c>
      <c r="L161" s="6">
        <v>2</v>
      </c>
      <c r="M161" s="6" t="str">
        <f t="shared" si="25"/>
        <v>Cloudy</v>
      </c>
      <c r="N161" s="8">
        <v>0.18</v>
      </c>
      <c r="O161" s="8">
        <v>0.19700000000000001</v>
      </c>
      <c r="P161" s="8">
        <v>0.43</v>
      </c>
      <c r="Q161" s="8">
        <v>0.16420000000000001</v>
      </c>
      <c r="R161" s="6">
        <v>2</v>
      </c>
      <c r="S161" s="6">
        <v>34</v>
      </c>
      <c r="T161" s="6">
        <v>36</v>
      </c>
      <c r="U161" s="8">
        <f t="shared" si="26"/>
        <v>-0.38213483633622569</v>
      </c>
      <c r="V161" s="8" t="str">
        <f t="shared" si="27"/>
        <v>Normal</v>
      </c>
      <c r="W161" s="8">
        <f t="shared" si="28"/>
        <v>-0.40470649908956519</v>
      </c>
      <c r="X161" s="8" t="str">
        <f t="shared" si="29"/>
        <v>Normal</v>
      </c>
    </row>
    <row r="162" spans="1:24" x14ac:dyDescent="0.25">
      <c r="A162" s="6">
        <v>161</v>
      </c>
      <c r="B162" s="7">
        <v>40550</v>
      </c>
      <c r="C162" s="6">
        <v>1</v>
      </c>
      <c r="D162" s="6" t="str">
        <f t="shared" si="20"/>
        <v>january</v>
      </c>
      <c r="E162" s="6">
        <v>23</v>
      </c>
      <c r="F162" s="6" t="str">
        <f t="shared" si="21"/>
        <v>Night</v>
      </c>
      <c r="G162" s="6" t="b">
        <v>0</v>
      </c>
      <c r="H162" s="6">
        <f t="shared" si="22"/>
        <v>0</v>
      </c>
      <c r="I162" s="6">
        <v>5</v>
      </c>
      <c r="J162" s="6" t="str">
        <f t="shared" si="23"/>
        <v>Friday</v>
      </c>
      <c r="K162" s="6">
        <f t="shared" si="24"/>
        <v>0</v>
      </c>
      <c r="L162" s="6">
        <v>2</v>
      </c>
      <c r="M162" s="6" t="str">
        <f t="shared" si="25"/>
        <v>Cloudy</v>
      </c>
      <c r="N162" s="8">
        <v>0.18</v>
      </c>
      <c r="O162" s="8">
        <v>0.19700000000000001</v>
      </c>
      <c r="P162" s="8">
        <v>0.51</v>
      </c>
      <c r="Q162" s="8">
        <v>0.16420000000000001</v>
      </c>
      <c r="R162" s="6">
        <v>1</v>
      </c>
      <c r="S162" s="6">
        <v>14</v>
      </c>
      <c r="T162" s="6">
        <v>15</v>
      </c>
      <c r="U162" s="8">
        <f t="shared" si="26"/>
        <v>-0.51295812847461175</v>
      </c>
      <c r="V162" s="8" t="str">
        <f t="shared" si="27"/>
        <v>Normal</v>
      </c>
      <c r="W162" s="8">
        <f t="shared" si="28"/>
        <v>-0.82229562264068223</v>
      </c>
      <c r="X162" s="8" t="str">
        <f t="shared" si="29"/>
        <v>Normal</v>
      </c>
    </row>
    <row r="163" spans="1:24" x14ac:dyDescent="0.25">
      <c r="A163" s="6">
        <v>162</v>
      </c>
      <c r="B163" s="7">
        <v>40551</v>
      </c>
      <c r="C163" s="6">
        <v>1</v>
      </c>
      <c r="D163" s="6" t="str">
        <f t="shared" si="20"/>
        <v>january</v>
      </c>
      <c r="E163" s="6">
        <v>0</v>
      </c>
      <c r="F163" s="6" t="str">
        <f t="shared" si="21"/>
        <v>Night</v>
      </c>
      <c r="G163" s="6" t="b">
        <v>0</v>
      </c>
      <c r="H163" s="6">
        <f t="shared" si="22"/>
        <v>0</v>
      </c>
      <c r="I163" s="6">
        <v>6</v>
      </c>
      <c r="J163" s="6" t="str">
        <f t="shared" si="23"/>
        <v>Saturday</v>
      </c>
      <c r="K163" s="6">
        <f t="shared" si="24"/>
        <v>1</v>
      </c>
      <c r="L163" s="6">
        <v>2</v>
      </c>
      <c r="M163" s="6" t="str">
        <f t="shared" si="25"/>
        <v>Cloudy</v>
      </c>
      <c r="N163" s="8">
        <v>0.18</v>
      </c>
      <c r="O163" s="8">
        <v>0.19700000000000001</v>
      </c>
      <c r="P163" s="8">
        <v>0.51</v>
      </c>
      <c r="Q163" s="8">
        <v>0.16420000000000001</v>
      </c>
      <c r="R163" s="6">
        <v>1</v>
      </c>
      <c r="S163" s="6">
        <v>24</v>
      </c>
      <c r="T163" s="6">
        <v>25</v>
      </c>
      <c r="U163" s="8">
        <f t="shared" si="26"/>
        <v>-0.51295812847461175</v>
      </c>
      <c r="V163" s="8" t="str">
        <f t="shared" si="27"/>
        <v>Normal</v>
      </c>
      <c r="W163" s="8">
        <f t="shared" si="28"/>
        <v>-0.61350106086512368</v>
      </c>
      <c r="X163" s="8" t="str">
        <f t="shared" si="29"/>
        <v>Normal</v>
      </c>
    </row>
    <row r="164" spans="1:24" x14ac:dyDescent="0.25">
      <c r="A164" s="6">
        <v>163</v>
      </c>
      <c r="B164" s="7">
        <v>40551</v>
      </c>
      <c r="C164" s="6">
        <v>1</v>
      </c>
      <c r="D164" s="6" t="str">
        <f t="shared" si="20"/>
        <v>january</v>
      </c>
      <c r="E164" s="6">
        <v>1</v>
      </c>
      <c r="F164" s="6" t="str">
        <f t="shared" si="21"/>
        <v>Night</v>
      </c>
      <c r="G164" s="6" t="b">
        <v>0</v>
      </c>
      <c r="H164" s="6">
        <f t="shared" si="22"/>
        <v>0</v>
      </c>
      <c r="I164" s="6">
        <v>6</v>
      </c>
      <c r="J164" s="6" t="str">
        <f t="shared" si="23"/>
        <v>Saturday</v>
      </c>
      <c r="K164" s="6">
        <f t="shared" si="24"/>
        <v>1</v>
      </c>
      <c r="L164" s="6">
        <v>2</v>
      </c>
      <c r="M164" s="6" t="str">
        <f t="shared" si="25"/>
        <v>Cloudy</v>
      </c>
      <c r="N164" s="8">
        <v>0.18</v>
      </c>
      <c r="O164" s="8">
        <v>0.21210000000000001</v>
      </c>
      <c r="P164" s="8">
        <v>0.55000000000000004</v>
      </c>
      <c r="Q164" s="8">
        <v>8.9599999999999999E-2</v>
      </c>
      <c r="R164" s="6">
        <v>1</v>
      </c>
      <c r="S164" s="6">
        <v>15</v>
      </c>
      <c r="T164" s="6">
        <v>16</v>
      </c>
      <c r="U164" s="8">
        <f t="shared" si="26"/>
        <v>-0.51295812847461175</v>
      </c>
      <c r="V164" s="8" t="str">
        <f t="shared" si="27"/>
        <v>Normal</v>
      </c>
      <c r="W164" s="8">
        <f t="shared" si="28"/>
        <v>-0.80141616646312641</v>
      </c>
      <c r="X164" s="8" t="str">
        <f t="shared" si="29"/>
        <v>Normal</v>
      </c>
    </row>
    <row r="165" spans="1:24" x14ac:dyDescent="0.25">
      <c r="A165" s="6">
        <v>164</v>
      </c>
      <c r="B165" s="7">
        <v>40551</v>
      </c>
      <c r="C165" s="6">
        <v>1</v>
      </c>
      <c r="D165" s="6" t="str">
        <f t="shared" si="20"/>
        <v>january</v>
      </c>
      <c r="E165" s="6">
        <v>2</v>
      </c>
      <c r="F165" s="6" t="str">
        <f t="shared" si="21"/>
        <v>Night</v>
      </c>
      <c r="G165" s="6" t="b">
        <v>0</v>
      </c>
      <c r="H165" s="6">
        <f t="shared" si="22"/>
        <v>0</v>
      </c>
      <c r="I165" s="6">
        <v>6</v>
      </c>
      <c r="J165" s="6" t="str">
        <f t="shared" si="23"/>
        <v>Saturday</v>
      </c>
      <c r="K165" s="6">
        <f t="shared" si="24"/>
        <v>1</v>
      </c>
      <c r="L165" s="6">
        <v>2</v>
      </c>
      <c r="M165" s="6" t="str">
        <f t="shared" si="25"/>
        <v>Cloudy</v>
      </c>
      <c r="N165" s="8">
        <v>0.18</v>
      </c>
      <c r="O165" s="8">
        <v>0.2424</v>
      </c>
      <c r="P165" s="8">
        <v>0.55000000000000004</v>
      </c>
      <c r="Q165" s="8">
        <v>0</v>
      </c>
      <c r="R165" s="6">
        <v>3</v>
      </c>
      <c r="S165" s="6">
        <v>13</v>
      </c>
      <c r="T165" s="6">
        <v>16</v>
      </c>
      <c r="U165" s="8">
        <f t="shared" si="26"/>
        <v>-0.25131154419783963</v>
      </c>
      <c r="V165" s="8" t="str">
        <f t="shared" si="27"/>
        <v>Normal</v>
      </c>
      <c r="W165" s="8">
        <f t="shared" si="28"/>
        <v>-0.84317507881823806</v>
      </c>
      <c r="X165" s="8" t="str">
        <f t="shared" si="29"/>
        <v>Normal</v>
      </c>
    </row>
    <row r="166" spans="1:24" x14ac:dyDescent="0.25">
      <c r="A166" s="6">
        <v>165</v>
      </c>
      <c r="B166" s="7">
        <v>40551</v>
      </c>
      <c r="C166" s="6">
        <v>1</v>
      </c>
      <c r="D166" s="6" t="str">
        <f t="shared" si="20"/>
        <v>january</v>
      </c>
      <c r="E166" s="6">
        <v>3</v>
      </c>
      <c r="F166" s="6" t="str">
        <f t="shared" si="21"/>
        <v>Night</v>
      </c>
      <c r="G166" s="6" t="b">
        <v>0</v>
      </c>
      <c r="H166" s="6">
        <f t="shared" si="22"/>
        <v>0</v>
      </c>
      <c r="I166" s="6">
        <v>6</v>
      </c>
      <c r="J166" s="6" t="str">
        <f t="shared" si="23"/>
        <v>Saturday</v>
      </c>
      <c r="K166" s="6">
        <f t="shared" si="24"/>
        <v>1</v>
      </c>
      <c r="L166" s="6">
        <v>3</v>
      </c>
      <c r="M166" s="6" t="str">
        <f t="shared" si="25"/>
        <v>Light rain</v>
      </c>
      <c r="N166" s="8">
        <v>0.18</v>
      </c>
      <c r="O166" s="8">
        <v>0.19700000000000001</v>
      </c>
      <c r="P166" s="8">
        <v>0.55000000000000004</v>
      </c>
      <c r="Q166" s="8">
        <v>0.16420000000000001</v>
      </c>
      <c r="R166" s="6">
        <v>0</v>
      </c>
      <c r="S166" s="6">
        <v>7</v>
      </c>
      <c r="T166" s="6">
        <v>7</v>
      </c>
      <c r="U166" s="8">
        <f t="shared" si="26"/>
        <v>-0.64378142061299781</v>
      </c>
      <c r="V166" s="8" t="str">
        <f t="shared" si="27"/>
        <v>Normal</v>
      </c>
      <c r="W166" s="8">
        <f t="shared" si="28"/>
        <v>-0.96845181588357321</v>
      </c>
      <c r="X166" s="8" t="str">
        <f t="shared" si="29"/>
        <v>Normal</v>
      </c>
    </row>
    <row r="167" spans="1:24" x14ac:dyDescent="0.25">
      <c r="A167" s="6">
        <v>166</v>
      </c>
      <c r="B167" s="7">
        <v>40551</v>
      </c>
      <c r="C167" s="6">
        <v>1</v>
      </c>
      <c r="D167" s="6" t="str">
        <f t="shared" si="20"/>
        <v>january</v>
      </c>
      <c r="E167" s="6">
        <v>4</v>
      </c>
      <c r="F167" s="6" t="str">
        <f t="shared" si="21"/>
        <v>Night</v>
      </c>
      <c r="G167" s="6" t="b">
        <v>0</v>
      </c>
      <c r="H167" s="6">
        <f t="shared" si="22"/>
        <v>0</v>
      </c>
      <c r="I167" s="6">
        <v>6</v>
      </c>
      <c r="J167" s="6" t="str">
        <f t="shared" si="23"/>
        <v>Saturday</v>
      </c>
      <c r="K167" s="6">
        <f t="shared" si="24"/>
        <v>1</v>
      </c>
      <c r="L167" s="6">
        <v>3</v>
      </c>
      <c r="M167" s="6" t="str">
        <f t="shared" si="25"/>
        <v>Light rain</v>
      </c>
      <c r="N167" s="8">
        <v>0.18</v>
      </c>
      <c r="O167" s="8">
        <v>0.19700000000000001</v>
      </c>
      <c r="P167" s="8">
        <v>0.55000000000000004</v>
      </c>
      <c r="Q167" s="8">
        <v>0.16420000000000001</v>
      </c>
      <c r="R167" s="6">
        <v>0</v>
      </c>
      <c r="S167" s="6">
        <v>1</v>
      </c>
      <c r="T167" s="6">
        <v>1</v>
      </c>
      <c r="U167" s="8">
        <f t="shared" si="26"/>
        <v>-0.64378142061299781</v>
      </c>
      <c r="V167" s="8" t="str">
        <f t="shared" si="27"/>
        <v>Normal</v>
      </c>
      <c r="W167" s="8">
        <f t="shared" si="28"/>
        <v>-1.0937285529489083</v>
      </c>
      <c r="X167" s="8" t="str">
        <f t="shared" si="29"/>
        <v>Normal</v>
      </c>
    </row>
    <row r="168" spans="1:24" x14ac:dyDescent="0.25">
      <c r="A168" s="6">
        <v>167</v>
      </c>
      <c r="B168" s="7">
        <v>40551</v>
      </c>
      <c r="C168" s="6">
        <v>1</v>
      </c>
      <c r="D168" s="6" t="str">
        <f t="shared" si="20"/>
        <v>january</v>
      </c>
      <c r="E168" s="6">
        <v>5</v>
      </c>
      <c r="F168" s="6" t="str">
        <f t="shared" si="21"/>
        <v>Early Morning</v>
      </c>
      <c r="G168" s="6" t="b">
        <v>0</v>
      </c>
      <c r="H168" s="6">
        <f t="shared" si="22"/>
        <v>0</v>
      </c>
      <c r="I168" s="6">
        <v>6</v>
      </c>
      <c r="J168" s="6" t="str">
        <f t="shared" si="23"/>
        <v>Saturday</v>
      </c>
      <c r="K168" s="6">
        <f t="shared" si="24"/>
        <v>1</v>
      </c>
      <c r="L168" s="6">
        <v>2</v>
      </c>
      <c r="M168" s="6" t="str">
        <f t="shared" si="25"/>
        <v>Cloudy</v>
      </c>
      <c r="N168" s="8">
        <v>0.16</v>
      </c>
      <c r="O168" s="8">
        <v>0.16669999999999999</v>
      </c>
      <c r="P168" s="8">
        <v>0.74</v>
      </c>
      <c r="Q168" s="8">
        <v>0.16420000000000001</v>
      </c>
      <c r="R168" s="6">
        <v>0</v>
      </c>
      <c r="S168" s="6">
        <v>5</v>
      </c>
      <c r="T168" s="6">
        <v>5</v>
      </c>
      <c r="U168" s="8">
        <f t="shared" si="26"/>
        <v>-0.64378142061299781</v>
      </c>
      <c r="V168" s="8" t="str">
        <f t="shared" si="27"/>
        <v>Normal</v>
      </c>
      <c r="W168" s="8">
        <f t="shared" si="28"/>
        <v>-1.010210728238685</v>
      </c>
      <c r="X168" s="8" t="str">
        <f t="shared" si="29"/>
        <v>Normal</v>
      </c>
    </row>
    <row r="169" spans="1:24" x14ac:dyDescent="0.25">
      <c r="A169" s="6">
        <v>168</v>
      </c>
      <c r="B169" s="7">
        <v>40551</v>
      </c>
      <c r="C169" s="6">
        <v>1</v>
      </c>
      <c r="D169" s="6" t="str">
        <f t="shared" si="20"/>
        <v>january</v>
      </c>
      <c r="E169" s="6">
        <v>6</v>
      </c>
      <c r="F169" s="6" t="str">
        <f t="shared" si="21"/>
        <v>Early Morning</v>
      </c>
      <c r="G169" s="6" t="b">
        <v>0</v>
      </c>
      <c r="H169" s="6">
        <f t="shared" si="22"/>
        <v>0</v>
      </c>
      <c r="I169" s="6">
        <v>6</v>
      </c>
      <c r="J169" s="6" t="str">
        <f t="shared" si="23"/>
        <v>Saturday</v>
      </c>
      <c r="K169" s="6">
        <f t="shared" si="24"/>
        <v>1</v>
      </c>
      <c r="L169" s="6">
        <v>2</v>
      </c>
      <c r="M169" s="6" t="str">
        <f t="shared" si="25"/>
        <v>Cloudy</v>
      </c>
      <c r="N169" s="8">
        <v>0.16</v>
      </c>
      <c r="O169" s="8">
        <v>0.16669999999999999</v>
      </c>
      <c r="P169" s="8">
        <v>0.74</v>
      </c>
      <c r="Q169" s="8">
        <v>0.16420000000000001</v>
      </c>
      <c r="R169" s="6">
        <v>0</v>
      </c>
      <c r="S169" s="6">
        <v>2</v>
      </c>
      <c r="T169" s="6">
        <v>2</v>
      </c>
      <c r="U169" s="8">
        <f t="shared" si="26"/>
        <v>-0.64378142061299781</v>
      </c>
      <c r="V169" s="8" t="str">
        <f t="shared" si="27"/>
        <v>Normal</v>
      </c>
      <c r="W169" s="8">
        <f t="shared" si="28"/>
        <v>-1.0728490967713524</v>
      </c>
      <c r="X169" s="8" t="str">
        <f t="shared" si="29"/>
        <v>Normal</v>
      </c>
    </row>
    <row r="170" spans="1:24" x14ac:dyDescent="0.25">
      <c r="A170" s="6">
        <v>169</v>
      </c>
      <c r="B170" s="7">
        <v>40551</v>
      </c>
      <c r="C170" s="6">
        <v>1</v>
      </c>
      <c r="D170" s="6" t="str">
        <f t="shared" si="20"/>
        <v>january</v>
      </c>
      <c r="E170" s="6">
        <v>7</v>
      </c>
      <c r="F170" s="6" t="str">
        <f t="shared" si="21"/>
        <v>Early Morning</v>
      </c>
      <c r="G170" s="6" t="b">
        <v>0</v>
      </c>
      <c r="H170" s="6">
        <f t="shared" si="22"/>
        <v>0</v>
      </c>
      <c r="I170" s="6">
        <v>6</v>
      </c>
      <c r="J170" s="6" t="str">
        <f t="shared" si="23"/>
        <v>Saturday</v>
      </c>
      <c r="K170" s="6">
        <f t="shared" si="24"/>
        <v>1</v>
      </c>
      <c r="L170" s="6">
        <v>2</v>
      </c>
      <c r="M170" s="6" t="str">
        <f t="shared" si="25"/>
        <v>Cloudy</v>
      </c>
      <c r="N170" s="8">
        <v>0.16</v>
      </c>
      <c r="O170" s="8">
        <v>0.18179999999999999</v>
      </c>
      <c r="P170" s="8">
        <v>0.74</v>
      </c>
      <c r="Q170" s="8">
        <v>0.1045</v>
      </c>
      <c r="R170" s="6">
        <v>1</v>
      </c>
      <c r="S170" s="6">
        <v>8</v>
      </c>
      <c r="T170" s="6">
        <v>9</v>
      </c>
      <c r="U170" s="8">
        <f t="shared" si="26"/>
        <v>-0.51295812847461175</v>
      </c>
      <c r="V170" s="8" t="str">
        <f t="shared" si="27"/>
        <v>Normal</v>
      </c>
      <c r="W170" s="8">
        <f t="shared" si="28"/>
        <v>-0.94757235970601739</v>
      </c>
      <c r="X170" s="8" t="str">
        <f t="shared" si="29"/>
        <v>Normal</v>
      </c>
    </row>
    <row r="171" spans="1:24" x14ac:dyDescent="0.25">
      <c r="A171" s="6">
        <v>170</v>
      </c>
      <c r="B171" s="7">
        <v>40551</v>
      </c>
      <c r="C171" s="6">
        <v>1</v>
      </c>
      <c r="D171" s="6" t="str">
        <f t="shared" si="20"/>
        <v>january</v>
      </c>
      <c r="E171" s="6">
        <v>8</v>
      </c>
      <c r="F171" s="6" t="str">
        <f t="shared" si="21"/>
        <v>Morning</v>
      </c>
      <c r="G171" s="6" t="b">
        <v>0</v>
      </c>
      <c r="H171" s="6">
        <f t="shared" si="22"/>
        <v>0</v>
      </c>
      <c r="I171" s="6">
        <v>6</v>
      </c>
      <c r="J171" s="6" t="str">
        <f t="shared" si="23"/>
        <v>Saturday</v>
      </c>
      <c r="K171" s="6">
        <f t="shared" si="24"/>
        <v>1</v>
      </c>
      <c r="L171" s="6">
        <v>3</v>
      </c>
      <c r="M171" s="6" t="str">
        <f t="shared" si="25"/>
        <v>Light rain</v>
      </c>
      <c r="N171" s="8">
        <v>0.16</v>
      </c>
      <c r="O171" s="8">
        <v>0.18179999999999999</v>
      </c>
      <c r="P171" s="8">
        <v>0.93</v>
      </c>
      <c r="Q171" s="8">
        <v>0.1045</v>
      </c>
      <c r="R171" s="6">
        <v>0</v>
      </c>
      <c r="S171" s="6">
        <v>15</v>
      </c>
      <c r="T171" s="6">
        <v>15</v>
      </c>
      <c r="U171" s="8">
        <f t="shared" si="26"/>
        <v>-0.64378142061299781</v>
      </c>
      <c r="V171" s="8" t="str">
        <f t="shared" si="27"/>
        <v>Normal</v>
      </c>
      <c r="W171" s="8">
        <f t="shared" si="28"/>
        <v>-0.80141616646312641</v>
      </c>
      <c r="X171" s="8" t="str">
        <f t="shared" si="29"/>
        <v>Normal</v>
      </c>
    </row>
    <row r="172" spans="1:24" x14ac:dyDescent="0.25">
      <c r="A172" s="6">
        <v>171</v>
      </c>
      <c r="B172" s="7">
        <v>40551</v>
      </c>
      <c r="C172" s="6">
        <v>1</v>
      </c>
      <c r="D172" s="6" t="str">
        <f t="shared" si="20"/>
        <v>january</v>
      </c>
      <c r="E172" s="6">
        <v>9</v>
      </c>
      <c r="F172" s="6" t="str">
        <f t="shared" si="21"/>
        <v>Morning</v>
      </c>
      <c r="G172" s="6" t="b">
        <v>0</v>
      </c>
      <c r="H172" s="6">
        <f t="shared" si="22"/>
        <v>0</v>
      </c>
      <c r="I172" s="6">
        <v>6</v>
      </c>
      <c r="J172" s="6" t="str">
        <f t="shared" si="23"/>
        <v>Saturday</v>
      </c>
      <c r="K172" s="6">
        <f t="shared" si="24"/>
        <v>1</v>
      </c>
      <c r="L172" s="6">
        <v>3</v>
      </c>
      <c r="M172" s="6" t="str">
        <f t="shared" si="25"/>
        <v>Light rain</v>
      </c>
      <c r="N172" s="8">
        <v>0.16</v>
      </c>
      <c r="O172" s="8">
        <v>0.18179999999999999</v>
      </c>
      <c r="P172" s="8">
        <v>0.93</v>
      </c>
      <c r="Q172" s="8">
        <v>0.1045</v>
      </c>
      <c r="R172" s="6">
        <v>0</v>
      </c>
      <c r="S172" s="6">
        <v>20</v>
      </c>
      <c r="T172" s="6">
        <v>20</v>
      </c>
      <c r="U172" s="8">
        <f t="shared" si="26"/>
        <v>-0.64378142061299781</v>
      </c>
      <c r="V172" s="8" t="str">
        <f t="shared" si="27"/>
        <v>Normal</v>
      </c>
      <c r="W172" s="8">
        <f t="shared" si="28"/>
        <v>-0.69701888557534708</v>
      </c>
      <c r="X172" s="8" t="str">
        <f t="shared" si="29"/>
        <v>Normal</v>
      </c>
    </row>
    <row r="173" spans="1:24" x14ac:dyDescent="0.25">
      <c r="A173" s="6">
        <v>172</v>
      </c>
      <c r="B173" s="7">
        <v>40551</v>
      </c>
      <c r="C173" s="6">
        <v>1</v>
      </c>
      <c r="D173" s="6" t="str">
        <f t="shared" si="20"/>
        <v>january</v>
      </c>
      <c r="E173" s="6">
        <v>10</v>
      </c>
      <c r="F173" s="6" t="str">
        <f t="shared" si="21"/>
        <v>Morning</v>
      </c>
      <c r="G173" s="6" t="b">
        <v>0</v>
      </c>
      <c r="H173" s="6">
        <f t="shared" si="22"/>
        <v>0</v>
      </c>
      <c r="I173" s="6">
        <v>6</v>
      </c>
      <c r="J173" s="6" t="str">
        <f t="shared" si="23"/>
        <v>Saturday</v>
      </c>
      <c r="K173" s="6">
        <f t="shared" si="24"/>
        <v>1</v>
      </c>
      <c r="L173" s="6">
        <v>2</v>
      </c>
      <c r="M173" s="6" t="str">
        <f t="shared" si="25"/>
        <v>Cloudy</v>
      </c>
      <c r="N173" s="8">
        <v>0.18</v>
      </c>
      <c r="O173" s="8">
        <v>0.19700000000000001</v>
      </c>
      <c r="P173" s="8">
        <v>0.8</v>
      </c>
      <c r="Q173" s="8">
        <v>0.16420000000000001</v>
      </c>
      <c r="R173" s="6">
        <v>5</v>
      </c>
      <c r="S173" s="6">
        <v>56</v>
      </c>
      <c r="T173" s="6">
        <v>61</v>
      </c>
      <c r="U173" s="8">
        <f t="shared" si="26"/>
        <v>1.0335040078932463E-2</v>
      </c>
      <c r="V173" s="8" t="str">
        <f t="shared" si="27"/>
        <v>Normal</v>
      </c>
      <c r="W173" s="8">
        <f t="shared" si="28"/>
        <v>5.4641536816663616E-2</v>
      </c>
      <c r="X173" s="8" t="str">
        <f t="shared" si="29"/>
        <v>Normal</v>
      </c>
    </row>
    <row r="174" spans="1:24" x14ac:dyDescent="0.25">
      <c r="A174" s="6">
        <v>173</v>
      </c>
      <c r="B174" s="7">
        <v>40551</v>
      </c>
      <c r="C174" s="6">
        <v>1</v>
      </c>
      <c r="D174" s="6" t="str">
        <f t="shared" si="20"/>
        <v>january</v>
      </c>
      <c r="E174" s="6">
        <v>11</v>
      </c>
      <c r="F174" s="6" t="str">
        <f t="shared" si="21"/>
        <v>Morning</v>
      </c>
      <c r="G174" s="6" t="b">
        <v>0</v>
      </c>
      <c r="H174" s="6">
        <f t="shared" si="22"/>
        <v>0</v>
      </c>
      <c r="I174" s="6">
        <v>6</v>
      </c>
      <c r="J174" s="6" t="str">
        <f t="shared" si="23"/>
        <v>Saturday</v>
      </c>
      <c r="K174" s="6">
        <f t="shared" si="24"/>
        <v>1</v>
      </c>
      <c r="L174" s="6">
        <v>2</v>
      </c>
      <c r="M174" s="6" t="str">
        <f t="shared" si="25"/>
        <v>Cloudy</v>
      </c>
      <c r="N174" s="8">
        <v>0.2</v>
      </c>
      <c r="O174" s="8">
        <v>0.18179999999999999</v>
      </c>
      <c r="P174" s="8">
        <v>0.69</v>
      </c>
      <c r="Q174" s="8">
        <v>0.3881</v>
      </c>
      <c r="R174" s="6">
        <v>2</v>
      </c>
      <c r="S174" s="6">
        <v>60</v>
      </c>
      <c r="T174" s="6">
        <v>62</v>
      </c>
      <c r="U174" s="8">
        <f t="shared" si="26"/>
        <v>-0.38213483633622569</v>
      </c>
      <c r="V174" s="8" t="str">
        <f t="shared" si="27"/>
        <v>Normal</v>
      </c>
      <c r="W174" s="8">
        <f t="shared" si="28"/>
        <v>0.13815936152688704</v>
      </c>
      <c r="X174" s="8" t="str">
        <f t="shared" si="29"/>
        <v>Normal</v>
      </c>
    </row>
    <row r="175" spans="1:24" x14ac:dyDescent="0.25">
      <c r="A175" s="6">
        <v>174</v>
      </c>
      <c r="B175" s="7">
        <v>40551</v>
      </c>
      <c r="C175" s="6">
        <v>1</v>
      </c>
      <c r="D175" s="6" t="str">
        <f t="shared" si="20"/>
        <v>january</v>
      </c>
      <c r="E175" s="6">
        <v>12</v>
      </c>
      <c r="F175" s="6" t="str">
        <f t="shared" si="21"/>
        <v>Afternoon</v>
      </c>
      <c r="G175" s="6" t="b">
        <v>0</v>
      </c>
      <c r="H175" s="6">
        <f t="shared" si="22"/>
        <v>0</v>
      </c>
      <c r="I175" s="6">
        <v>6</v>
      </c>
      <c r="J175" s="6" t="str">
        <f t="shared" si="23"/>
        <v>Saturday</v>
      </c>
      <c r="K175" s="6">
        <f t="shared" si="24"/>
        <v>1</v>
      </c>
      <c r="L175" s="6">
        <v>2</v>
      </c>
      <c r="M175" s="6" t="str">
        <f t="shared" si="25"/>
        <v>Cloudy</v>
      </c>
      <c r="N175" s="8">
        <v>0.2</v>
      </c>
      <c r="O175" s="8">
        <v>0.18179999999999999</v>
      </c>
      <c r="P175" s="8">
        <v>0.59</v>
      </c>
      <c r="Q175" s="8">
        <v>0.35820000000000002</v>
      </c>
      <c r="R175" s="6">
        <v>8</v>
      </c>
      <c r="S175" s="6">
        <v>90</v>
      </c>
      <c r="T175" s="6">
        <v>98</v>
      </c>
      <c r="U175" s="8">
        <f t="shared" si="26"/>
        <v>0.40280491649409061</v>
      </c>
      <c r="V175" s="8" t="str">
        <f t="shared" si="27"/>
        <v>Normal</v>
      </c>
      <c r="W175" s="8">
        <f t="shared" si="28"/>
        <v>0.76454304685356267</v>
      </c>
      <c r="X175" s="8" t="str">
        <f t="shared" si="29"/>
        <v>Normal</v>
      </c>
    </row>
    <row r="176" spans="1:24" x14ac:dyDescent="0.25">
      <c r="A176" s="6">
        <v>175</v>
      </c>
      <c r="B176" s="7">
        <v>40551</v>
      </c>
      <c r="C176" s="6">
        <v>1</v>
      </c>
      <c r="D176" s="6" t="str">
        <f t="shared" si="20"/>
        <v>january</v>
      </c>
      <c r="E176" s="6">
        <v>13</v>
      </c>
      <c r="F176" s="6" t="str">
        <f t="shared" si="21"/>
        <v>Afternoon</v>
      </c>
      <c r="G176" s="6" t="b">
        <v>0</v>
      </c>
      <c r="H176" s="6">
        <f t="shared" si="22"/>
        <v>0</v>
      </c>
      <c r="I176" s="6">
        <v>6</v>
      </c>
      <c r="J176" s="6" t="str">
        <f t="shared" si="23"/>
        <v>Saturday</v>
      </c>
      <c r="K176" s="6">
        <f t="shared" si="24"/>
        <v>1</v>
      </c>
      <c r="L176" s="6">
        <v>1</v>
      </c>
      <c r="M176" s="6" t="str">
        <f t="shared" si="25"/>
        <v>Partly cloudy</v>
      </c>
      <c r="N176" s="8">
        <v>0.2</v>
      </c>
      <c r="O176" s="8">
        <v>0.18179999999999999</v>
      </c>
      <c r="P176" s="8">
        <v>0.44</v>
      </c>
      <c r="Q176" s="8">
        <v>0.32840000000000003</v>
      </c>
      <c r="R176" s="6">
        <v>7</v>
      </c>
      <c r="S176" s="6">
        <v>95</v>
      </c>
      <c r="T176" s="6">
        <v>102</v>
      </c>
      <c r="U176" s="8">
        <f t="shared" si="26"/>
        <v>0.27198162435570455</v>
      </c>
      <c r="V176" s="8" t="str">
        <f t="shared" si="27"/>
        <v>Normal</v>
      </c>
      <c r="W176" s="8">
        <f t="shared" si="28"/>
        <v>0.86894032774134189</v>
      </c>
      <c r="X176" s="8" t="str">
        <f t="shared" si="29"/>
        <v>Normal</v>
      </c>
    </row>
    <row r="177" spans="1:24" x14ac:dyDescent="0.25">
      <c r="A177" s="6">
        <v>176</v>
      </c>
      <c r="B177" s="7">
        <v>40551</v>
      </c>
      <c r="C177" s="6">
        <v>1</v>
      </c>
      <c r="D177" s="6" t="str">
        <f t="shared" si="20"/>
        <v>january</v>
      </c>
      <c r="E177" s="6">
        <v>14</v>
      </c>
      <c r="F177" s="6" t="str">
        <f t="shared" si="21"/>
        <v>Afternoon</v>
      </c>
      <c r="G177" s="6" t="b">
        <v>0</v>
      </c>
      <c r="H177" s="6">
        <f t="shared" si="22"/>
        <v>0</v>
      </c>
      <c r="I177" s="6">
        <v>6</v>
      </c>
      <c r="J177" s="6" t="str">
        <f t="shared" si="23"/>
        <v>Saturday</v>
      </c>
      <c r="K177" s="6">
        <f t="shared" si="24"/>
        <v>1</v>
      </c>
      <c r="L177" s="6">
        <v>1</v>
      </c>
      <c r="M177" s="6" t="str">
        <f t="shared" si="25"/>
        <v>Partly cloudy</v>
      </c>
      <c r="N177" s="8">
        <v>0.2</v>
      </c>
      <c r="O177" s="8">
        <v>0.16669999999999999</v>
      </c>
      <c r="P177" s="8">
        <v>0.32</v>
      </c>
      <c r="Q177" s="8">
        <v>0.49249999999999999</v>
      </c>
      <c r="R177" s="6">
        <v>12</v>
      </c>
      <c r="S177" s="6">
        <v>83</v>
      </c>
      <c r="T177" s="6">
        <v>95</v>
      </c>
      <c r="U177" s="8">
        <f t="shared" si="26"/>
        <v>0.92609808504763491</v>
      </c>
      <c r="V177" s="8" t="str">
        <f t="shared" si="27"/>
        <v>Normal</v>
      </c>
      <c r="W177" s="8">
        <f t="shared" si="28"/>
        <v>0.61838685361067169</v>
      </c>
      <c r="X177" s="8" t="str">
        <f t="shared" si="29"/>
        <v>Normal</v>
      </c>
    </row>
    <row r="178" spans="1:24" x14ac:dyDescent="0.25">
      <c r="A178" s="6">
        <v>177</v>
      </c>
      <c r="B178" s="7">
        <v>40551</v>
      </c>
      <c r="C178" s="6">
        <v>1</v>
      </c>
      <c r="D178" s="6" t="str">
        <f t="shared" si="20"/>
        <v>january</v>
      </c>
      <c r="E178" s="6">
        <v>15</v>
      </c>
      <c r="F178" s="6" t="str">
        <f t="shared" si="21"/>
        <v>Afternoon</v>
      </c>
      <c r="G178" s="6" t="b">
        <v>0</v>
      </c>
      <c r="H178" s="6">
        <f t="shared" si="22"/>
        <v>0</v>
      </c>
      <c r="I178" s="6">
        <v>6</v>
      </c>
      <c r="J178" s="6" t="str">
        <f t="shared" si="23"/>
        <v>Saturday</v>
      </c>
      <c r="K178" s="6">
        <f t="shared" si="24"/>
        <v>1</v>
      </c>
      <c r="L178" s="6">
        <v>1</v>
      </c>
      <c r="M178" s="6" t="str">
        <f t="shared" si="25"/>
        <v>Partly cloudy</v>
      </c>
      <c r="N178" s="8">
        <v>0.2</v>
      </c>
      <c r="O178" s="8">
        <v>0.16669999999999999</v>
      </c>
      <c r="P178" s="8">
        <v>0.32</v>
      </c>
      <c r="Q178" s="8">
        <v>0.44779999999999998</v>
      </c>
      <c r="R178" s="6">
        <v>5</v>
      </c>
      <c r="S178" s="6">
        <v>69</v>
      </c>
      <c r="T178" s="6">
        <v>74</v>
      </c>
      <c r="U178" s="8">
        <f t="shared" si="26"/>
        <v>1.0335040078932463E-2</v>
      </c>
      <c r="V178" s="8" t="str">
        <f t="shared" si="27"/>
        <v>Normal</v>
      </c>
      <c r="W178" s="8">
        <f t="shared" si="28"/>
        <v>0.32607446712488969</v>
      </c>
      <c r="X178" s="8" t="str">
        <f t="shared" si="29"/>
        <v>Normal</v>
      </c>
    </row>
    <row r="179" spans="1:24" x14ac:dyDescent="0.25">
      <c r="A179" s="6">
        <v>178</v>
      </c>
      <c r="B179" s="7">
        <v>40551</v>
      </c>
      <c r="C179" s="6">
        <v>1</v>
      </c>
      <c r="D179" s="6" t="str">
        <f t="shared" si="20"/>
        <v>january</v>
      </c>
      <c r="E179" s="6">
        <v>16</v>
      </c>
      <c r="F179" s="6" t="str">
        <f t="shared" si="21"/>
        <v>Afternoon</v>
      </c>
      <c r="G179" s="6" t="b">
        <v>0</v>
      </c>
      <c r="H179" s="6">
        <f t="shared" si="22"/>
        <v>0</v>
      </c>
      <c r="I179" s="6">
        <v>6</v>
      </c>
      <c r="J179" s="6" t="str">
        <f t="shared" si="23"/>
        <v>Saturday</v>
      </c>
      <c r="K179" s="6">
        <f t="shared" si="24"/>
        <v>1</v>
      </c>
      <c r="L179" s="6">
        <v>1</v>
      </c>
      <c r="M179" s="6" t="str">
        <f t="shared" si="25"/>
        <v>Partly cloudy</v>
      </c>
      <c r="N179" s="8">
        <v>0.18</v>
      </c>
      <c r="O179" s="8">
        <v>0.13639999999999999</v>
      </c>
      <c r="P179" s="8">
        <v>0.28999999999999998</v>
      </c>
      <c r="Q179" s="8">
        <v>0.44779999999999998</v>
      </c>
      <c r="R179" s="6">
        <v>8</v>
      </c>
      <c r="S179" s="6">
        <v>68</v>
      </c>
      <c r="T179" s="6">
        <v>76</v>
      </c>
      <c r="U179" s="8">
        <f t="shared" si="26"/>
        <v>0.40280491649409061</v>
      </c>
      <c r="V179" s="8" t="str">
        <f t="shared" si="27"/>
        <v>Normal</v>
      </c>
      <c r="W179" s="8">
        <f t="shared" si="28"/>
        <v>0.30519501094733387</v>
      </c>
      <c r="X179" s="8" t="str">
        <f t="shared" si="29"/>
        <v>Normal</v>
      </c>
    </row>
    <row r="180" spans="1:24" x14ac:dyDescent="0.25">
      <c r="A180" s="6">
        <v>179</v>
      </c>
      <c r="B180" s="7">
        <v>40551</v>
      </c>
      <c r="C180" s="6">
        <v>1</v>
      </c>
      <c r="D180" s="6" t="str">
        <f t="shared" si="20"/>
        <v>january</v>
      </c>
      <c r="E180" s="6">
        <v>17</v>
      </c>
      <c r="F180" s="6" t="str">
        <f t="shared" si="21"/>
        <v>Evening</v>
      </c>
      <c r="G180" s="6" t="b">
        <v>0</v>
      </c>
      <c r="H180" s="6">
        <f t="shared" si="22"/>
        <v>0</v>
      </c>
      <c r="I180" s="6">
        <v>6</v>
      </c>
      <c r="J180" s="6" t="str">
        <f t="shared" si="23"/>
        <v>Saturday</v>
      </c>
      <c r="K180" s="6">
        <f t="shared" si="24"/>
        <v>1</v>
      </c>
      <c r="L180" s="6">
        <v>1</v>
      </c>
      <c r="M180" s="6" t="str">
        <f t="shared" si="25"/>
        <v>Partly cloudy</v>
      </c>
      <c r="N180" s="8">
        <v>0.16</v>
      </c>
      <c r="O180" s="8">
        <v>0.1212</v>
      </c>
      <c r="P180" s="8">
        <v>0.37</v>
      </c>
      <c r="Q180" s="8">
        <v>0.55220000000000002</v>
      </c>
      <c r="R180" s="6">
        <v>5</v>
      </c>
      <c r="S180" s="6">
        <v>64</v>
      </c>
      <c r="T180" s="6">
        <v>69</v>
      </c>
      <c r="U180" s="8">
        <f t="shared" si="26"/>
        <v>1.0335040078932463E-2</v>
      </c>
      <c r="V180" s="8" t="str">
        <f t="shared" si="27"/>
        <v>Normal</v>
      </c>
      <c r="W180" s="8">
        <f t="shared" si="28"/>
        <v>0.22167718623711044</v>
      </c>
      <c r="X180" s="8" t="str">
        <f t="shared" si="29"/>
        <v>Normal</v>
      </c>
    </row>
    <row r="181" spans="1:24" x14ac:dyDescent="0.25">
      <c r="A181" s="6">
        <v>180</v>
      </c>
      <c r="B181" s="7">
        <v>40551</v>
      </c>
      <c r="C181" s="6">
        <v>1</v>
      </c>
      <c r="D181" s="6" t="str">
        <f t="shared" si="20"/>
        <v>january</v>
      </c>
      <c r="E181" s="6">
        <v>18</v>
      </c>
      <c r="F181" s="6" t="str">
        <f t="shared" si="21"/>
        <v>Evening</v>
      </c>
      <c r="G181" s="6" t="b">
        <v>0</v>
      </c>
      <c r="H181" s="6">
        <f t="shared" si="22"/>
        <v>0</v>
      </c>
      <c r="I181" s="6">
        <v>6</v>
      </c>
      <c r="J181" s="6" t="str">
        <f t="shared" si="23"/>
        <v>Saturday</v>
      </c>
      <c r="K181" s="6">
        <f t="shared" si="24"/>
        <v>1</v>
      </c>
      <c r="L181" s="6">
        <v>1</v>
      </c>
      <c r="M181" s="6" t="str">
        <f t="shared" si="25"/>
        <v>Partly cloudy</v>
      </c>
      <c r="N181" s="8">
        <v>0.14000000000000001</v>
      </c>
      <c r="O181" s="8">
        <v>0.1212</v>
      </c>
      <c r="P181" s="8">
        <v>0.39</v>
      </c>
      <c r="Q181" s="8">
        <v>0.29849999999999999</v>
      </c>
      <c r="R181" s="6">
        <v>3</v>
      </c>
      <c r="S181" s="6">
        <v>52</v>
      </c>
      <c r="T181" s="6">
        <v>55</v>
      </c>
      <c r="U181" s="8">
        <f t="shared" si="26"/>
        <v>-0.25131154419783963</v>
      </c>
      <c r="V181" s="8" t="str">
        <f t="shared" si="27"/>
        <v>Normal</v>
      </c>
      <c r="W181" s="8">
        <f t="shared" si="28"/>
        <v>-2.8876287893559803E-2</v>
      </c>
      <c r="X181" s="8" t="str">
        <f t="shared" si="29"/>
        <v>Normal</v>
      </c>
    </row>
    <row r="182" spans="1:24" x14ac:dyDescent="0.25">
      <c r="A182" s="6">
        <v>181</v>
      </c>
      <c r="B182" s="7">
        <v>40551</v>
      </c>
      <c r="C182" s="6">
        <v>1</v>
      </c>
      <c r="D182" s="6" t="str">
        <f t="shared" si="20"/>
        <v>january</v>
      </c>
      <c r="E182" s="6">
        <v>19</v>
      </c>
      <c r="F182" s="6" t="str">
        <f t="shared" si="21"/>
        <v>Evening</v>
      </c>
      <c r="G182" s="6" t="b">
        <v>0</v>
      </c>
      <c r="H182" s="6">
        <f t="shared" si="22"/>
        <v>0</v>
      </c>
      <c r="I182" s="6">
        <v>6</v>
      </c>
      <c r="J182" s="6" t="str">
        <f t="shared" si="23"/>
        <v>Saturday</v>
      </c>
      <c r="K182" s="6">
        <f t="shared" si="24"/>
        <v>1</v>
      </c>
      <c r="L182" s="6">
        <v>1</v>
      </c>
      <c r="M182" s="6" t="str">
        <f t="shared" si="25"/>
        <v>Partly cloudy</v>
      </c>
      <c r="N182" s="8">
        <v>0.14000000000000001</v>
      </c>
      <c r="O182" s="8">
        <v>0.1212</v>
      </c>
      <c r="P182" s="8">
        <v>0.36</v>
      </c>
      <c r="Q182" s="8">
        <v>0.25369999999999998</v>
      </c>
      <c r="R182" s="6">
        <v>4</v>
      </c>
      <c r="S182" s="6">
        <v>26</v>
      </c>
      <c r="T182" s="6">
        <v>30</v>
      </c>
      <c r="U182" s="8">
        <f t="shared" si="26"/>
        <v>-0.1204882520594536</v>
      </c>
      <c r="V182" s="8" t="str">
        <f t="shared" si="27"/>
        <v>Normal</v>
      </c>
      <c r="W182" s="8">
        <f t="shared" si="28"/>
        <v>-0.57174214851001204</v>
      </c>
      <c r="X182" s="8" t="str">
        <f t="shared" si="29"/>
        <v>Normal</v>
      </c>
    </row>
    <row r="183" spans="1:24" x14ac:dyDescent="0.25">
      <c r="A183" s="6">
        <v>182</v>
      </c>
      <c r="B183" s="7">
        <v>40551</v>
      </c>
      <c r="C183" s="6">
        <v>1</v>
      </c>
      <c r="D183" s="6" t="str">
        <f t="shared" si="20"/>
        <v>january</v>
      </c>
      <c r="E183" s="6">
        <v>20</v>
      </c>
      <c r="F183" s="6" t="str">
        <f t="shared" si="21"/>
        <v>Evening</v>
      </c>
      <c r="G183" s="6" t="b">
        <v>0</v>
      </c>
      <c r="H183" s="6">
        <f t="shared" si="22"/>
        <v>0</v>
      </c>
      <c r="I183" s="6">
        <v>6</v>
      </c>
      <c r="J183" s="6" t="str">
        <f t="shared" si="23"/>
        <v>Saturday</v>
      </c>
      <c r="K183" s="6">
        <f t="shared" si="24"/>
        <v>1</v>
      </c>
      <c r="L183" s="6">
        <v>1</v>
      </c>
      <c r="M183" s="6" t="str">
        <f t="shared" si="25"/>
        <v>Partly cloudy</v>
      </c>
      <c r="N183" s="8">
        <v>0.12</v>
      </c>
      <c r="O183" s="8">
        <v>0.1212</v>
      </c>
      <c r="P183" s="8">
        <v>0.36</v>
      </c>
      <c r="Q183" s="8">
        <v>0.25369999999999998</v>
      </c>
      <c r="R183" s="6">
        <v>0</v>
      </c>
      <c r="S183" s="6">
        <v>28</v>
      </c>
      <c r="T183" s="6">
        <v>28</v>
      </c>
      <c r="U183" s="8">
        <f t="shared" si="26"/>
        <v>-0.64378142061299781</v>
      </c>
      <c r="V183" s="8" t="str">
        <f t="shared" si="27"/>
        <v>Normal</v>
      </c>
      <c r="W183" s="8">
        <f t="shared" si="28"/>
        <v>-0.52998323615490028</v>
      </c>
      <c r="X183" s="8" t="str">
        <f t="shared" si="29"/>
        <v>Normal</v>
      </c>
    </row>
    <row r="184" spans="1:24" x14ac:dyDescent="0.25">
      <c r="A184" s="6">
        <v>183</v>
      </c>
      <c r="B184" s="7">
        <v>40551</v>
      </c>
      <c r="C184" s="6">
        <v>1</v>
      </c>
      <c r="D184" s="6" t="str">
        <f t="shared" si="20"/>
        <v>january</v>
      </c>
      <c r="E184" s="6">
        <v>21</v>
      </c>
      <c r="F184" s="6" t="str">
        <f t="shared" si="21"/>
        <v>Night</v>
      </c>
      <c r="G184" s="6" t="b">
        <v>0</v>
      </c>
      <c r="H184" s="6">
        <f t="shared" si="22"/>
        <v>0</v>
      </c>
      <c r="I184" s="6">
        <v>6</v>
      </c>
      <c r="J184" s="6" t="str">
        <f t="shared" si="23"/>
        <v>Saturday</v>
      </c>
      <c r="K184" s="6">
        <f t="shared" si="24"/>
        <v>1</v>
      </c>
      <c r="L184" s="6">
        <v>1</v>
      </c>
      <c r="M184" s="6" t="str">
        <f t="shared" si="25"/>
        <v>Partly cloudy</v>
      </c>
      <c r="N184" s="8">
        <v>0.12</v>
      </c>
      <c r="O184" s="8">
        <v>0.1061</v>
      </c>
      <c r="P184" s="8">
        <v>0.39</v>
      </c>
      <c r="Q184" s="8">
        <v>0.35820000000000002</v>
      </c>
      <c r="R184" s="6">
        <v>2</v>
      </c>
      <c r="S184" s="6">
        <v>35</v>
      </c>
      <c r="T184" s="6">
        <v>37</v>
      </c>
      <c r="U184" s="8">
        <f t="shared" si="26"/>
        <v>-0.38213483633622569</v>
      </c>
      <c r="V184" s="8" t="str">
        <f t="shared" si="27"/>
        <v>Normal</v>
      </c>
      <c r="W184" s="8">
        <f t="shared" si="28"/>
        <v>-0.38382704291200931</v>
      </c>
      <c r="X184" s="8" t="str">
        <f t="shared" si="29"/>
        <v>Normal</v>
      </c>
    </row>
    <row r="185" spans="1:24" x14ac:dyDescent="0.25">
      <c r="A185" s="6">
        <v>184</v>
      </c>
      <c r="B185" s="7">
        <v>40551</v>
      </c>
      <c r="C185" s="6">
        <v>1</v>
      </c>
      <c r="D185" s="6" t="str">
        <f t="shared" si="20"/>
        <v>january</v>
      </c>
      <c r="E185" s="6">
        <v>22</v>
      </c>
      <c r="F185" s="6" t="str">
        <f t="shared" si="21"/>
        <v>Night</v>
      </c>
      <c r="G185" s="6" t="b">
        <v>0</v>
      </c>
      <c r="H185" s="6">
        <f t="shared" si="22"/>
        <v>0</v>
      </c>
      <c r="I185" s="6">
        <v>6</v>
      </c>
      <c r="J185" s="6" t="str">
        <f t="shared" si="23"/>
        <v>Saturday</v>
      </c>
      <c r="K185" s="6">
        <f t="shared" si="24"/>
        <v>1</v>
      </c>
      <c r="L185" s="6">
        <v>1</v>
      </c>
      <c r="M185" s="6" t="str">
        <f t="shared" si="25"/>
        <v>Partly cloudy</v>
      </c>
      <c r="N185" s="8">
        <v>0.12</v>
      </c>
      <c r="O185" s="8">
        <v>0.1061</v>
      </c>
      <c r="P185" s="8">
        <v>0.36</v>
      </c>
      <c r="Q185" s="8">
        <v>0.3881</v>
      </c>
      <c r="R185" s="6">
        <v>1</v>
      </c>
      <c r="S185" s="6">
        <v>33</v>
      </c>
      <c r="T185" s="6">
        <v>34</v>
      </c>
      <c r="U185" s="8">
        <f t="shared" si="26"/>
        <v>-0.51295812847461175</v>
      </c>
      <c r="V185" s="8" t="str">
        <f t="shared" si="27"/>
        <v>Normal</v>
      </c>
      <c r="W185" s="8">
        <f t="shared" si="28"/>
        <v>-0.42558595526712101</v>
      </c>
      <c r="X185" s="8" t="str">
        <f t="shared" si="29"/>
        <v>Normal</v>
      </c>
    </row>
    <row r="186" spans="1:24" x14ac:dyDescent="0.25">
      <c r="A186" s="6">
        <v>185</v>
      </c>
      <c r="B186" s="7">
        <v>40551</v>
      </c>
      <c r="C186" s="6">
        <v>1</v>
      </c>
      <c r="D186" s="6" t="str">
        <f t="shared" si="20"/>
        <v>january</v>
      </c>
      <c r="E186" s="6">
        <v>23</v>
      </c>
      <c r="F186" s="6" t="str">
        <f t="shared" si="21"/>
        <v>Night</v>
      </c>
      <c r="G186" s="6" t="b">
        <v>0</v>
      </c>
      <c r="H186" s="6">
        <f t="shared" si="22"/>
        <v>0</v>
      </c>
      <c r="I186" s="6">
        <v>6</v>
      </c>
      <c r="J186" s="6" t="str">
        <f t="shared" si="23"/>
        <v>Saturday</v>
      </c>
      <c r="K186" s="6">
        <f t="shared" si="24"/>
        <v>1</v>
      </c>
      <c r="L186" s="6">
        <v>1</v>
      </c>
      <c r="M186" s="6" t="str">
        <f t="shared" si="25"/>
        <v>Partly cloudy</v>
      </c>
      <c r="N186" s="8">
        <v>0.1</v>
      </c>
      <c r="O186" s="8">
        <v>6.0600000000000001E-2</v>
      </c>
      <c r="P186" s="8">
        <v>0.39</v>
      </c>
      <c r="Q186" s="8">
        <v>0.44779999999999998</v>
      </c>
      <c r="R186" s="6">
        <v>0</v>
      </c>
      <c r="S186" s="6">
        <v>22</v>
      </c>
      <c r="T186" s="6">
        <v>22</v>
      </c>
      <c r="U186" s="8">
        <f t="shared" si="26"/>
        <v>-0.64378142061299781</v>
      </c>
      <c r="V186" s="8" t="str">
        <f t="shared" si="27"/>
        <v>Normal</v>
      </c>
      <c r="W186" s="8">
        <f t="shared" si="28"/>
        <v>-0.65525997322023544</v>
      </c>
      <c r="X186" s="8" t="str">
        <f t="shared" si="29"/>
        <v>Normal</v>
      </c>
    </row>
    <row r="187" spans="1:24" x14ac:dyDescent="0.25">
      <c r="A187" s="6">
        <v>186</v>
      </c>
      <c r="B187" s="7">
        <v>40552</v>
      </c>
      <c r="C187" s="6">
        <v>1</v>
      </c>
      <c r="D187" s="6" t="str">
        <f t="shared" si="20"/>
        <v>january</v>
      </c>
      <c r="E187" s="6">
        <v>0</v>
      </c>
      <c r="F187" s="6" t="str">
        <f t="shared" si="21"/>
        <v>Night</v>
      </c>
      <c r="G187" s="6" t="b">
        <v>0</v>
      </c>
      <c r="H187" s="6">
        <f t="shared" si="22"/>
        <v>0</v>
      </c>
      <c r="I187" s="6">
        <v>0</v>
      </c>
      <c r="J187" s="6" t="str">
        <f t="shared" si="23"/>
        <v>Sunday</v>
      </c>
      <c r="K187" s="6">
        <f t="shared" si="24"/>
        <v>1</v>
      </c>
      <c r="L187" s="6">
        <v>1</v>
      </c>
      <c r="M187" s="6" t="str">
        <f t="shared" si="25"/>
        <v>Partly cloudy</v>
      </c>
      <c r="N187" s="8">
        <v>0.1</v>
      </c>
      <c r="O187" s="8">
        <v>7.5800000000000006E-2</v>
      </c>
      <c r="P187" s="8">
        <v>0.42</v>
      </c>
      <c r="Q187" s="8">
        <v>0.3881</v>
      </c>
      <c r="R187" s="6">
        <v>1</v>
      </c>
      <c r="S187" s="6">
        <v>24</v>
      </c>
      <c r="T187" s="6">
        <v>25</v>
      </c>
      <c r="U187" s="8">
        <f t="shared" si="26"/>
        <v>-0.51295812847461175</v>
      </c>
      <c r="V187" s="8" t="str">
        <f t="shared" si="27"/>
        <v>Normal</v>
      </c>
      <c r="W187" s="8">
        <f t="shared" si="28"/>
        <v>-0.61350106086512368</v>
      </c>
      <c r="X187" s="8" t="str">
        <f t="shared" si="29"/>
        <v>Normal</v>
      </c>
    </row>
    <row r="188" spans="1:24" x14ac:dyDescent="0.25">
      <c r="A188" s="6">
        <v>187</v>
      </c>
      <c r="B188" s="7">
        <v>40552</v>
      </c>
      <c r="C188" s="6">
        <v>1</v>
      </c>
      <c r="D188" s="6" t="str">
        <f t="shared" si="20"/>
        <v>january</v>
      </c>
      <c r="E188" s="6">
        <v>1</v>
      </c>
      <c r="F188" s="6" t="str">
        <f t="shared" si="21"/>
        <v>Night</v>
      </c>
      <c r="G188" s="6" t="b">
        <v>0</v>
      </c>
      <c r="H188" s="6">
        <f t="shared" si="22"/>
        <v>0</v>
      </c>
      <c r="I188" s="6">
        <v>0</v>
      </c>
      <c r="J188" s="6" t="str">
        <f t="shared" si="23"/>
        <v>Sunday</v>
      </c>
      <c r="K188" s="6">
        <f t="shared" si="24"/>
        <v>1</v>
      </c>
      <c r="L188" s="6">
        <v>1</v>
      </c>
      <c r="M188" s="6" t="str">
        <f t="shared" si="25"/>
        <v>Partly cloudy</v>
      </c>
      <c r="N188" s="8">
        <v>0.1</v>
      </c>
      <c r="O188" s="8">
        <v>6.0600000000000001E-2</v>
      </c>
      <c r="P188" s="8">
        <v>0.42</v>
      </c>
      <c r="Q188" s="8">
        <v>0.4627</v>
      </c>
      <c r="R188" s="6">
        <v>0</v>
      </c>
      <c r="S188" s="6">
        <v>12</v>
      </c>
      <c r="T188" s="6">
        <v>12</v>
      </c>
      <c r="U188" s="8">
        <f t="shared" si="26"/>
        <v>-0.64378142061299781</v>
      </c>
      <c r="V188" s="8" t="str">
        <f t="shared" si="27"/>
        <v>Normal</v>
      </c>
      <c r="W188" s="8">
        <f t="shared" si="28"/>
        <v>-0.86405453499579399</v>
      </c>
      <c r="X188" s="8" t="str">
        <f t="shared" si="29"/>
        <v>Normal</v>
      </c>
    </row>
    <row r="189" spans="1:24" x14ac:dyDescent="0.25">
      <c r="A189" s="6">
        <v>188</v>
      </c>
      <c r="B189" s="7">
        <v>40552</v>
      </c>
      <c r="C189" s="6">
        <v>1</v>
      </c>
      <c r="D189" s="6" t="str">
        <f t="shared" si="20"/>
        <v>january</v>
      </c>
      <c r="E189" s="6">
        <v>2</v>
      </c>
      <c r="F189" s="6" t="str">
        <f t="shared" si="21"/>
        <v>Night</v>
      </c>
      <c r="G189" s="6" t="b">
        <v>0</v>
      </c>
      <c r="H189" s="6">
        <f t="shared" si="22"/>
        <v>0</v>
      </c>
      <c r="I189" s="6">
        <v>0</v>
      </c>
      <c r="J189" s="6" t="str">
        <f t="shared" si="23"/>
        <v>Sunday</v>
      </c>
      <c r="K189" s="6">
        <f t="shared" si="24"/>
        <v>1</v>
      </c>
      <c r="L189" s="6">
        <v>1</v>
      </c>
      <c r="M189" s="6" t="str">
        <f t="shared" si="25"/>
        <v>Partly cloudy</v>
      </c>
      <c r="N189" s="8">
        <v>0.1</v>
      </c>
      <c r="O189" s="8">
        <v>6.0600000000000001E-2</v>
      </c>
      <c r="P189" s="8">
        <v>0.46</v>
      </c>
      <c r="Q189" s="8">
        <v>0.4627</v>
      </c>
      <c r="R189" s="6">
        <v>0</v>
      </c>
      <c r="S189" s="6">
        <v>11</v>
      </c>
      <c r="T189" s="6">
        <v>11</v>
      </c>
      <c r="U189" s="8">
        <f t="shared" si="26"/>
        <v>-0.64378142061299781</v>
      </c>
      <c r="V189" s="8" t="str">
        <f t="shared" si="27"/>
        <v>Normal</v>
      </c>
      <c r="W189" s="8">
        <f t="shared" si="28"/>
        <v>-0.88493399117334981</v>
      </c>
      <c r="X189" s="8" t="str">
        <f t="shared" si="29"/>
        <v>Normal</v>
      </c>
    </row>
    <row r="190" spans="1:24" x14ac:dyDescent="0.25">
      <c r="A190" s="6">
        <v>189</v>
      </c>
      <c r="B190" s="7">
        <v>40552</v>
      </c>
      <c r="C190" s="6">
        <v>1</v>
      </c>
      <c r="D190" s="6" t="str">
        <f t="shared" si="20"/>
        <v>january</v>
      </c>
      <c r="E190" s="6">
        <v>3</v>
      </c>
      <c r="F190" s="6" t="str">
        <f t="shared" si="21"/>
        <v>Night</v>
      </c>
      <c r="G190" s="6" t="b">
        <v>0</v>
      </c>
      <c r="H190" s="6">
        <f t="shared" si="22"/>
        <v>0</v>
      </c>
      <c r="I190" s="6">
        <v>0</v>
      </c>
      <c r="J190" s="6" t="str">
        <f t="shared" si="23"/>
        <v>Sunday</v>
      </c>
      <c r="K190" s="6">
        <f t="shared" si="24"/>
        <v>1</v>
      </c>
      <c r="L190" s="6">
        <v>1</v>
      </c>
      <c r="M190" s="6" t="str">
        <f t="shared" si="25"/>
        <v>Partly cloudy</v>
      </c>
      <c r="N190" s="8">
        <v>0.1</v>
      </c>
      <c r="O190" s="8">
        <v>7.5800000000000006E-2</v>
      </c>
      <c r="P190" s="8">
        <v>0.46</v>
      </c>
      <c r="Q190" s="8">
        <v>0.41789999999999999</v>
      </c>
      <c r="R190" s="6">
        <v>0</v>
      </c>
      <c r="S190" s="6">
        <v>4</v>
      </c>
      <c r="T190" s="6">
        <v>4</v>
      </c>
      <c r="U190" s="8">
        <f t="shared" si="26"/>
        <v>-0.64378142061299781</v>
      </c>
      <c r="V190" s="8" t="str">
        <f t="shared" si="27"/>
        <v>Normal</v>
      </c>
      <c r="W190" s="8">
        <f t="shared" si="28"/>
        <v>-1.0310901844162408</v>
      </c>
      <c r="X190" s="8" t="str">
        <f t="shared" si="29"/>
        <v>Normal</v>
      </c>
    </row>
    <row r="191" spans="1:24" x14ac:dyDescent="0.25">
      <c r="A191" s="6">
        <v>190</v>
      </c>
      <c r="B191" s="7">
        <v>40552</v>
      </c>
      <c r="C191" s="6">
        <v>1</v>
      </c>
      <c r="D191" s="6" t="str">
        <f t="shared" si="20"/>
        <v>january</v>
      </c>
      <c r="E191" s="6">
        <v>4</v>
      </c>
      <c r="F191" s="6" t="str">
        <f t="shared" si="21"/>
        <v>Night</v>
      </c>
      <c r="G191" s="6" t="b">
        <v>0</v>
      </c>
      <c r="H191" s="6">
        <f t="shared" si="22"/>
        <v>0</v>
      </c>
      <c r="I191" s="6">
        <v>0</v>
      </c>
      <c r="J191" s="6" t="str">
        <f t="shared" si="23"/>
        <v>Sunday</v>
      </c>
      <c r="K191" s="6">
        <f t="shared" si="24"/>
        <v>1</v>
      </c>
      <c r="L191" s="6">
        <v>1</v>
      </c>
      <c r="M191" s="6" t="str">
        <f t="shared" si="25"/>
        <v>Partly cloudy</v>
      </c>
      <c r="N191" s="8">
        <v>0.08</v>
      </c>
      <c r="O191" s="8">
        <v>9.0899999999999995E-2</v>
      </c>
      <c r="P191" s="8">
        <v>0.53</v>
      </c>
      <c r="Q191" s="8">
        <v>0.19400000000000001</v>
      </c>
      <c r="R191" s="6">
        <v>0</v>
      </c>
      <c r="S191" s="6">
        <v>1</v>
      </c>
      <c r="T191" s="6">
        <v>1</v>
      </c>
      <c r="U191" s="8">
        <f t="shared" si="26"/>
        <v>-0.64378142061299781</v>
      </c>
      <c r="V191" s="8" t="str">
        <f t="shared" si="27"/>
        <v>Normal</v>
      </c>
      <c r="W191" s="8">
        <f t="shared" si="28"/>
        <v>-1.0937285529489083</v>
      </c>
      <c r="X191" s="8" t="str">
        <f t="shared" si="29"/>
        <v>Normal</v>
      </c>
    </row>
    <row r="192" spans="1:24" x14ac:dyDescent="0.25">
      <c r="A192" s="6">
        <v>191</v>
      </c>
      <c r="B192" s="7">
        <v>40552</v>
      </c>
      <c r="C192" s="6">
        <v>1</v>
      </c>
      <c r="D192" s="6" t="str">
        <f t="shared" si="20"/>
        <v>january</v>
      </c>
      <c r="E192" s="6">
        <v>5</v>
      </c>
      <c r="F192" s="6" t="str">
        <f t="shared" si="21"/>
        <v>Early Morning</v>
      </c>
      <c r="G192" s="6" t="b">
        <v>0</v>
      </c>
      <c r="H192" s="6">
        <f t="shared" si="22"/>
        <v>0</v>
      </c>
      <c r="I192" s="6">
        <v>0</v>
      </c>
      <c r="J192" s="6" t="str">
        <f t="shared" si="23"/>
        <v>Sunday</v>
      </c>
      <c r="K192" s="6">
        <f t="shared" si="24"/>
        <v>1</v>
      </c>
      <c r="L192" s="6">
        <v>1</v>
      </c>
      <c r="M192" s="6" t="str">
        <f t="shared" si="25"/>
        <v>Partly cloudy</v>
      </c>
      <c r="N192" s="8">
        <v>0.08</v>
      </c>
      <c r="O192" s="8">
        <v>9.0899999999999995E-2</v>
      </c>
      <c r="P192" s="8">
        <v>0.53</v>
      </c>
      <c r="Q192" s="8">
        <v>0.19400000000000001</v>
      </c>
      <c r="R192" s="6">
        <v>0</v>
      </c>
      <c r="S192" s="6">
        <v>1</v>
      </c>
      <c r="T192" s="6">
        <v>1</v>
      </c>
      <c r="U192" s="8">
        <f t="shared" si="26"/>
        <v>-0.64378142061299781</v>
      </c>
      <c r="V192" s="8" t="str">
        <f t="shared" si="27"/>
        <v>Normal</v>
      </c>
      <c r="W192" s="8">
        <f t="shared" si="28"/>
        <v>-1.0937285529489083</v>
      </c>
      <c r="X192" s="8" t="str">
        <f t="shared" si="29"/>
        <v>Normal</v>
      </c>
    </row>
    <row r="193" spans="1:24" x14ac:dyDescent="0.25">
      <c r="A193" s="6">
        <v>192</v>
      </c>
      <c r="B193" s="7">
        <v>40552</v>
      </c>
      <c r="C193" s="6">
        <v>1</v>
      </c>
      <c r="D193" s="6" t="str">
        <f t="shared" si="20"/>
        <v>january</v>
      </c>
      <c r="E193" s="6">
        <v>6</v>
      </c>
      <c r="F193" s="6" t="str">
        <f t="shared" si="21"/>
        <v>Early Morning</v>
      </c>
      <c r="G193" s="6" t="b">
        <v>0</v>
      </c>
      <c r="H193" s="6">
        <f t="shared" si="22"/>
        <v>0</v>
      </c>
      <c r="I193" s="6">
        <v>0</v>
      </c>
      <c r="J193" s="6" t="str">
        <f t="shared" si="23"/>
        <v>Sunday</v>
      </c>
      <c r="K193" s="6">
        <f t="shared" si="24"/>
        <v>1</v>
      </c>
      <c r="L193" s="6">
        <v>1</v>
      </c>
      <c r="M193" s="6" t="str">
        <f t="shared" si="25"/>
        <v>Partly cloudy</v>
      </c>
      <c r="N193" s="8">
        <v>0.1</v>
      </c>
      <c r="O193" s="8">
        <v>9.0899999999999995E-2</v>
      </c>
      <c r="P193" s="8">
        <v>0.49</v>
      </c>
      <c r="Q193" s="8">
        <v>0.28360000000000002</v>
      </c>
      <c r="R193" s="6">
        <v>0</v>
      </c>
      <c r="S193" s="6">
        <v>1</v>
      </c>
      <c r="T193" s="6">
        <v>1</v>
      </c>
      <c r="U193" s="8">
        <f t="shared" si="26"/>
        <v>-0.64378142061299781</v>
      </c>
      <c r="V193" s="8" t="str">
        <f t="shared" si="27"/>
        <v>Normal</v>
      </c>
      <c r="W193" s="8">
        <f t="shared" si="28"/>
        <v>-1.0937285529489083</v>
      </c>
      <c r="X193" s="8" t="str">
        <f t="shared" si="29"/>
        <v>Normal</v>
      </c>
    </row>
    <row r="194" spans="1:24" x14ac:dyDescent="0.25">
      <c r="A194" s="6">
        <v>193</v>
      </c>
      <c r="B194" s="7">
        <v>40552</v>
      </c>
      <c r="C194" s="6">
        <v>1</v>
      </c>
      <c r="D194" s="6" t="str">
        <f t="shared" ref="D194:D257" si="30">IF(C194=1,"january",IF(C194=2,"february"))</f>
        <v>january</v>
      </c>
      <c r="E194" s="6">
        <v>7</v>
      </c>
      <c r="F194" s="6" t="str">
        <f t="shared" ref="F194:F257" si="31">IF(AND(E194&gt;=5,E194&lt;8),"Early Morning", IF(AND(E194&gt;=8,E194&lt;12),"Morning", IF(AND(E194&gt;=12,E194&lt;17),"Afternoon", IF(AND(E194&gt;=17,E194&lt;21),"Evening","Night"))))</f>
        <v>Early Morning</v>
      </c>
      <c r="G194" s="6" t="b">
        <v>0</v>
      </c>
      <c r="H194" s="6">
        <f t="shared" ref="H194:H257" si="32">IF(G194=FALSE,0,IF(G194=TRUE,1))</f>
        <v>0</v>
      </c>
      <c r="I194" s="6">
        <v>0</v>
      </c>
      <c r="J194" s="6" t="str">
        <f t="shared" ref="J194:J257" si="33">TEXT(B194,"dddd")</f>
        <v>Sunday</v>
      </c>
      <c r="K194" s="6">
        <f t="shared" ref="K194:K257" si="34">IF(OR(J194="Saturday",J194="Sunday"),1,0)</f>
        <v>1</v>
      </c>
      <c r="L194" s="6">
        <v>1</v>
      </c>
      <c r="M194" s="6" t="str">
        <f t="shared" ref="M194:M257" si="35">IF(L194=0,"clear sky",IF(L194=1,"Partly cloudy",IF(L194=2,"Cloudy",IF(L194=3,"Light rain",IF(L194=4,"Heavy rain")))))</f>
        <v>Partly cloudy</v>
      </c>
      <c r="N194" s="8">
        <v>0.08</v>
      </c>
      <c r="O194" s="8">
        <v>9.0899999999999995E-2</v>
      </c>
      <c r="P194" s="8">
        <v>0.53</v>
      </c>
      <c r="Q194" s="8">
        <v>0.19400000000000001</v>
      </c>
      <c r="R194" s="6">
        <v>1</v>
      </c>
      <c r="S194" s="6">
        <v>5</v>
      </c>
      <c r="T194" s="6">
        <v>6</v>
      </c>
      <c r="U194" s="8">
        <f t="shared" ref="U194:U257" si="36">(R194-$AA$7)/$AA$9</f>
        <v>-0.51295812847461175</v>
      </c>
      <c r="V194" s="8" t="str">
        <f t="shared" ref="V194:V257" si="37">IF(ABS(U194)&gt;2,"Peak","Normal")</f>
        <v>Normal</v>
      </c>
      <c r="W194" s="8">
        <f t="shared" ref="W194:W257" si="38">(S194-$AA$11)/$AA$13</f>
        <v>-1.010210728238685</v>
      </c>
      <c r="X194" s="8" t="str">
        <f t="shared" ref="X194:X257" si="39">IF(ABS(W194)&gt;2,"Peak","Normal")</f>
        <v>Normal</v>
      </c>
    </row>
    <row r="195" spans="1:24" x14ac:dyDescent="0.25">
      <c r="A195" s="6">
        <v>194</v>
      </c>
      <c r="B195" s="7">
        <v>40552</v>
      </c>
      <c r="C195" s="6">
        <v>1</v>
      </c>
      <c r="D195" s="6" t="str">
        <f t="shared" si="30"/>
        <v>january</v>
      </c>
      <c r="E195" s="6">
        <v>8</v>
      </c>
      <c r="F195" s="6" t="str">
        <f t="shared" si="31"/>
        <v>Morning</v>
      </c>
      <c r="G195" s="6" t="b">
        <v>0</v>
      </c>
      <c r="H195" s="6">
        <f t="shared" si="32"/>
        <v>0</v>
      </c>
      <c r="I195" s="6">
        <v>0</v>
      </c>
      <c r="J195" s="6" t="str">
        <f t="shared" si="33"/>
        <v>Sunday</v>
      </c>
      <c r="K195" s="6">
        <f t="shared" si="34"/>
        <v>1</v>
      </c>
      <c r="L195" s="6">
        <v>1</v>
      </c>
      <c r="M195" s="6" t="str">
        <f t="shared" si="35"/>
        <v>Partly cloudy</v>
      </c>
      <c r="N195" s="8">
        <v>0.1</v>
      </c>
      <c r="O195" s="8">
        <v>9.0899999999999995E-2</v>
      </c>
      <c r="P195" s="8">
        <v>0.49</v>
      </c>
      <c r="Q195" s="8">
        <v>0.28360000000000002</v>
      </c>
      <c r="R195" s="6">
        <v>0</v>
      </c>
      <c r="S195" s="6">
        <v>10</v>
      </c>
      <c r="T195" s="6">
        <v>10</v>
      </c>
      <c r="U195" s="8">
        <f t="shared" si="36"/>
        <v>-0.64378142061299781</v>
      </c>
      <c r="V195" s="8" t="str">
        <f t="shared" si="37"/>
        <v>Normal</v>
      </c>
      <c r="W195" s="8">
        <f t="shared" si="38"/>
        <v>-0.90581344735090563</v>
      </c>
      <c r="X195" s="8" t="str">
        <f t="shared" si="39"/>
        <v>Normal</v>
      </c>
    </row>
    <row r="196" spans="1:24" x14ac:dyDescent="0.25">
      <c r="A196" s="6">
        <v>195</v>
      </c>
      <c r="B196" s="7">
        <v>40552</v>
      </c>
      <c r="C196" s="6">
        <v>1</v>
      </c>
      <c r="D196" s="6" t="str">
        <f t="shared" si="30"/>
        <v>january</v>
      </c>
      <c r="E196" s="6">
        <v>9</v>
      </c>
      <c r="F196" s="6" t="str">
        <f t="shared" si="31"/>
        <v>Morning</v>
      </c>
      <c r="G196" s="6" t="b">
        <v>0</v>
      </c>
      <c r="H196" s="6">
        <f t="shared" si="32"/>
        <v>0</v>
      </c>
      <c r="I196" s="6">
        <v>0</v>
      </c>
      <c r="J196" s="6" t="str">
        <f t="shared" si="33"/>
        <v>Sunday</v>
      </c>
      <c r="K196" s="6">
        <f t="shared" si="34"/>
        <v>1</v>
      </c>
      <c r="L196" s="6">
        <v>1</v>
      </c>
      <c r="M196" s="6" t="str">
        <f t="shared" si="35"/>
        <v>Partly cloudy</v>
      </c>
      <c r="N196" s="8">
        <v>0.12</v>
      </c>
      <c r="O196" s="8">
        <v>7.5800000000000006E-2</v>
      </c>
      <c r="P196" s="8">
        <v>0.46</v>
      </c>
      <c r="Q196" s="8">
        <v>0.52239999999999998</v>
      </c>
      <c r="R196" s="6">
        <v>0</v>
      </c>
      <c r="S196" s="6">
        <v>19</v>
      </c>
      <c r="T196" s="6">
        <v>19</v>
      </c>
      <c r="U196" s="8">
        <f t="shared" si="36"/>
        <v>-0.64378142061299781</v>
      </c>
      <c r="V196" s="8" t="str">
        <f t="shared" si="37"/>
        <v>Normal</v>
      </c>
      <c r="W196" s="8">
        <f t="shared" si="38"/>
        <v>-0.71789834175290301</v>
      </c>
      <c r="X196" s="8" t="str">
        <f t="shared" si="39"/>
        <v>Normal</v>
      </c>
    </row>
    <row r="197" spans="1:24" x14ac:dyDescent="0.25">
      <c r="A197" s="6">
        <v>196</v>
      </c>
      <c r="B197" s="7">
        <v>40552</v>
      </c>
      <c r="C197" s="6">
        <v>1</v>
      </c>
      <c r="D197" s="6" t="str">
        <f t="shared" si="30"/>
        <v>january</v>
      </c>
      <c r="E197" s="6">
        <v>10</v>
      </c>
      <c r="F197" s="6" t="str">
        <f t="shared" si="31"/>
        <v>Morning</v>
      </c>
      <c r="G197" s="6" t="b">
        <v>0</v>
      </c>
      <c r="H197" s="6">
        <f t="shared" si="32"/>
        <v>0</v>
      </c>
      <c r="I197" s="6">
        <v>0</v>
      </c>
      <c r="J197" s="6" t="str">
        <f t="shared" si="33"/>
        <v>Sunday</v>
      </c>
      <c r="K197" s="6">
        <f t="shared" si="34"/>
        <v>1</v>
      </c>
      <c r="L197" s="6">
        <v>1</v>
      </c>
      <c r="M197" s="6" t="str">
        <f t="shared" si="35"/>
        <v>Partly cloudy</v>
      </c>
      <c r="N197" s="8">
        <v>0.14000000000000001</v>
      </c>
      <c r="O197" s="8">
        <v>0.1061</v>
      </c>
      <c r="P197" s="8">
        <v>0.43</v>
      </c>
      <c r="Q197" s="8">
        <v>0.3881</v>
      </c>
      <c r="R197" s="6">
        <v>0</v>
      </c>
      <c r="S197" s="6">
        <v>49</v>
      </c>
      <c r="T197" s="6">
        <v>49</v>
      </c>
      <c r="U197" s="8">
        <f t="shared" si="36"/>
        <v>-0.64378142061299781</v>
      </c>
      <c r="V197" s="8" t="str">
        <f t="shared" si="37"/>
        <v>Normal</v>
      </c>
      <c r="W197" s="8">
        <f t="shared" si="38"/>
        <v>-9.1514656426227359E-2</v>
      </c>
      <c r="X197" s="8" t="str">
        <f t="shared" si="39"/>
        <v>Normal</v>
      </c>
    </row>
    <row r="198" spans="1:24" x14ac:dyDescent="0.25">
      <c r="A198" s="6">
        <v>197</v>
      </c>
      <c r="B198" s="7">
        <v>40552</v>
      </c>
      <c r="C198" s="6">
        <v>1</v>
      </c>
      <c r="D198" s="6" t="str">
        <f t="shared" si="30"/>
        <v>january</v>
      </c>
      <c r="E198" s="6">
        <v>11</v>
      </c>
      <c r="F198" s="6" t="str">
        <f t="shared" si="31"/>
        <v>Morning</v>
      </c>
      <c r="G198" s="6" t="b">
        <v>0</v>
      </c>
      <c r="H198" s="6">
        <f t="shared" si="32"/>
        <v>0</v>
      </c>
      <c r="I198" s="6">
        <v>0</v>
      </c>
      <c r="J198" s="6" t="str">
        <f t="shared" si="33"/>
        <v>Sunday</v>
      </c>
      <c r="K198" s="6">
        <f t="shared" si="34"/>
        <v>1</v>
      </c>
      <c r="L198" s="6">
        <v>1</v>
      </c>
      <c r="M198" s="6" t="str">
        <f t="shared" si="35"/>
        <v>Partly cloudy</v>
      </c>
      <c r="N198" s="8">
        <v>0.16</v>
      </c>
      <c r="O198" s="8">
        <v>0.1212</v>
      </c>
      <c r="P198" s="8">
        <v>0.4</v>
      </c>
      <c r="Q198" s="8">
        <v>0.52239999999999998</v>
      </c>
      <c r="R198" s="6">
        <v>2</v>
      </c>
      <c r="S198" s="6">
        <v>47</v>
      </c>
      <c r="T198" s="6">
        <v>49</v>
      </c>
      <c r="U198" s="8">
        <f t="shared" si="36"/>
        <v>-0.38213483633622569</v>
      </c>
      <c r="V198" s="8" t="str">
        <f t="shared" si="37"/>
        <v>Normal</v>
      </c>
      <c r="W198" s="8">
        <f t="shared" si="38"/>
        <v>-0.13327356878133906</v>
      </c>
      <c r="X198" s="8" t="str">
        <f t="shared" si="39"/>
        <v>Normal</v>
      </c>
    </row>
    <row r="199" spans="1:24" x14ac:dyDescent="0.25">
      <c r="A199" s="6">
        <v>198</v>
      </c>
      <c r="B199" s="7">
        <v>40552</v>
      </c>
      <c r="C199" s="6">
        <v>1</v>
      </c>
      <c r="D199" s="6" t="str">
        <f t="shared" si="30"/>
        <v>january</v>
      </c>
      <c r="E199" s="6">
        <v>12</v>
      </c>
      <c r="F199" s="6" t="str">
        <f t="shared" si="31"/>
        <v>Afternoon</v>
      </c>
      <c r="G199" s="6" t="b">
        <v>0</v>
      </c>
      <c r="H199" s="6">
        <f t="shared" si="32"/>
        <v>0</v>
      </c>
      <c r="I199" s="6">
        <v>0</v>
      </c>
      <c r="J199" s="6" t="str">
        <f t="shared" si="33"/>
        <v>Sunday</v>
      </c>
      <c r="K199" s="6">
        <f t="shared" si="34"/>
        <v>1</v>
      </c>
      <c r="L199" s="6">
        <v>1</v>
      </c>
      <c r="M199" s="6" t="str">
        <f t="shared" si="35"/>
        <v>Partly cloudy</v>
      </c>
      <c r="N199" s="8">
        <v>0.18</v>
      </c>
      <c r="O199" s="8">
        <v>0.13639999999999999</v>
      </c>
      <c r="P199" s="8">
        <v>0.37</v>
      </c>
      <c r="Q199" s="8">
        <v>0.44779999999999998</v>
      </c>
      <c r="R199" s="6">
        <v>4</v>
      </c>
      <c r="S199" s="6">
        <v>79</v>
      </c>
      <c r="T199" s="6">
        <v>83</v>
      </c>
      <c r="U199" s="8">
        <f t="shared" si="36"/>
        <v>-0.1204882520594536</v>
      </c>
      <c r="V199" s="8" t="str">
        <f t="shared" si="37"/>
        <v>Normal</v>
      </c>
      <c r="W199" s="8">
        <f t="shared" si="38"/>
        <v>0.5348690289004483</v>
      </c>
      <c r="X199" s="8" t="str">
        <f t="shared" si="39"/>
        <v>Normal</v>
      </c>
    </row>
    <row r="200" spans="1:24" x14ac:dyDescent="0.25">
      <c r="A200" s="6">
        <v>199</v>
      </c>
      <c r="B200" s="7">
        <v>40552</v>
      </c>
      <c r="C200" s="6">
        <v>1</v>
      </c>
      <c r="D200" s="6" t="str">
        <f t="shared" si="30"/>
        <v>january</v>
      </c>
      <c r="E200" s="6">
        <v>13</v>
      </c>
      <c r="F200" s="6" t="str">
        <f t="shared" si="31"/>
        <v>Afternoon</v>
      </c>
      <c r="G200" s="6" t="b">
        <v>0</v>
      </c>
      <c r="H200" s="6">
        <f t="shared" si="32"/>
        <v>0</v>
      </c>
      <c r="I200" s="6">
        <v>0</v>
      </c>
      <c r="J200" s="6" t="str">
        <f t="shared" si="33"/>
        <v>Sunday</v>
      </c>
      <c r="K200" s="6">
        <f t="shared" si="34"/>
        <v>1</v>
      </c>
      <c r="L200" s="6">
        <v>1</v>
      </c>
      <c r="M200" s="6" t="str">
        <f t="shared" si="35"/>
        <v>Partly cloudy</v>
      </c>
      <c r="N200" s="8">
        <v>0.2</v>
      </c>
      <c r="O200" s="8">
        <v>0.16669999999999999</v>
      </c>
      <c r="P200" s="8">
        <v>0.34</v>
      </c>
      <c r="Q200" s="8">
        <v>0.44779999999999998</v>
      </c>
      <c r="R200" s="6">
        <v>6</v>
      </c>
      <c r="S200" s="6">
        <v>69</v>
      </c>
      <c r="T200" s="6">
        <v>75</v>
      </c>
      <c r="U200" s="8">
        <f t="shared" si="36"/>
        <v>0.14115833221731852</v>
      </c>
      <c r="V200" s="8" t="str">
        <f t="shared" si="37"/>
        <v>Normal</v>
      </c>
      <c r="W200" s="8">
        <f t="shared" si="38"/>
        <v>0.32607446712488969</v>
      </c>
      <c r="X200" s="8" t="str">
        <f t="shared" si="39"/>
        <v>Normal</v>
      </c>
    </row>
    <row r="201" spans="1:24" x14ac:dyDescent="0.25">
      <c r="A201" s="6">
        <v>200</v>
      </c>
      <c r="B201" s="7">
        <v>40552</v>
      </c>
      <c r="C201" s="6">
        <v>1</v>
      </c>
      <c r="D201" s="6" t="str">
        <f t="shared" si="30"/>
        <v>january</v>
      </c>
      <c r="E201" s="6">
        <v>14</v>
      </c>
      <c r="F201" s="6" t="str">
        <f t="shared" si="31"/>
        <v>Afternoon</v>
      </c>
      <c r="G201" s="6" t="b">
        <v>0</v>
      </c>
      <c r="H201" s="6">
        <f t="shared" si="32"/>
        <v>0</v>
      </c>
      <c r="I201" s="6">
        <v>0</v>
      </c>
      <c r="J201" s="6" t="str">
        <f t="shared" si="33"/>
        <v>Sunday</v>
      </c>
      <c r="K201" s="6">
        <f t="shared" si="34"/>
        <v>1</v>
      </c>
      <c r="L201" s="6">
        <v>1</v>
      </c>
      <c r="M201" s="6" t="str">
        <f t="shared" si="35"/>
        <v>Partly cloudy</v>
      </c>
      <c r="N201" s="8">
        <v>0.22</v>
      </c>
      <c r="O201" s="8">
        <v>0.18179999999999999</v>
      </c>
      <c r="P201" s="8">
        <v>0.32</v>
      </c>
      <c r="Q201" s="8">
        <v>0.4627</v>
      </c>
      <c r="R201" s="6">
        <v>8</v>
      </c>
      <c r="S201" s="6">
        <v>64</v>
      </c>
      <c r="T201" s="6">
        <v>72</v>
      </c>
      <c r="U201" s="8">
        <f t="shared" si="36"/>
        <v>0.40280491649409061</v>
      </c>
      <c r="V201" s="8" t="str">
        <f t="shared" si="37"/>
        <v>Normal</v>
      </c>
      <c r="W201" s="8">
        <f t="shared" si="38"/>
        <v>0.22167718623711044</v>
      </c>
      <c r="X201" s="8" t="str">
        <f t="shared" si="39"/>
        <v>Normal</v>
      </c>
    </row>
    <row r="202" spans="1:24" x14ac:dyDescent="0.25">
      <c r="A202" s="6">
        <v>201</v>
      </c>
      <c r="B202" s="7">
        <v>40552</v>
      </c>
      <c r="C202" s="6">
        <v>1</v>
      </c>
      <c r="D202" s="6" t="str">
        <f t="shared" si="30"/>
        <v>january</v>
      </c>
      <c r="E202" s="6">
        <v>15</v>
      </c>
      <c r="F202" s="6" t="str">
        <f t="shared" si="31"/>
        <v>Afternoon</v>
      </c>
      <c r="G202" s="6" t="b">
        <v>0</v>
      </c>
      <c r="H202" s="6">
        <f t="shared" si="32"/>
        <v>0</v>
      </c>
      <c r="I202" s="6">
        <v>0</v>
      </c>
      <c r="J202" s="6" t="str">
        <f t="shared" si="33"/>
        <v>Sunday</v>
      </c>
      <c r="K202" s="6">
        <f t="shared" si="34"/>
        <v>1</v>
      </c>
      <c r="L202" s="6">
        <v>1</v>
      </c>
      <c r="M202" s="6" t="str">
        <f t="shared" si="35"/>
        <v>Partly cloudy</v>
      </c>
      <c r="N202" s="8">
        <v>0.22</v>
      </c>
      <c r="O202" s="8">
        <v>0.19700000000000001</v>
      </c>
      <c r="P202" s="8">
        <v>0.35</v>
      </c>
      <c r="Q202" s="8">
        <v>0.35820000000000002</v>
      </c>
      <c r="R202" s="6">
        <v>5</v>
      </c>
      <c r="S202" s="6">
        <v>77</v>
      </c>
      <c r="T202" s="6">
        <v>82</v>
      </c>
      <c r="U202" s="8">
        <f t="shared" si="36"/>
        <v>1.0335040078932463E-2</v>
      </c>
      <c r="V202" s="8" t="str">
        <f t="shared" si="37"/>
        <v>Normal</v>
      </c>
      <c r="W202" s="8">
        <f t="shared" si="38"/>
        <v>0.49311011654533654</v>
      </c>
      <c r="X202" s="8" t="str">
        <f t="shared" si="39"/>
        <v>Normal</v>
      </c>
    </row>
    <row r="203" spans="1:24" x14ac:dyDescent="0.25">
      <c r="A203" s="6">
        <v>202</v>
      </c>
      <c r="B203" s="7">
        <v>40552</v>
      </c>
      <c r="C203" s="6">
        <v>1</v>
      </c>
      <c r="D203" s="6" t="str">
        <f t="shared" si="30"/>
        <v>january</v>
      </c>
      <c r="E203" s="6">
        <v>16</v>
      </c>
      <c r="F203" s="6" t="str">
        <f t="shared" si="31"/>
        <v>Afternoon</v>
      </c>
      <c r="G203" s="6" t="b">
        <v>0</v>
      </c>
      <c r="H203" s="6">
        <f t="shared" si="32"/>
        <v>0</v>
      </c>
      <c r="I203" s="6">
        <v>0</v>
      </c>
      <c r="J203" s="6" t="str">
        <f t="shared" si="33"/>
        <v>Sunday</v>
      </c>
      <c r="K203" s="6">
        <f t="shared" si="34"/>
        <v>1</v>
      </c>
      <c r="L203" s="6">
        <v>1</v>
      </c>
      <c r="M203" s="6" t="str">
        <f t="shared" si="35"/>
        <v>Partly cloudy</v>
      </c>
      <c r="N203" s="8">
        <v>0.2</v>
      </c>
      <c r="O203" s="8">
        <v>0.16669999999999999</v>
      </c>
      <c r="P203" s="8">
        <v>0.34</v>
      </c>
      <c r="Q203" s="8">
        <v>0.44779999999999998</v>
      </c>
      <c r="R203" s="6">
        <v>13</v>
      </c>
      <c r="S203" s="6">
        <v>79</v>
      </c>
      <c r="T203" s="6">
        <v>92</v>
      </c>
      <c r="U203" s="8">
        <f t="shared" si="36"/>
        <v>1.0569213771860211</v>
      </c>
      <c r="V203" s="8" t="str">
        <f t="shared" si="37"/>
        <v>Normal</v>
      </c>
      <c r="W203" s="8">
        <f t="shared" si="38"/>
        <v>0.5348690289004483</v>
      </c>
      <c r="X203" s="8" t="str">
        <f t="shared" si="39"/>
        <v>Normal</v>
      </c>
    </row>
    <row r="204" spans="1:24" x14ac:dyDescent="0.25">
      <c r="A204" s="6">
        <v>203</v>
      </c>
      <c r="B204" s="7">
        <v>40552</v>
      </c>
      <c r="C204" s="6">
        <v>1</v>
      </c>
      <c r="D204" s="6" t="str">
        <f t="shared" si="30"/>
        <v>january</v>
      </c>
      <c r="E204" s="6">
        <v>17</v>
      </c>
      <c r="F204" s="6" t="str">
        <f t="shared" si="31"/>
        <v>Evening</v>
      </c>
      <c r="G204" s="6" t="b">
        <v>0</v>
      </c>
      <c r="H204" s="6">
        <f t="shared" si="32"/>
        <v>0</v>
      </c>
      <c r="I204" s="6">
        <v>0</v>
      </c>
      <c r="J204" s="6" t="str">
        <f t="shared" si="33"/>
        <v>Sunday</v>
      </c>
      <c r="K204" s="6">
        <f t="shared" si="34"/>
        <v>1</v>
      </c>
      <c r="L204" s="6">
        <v>1</v>
      </c>
      <c r="M204" s="6" t="str">
        <f t="shared" si="35"/>
        <v>Partly cloudy</v>
      </c>
      <c r="N204" s="8">
        <v>0.18</v>
      </c>
      <c r="O204" s="8">
        <v>0.1515</v>
      </c>
      <c r="P204" s="8">
        <v>0.37</v>
      </c>
      <c r="Q204" s="8">
        <v>0.3881</v>
      </c>
      <c r="R204" s="6">
        <v>3</v>
      </c>
      <c r="S204" s="6">
        <v>59</v>
      </c>
      <c r="T204" s="6">
        <v>62</v>
      </c>
      <c r="U204" s="8">
        <f t="shared" si="36"/>
        <v>-0.25131154419783963</v>
      </c>
      <c r="V204" s="8" t="str">
        <f t="shared" si="37"/>
        <v>Normal</v>
      </c>
      <c r="W204" s="8">
        <f t="shared" si="38"/>
        <v>0.11727990534933118</v>
      </c>
      <c r="X204" s="8" t="str">
        <f t="shared" si="39"/>
        <v>Normal</v>
      </c>
    </row>
    <row r="205" spans="1:24" x14ac:dyDescent="0.25">
      <c r="A205" s="6">
        <v>204</v>
      </c>
      <c r="B205" s="7">
        <v>40552</v>
      </c>
      <c r="C205" s="6">
        <v>1</v>
      </c>
      <c r="D205" s="6" t="str">
        <f t="shared" si="30"/>
        <v>january</v>
      </c>
      <c r="E205" s="6">
        <v>18</v>
      </c>
      <c r="F205" s="6" t="str">
        <f t="shared" si="31"/>
        <v>Evening</v>
      </c>
      <c r="G205" s="6" t="b">
        <v>0</v>
      </c>
      <c r="H205" s="6">
        <f t="shared" si="32"/>
        <v>0</v>
      </c>
      <c r="I205" s="6">
        <v>0</v>
      </c>
      <c r="J205" s="6" t="str">
        <f t="shared" si="33"/>
        <v>Sunday</v>
      </c>
      <c r="K205" s="6">
        <f t="shared" si="34"/>
        <v>1</v>
      </c>
      <c r="L205" s="6">
        <v>1</v>
      </c>
      <c r="M205" s="6" t="str">
        <f t="shared" si="35"/>
        <v>Partly cloudy</v>
      </c>
      <c r="N205" s="8">
        <v>0.16</v>
      </c>
      <c r="O205" s="8">
        <v>0.13639999999999999</v>
      </c>
      <c r="P205" s="8">
        <v>0.4</v>
      </c>
      <c r="Q205" s="8">
        <v>0.32840000000000003</v>
      </c>
      <c r="R205" s="6">
        <v>4</v>
      </c>
      <c r="S205" s="6">
        <v>44</v>
      </c>
      <c r="T205" s="6">
        <v>48</v>
      </c>
      <c r="U205" s="8">
        <f t="shared" si="36"/>
        <v>-0.1204882520594536</v>
      </c>
      <c r="V205" s="8" t="str">
        <f t="shared" si="37"/>
        <v>Normal</v>
      </c>
      <c r="W205" s="8">
        <f t="shared" si="38"/>
        <v>-0.19591193731400663</v>
      </c>
      <c r="X205" s="8" t="str">
        <f t="shared" si="39"/>
        <v>Normal</v>
      </c>
    </row>
    <row r="206" spans="1:24" x14ac:dyDescent="0.25">
      <c r="A206" s="6">
        <v>205</v>
      </c>
      <c r="B206" s="7">
        <v>40552</v>
      </c>
      <c r="C206" s="6">
        <v>1</v>
      </c>
      <c r="D206" s="6" t="str">
        <f t="shared" si="30"/>
        <v>january</v>
      </c>
      <c r="E206" s="6">
        <v>19</v>
      </c>
      <c r="F206" s="6" t="str">
        <f t="shared" si="31"/>
        <v>Evening</v>
      </c>
      <c r="G206" s="6" t="b">
        <v>0</v>
      </c>
      <c r="H206" s="6">
        <f t="shared" si="32"/>
        <v>0</v>
      </c>
      <c r="I206" s="6">
        <v>0</v>
      </c>
      <c r="J206" s="6" t="str">
        <f t="shared" si="33"/>
        <v>Sunday</v>
      </c>
      <c r="K206" s="6">
        <f t="shared" si="34"/>
        <v>1</v>
      </c>
      <c r="L206" s="6">
        <v>1</v>
      </c>
      <c r="M206" s="6" t="str">
        <f t="shared" si="35"/>
        <v>Partly cloudy</v>
      </c>
      <c r="N206" s="8">
        <v>0.16</v>
      </c>
      <c r="O206" s="8">
        <v>0.13639999999999999</v>
      </c>
      <c r="P206" s="8">
        <v>0.43</v>
      </c>
      <c r="Q206" s="8">
        <v>0.32840000000000003</v>
      </c>
      <c r="R206" s="6">
        <v>1</v>
      </c>
      <c r="S206" s="6">
        <v>40</v>
      </c>
      <c r="T206" s="6">
        <v>41</v>
      </c>
      <c r="U206" s="8">
        <f t="shared" si="36"/>
        <v>-0.51295812847461175</v>
      </c>
      <c r="V206" s="8" t="str">
        <f t="shared" si="37"/>
        <v>Normal</v>
      </c>
      <c r="W206" s="8">
        <f t="shared" si="38"/>
        <v>-0.27942976202423003</v>
      </c>
      <c r="X206" s="8" t="str">
        <f t="shared" si="39"/>
        <v>Normal</v>
      </c>
    </row>
    <row r="207" spans="1:24" x14ac:dyDescent="0.25">
      <c r="A207" s="6">
        <v>206</v>
      </c>
      <c r="B207" s="7">
        <v>40552</v>
      </c>
      <c r="C207" s="6">
        <v>1</v>
      </c>
      <c r="D207" s="6" t="str">
        <f t="shared" si="30"/>
        <v>january</v>
      </c>
      <c r="E207" s="6">
        <v>20</v>
      </c>
      <c r="F207" s="6" t="str">
        <f t="shared" si="31"/>
        <v>Evening</v>
      </c>
      <c r="G207" s="6" t="b">
        <v>0</v>
      </c>
      <c r="H207" s="6">
        <f t="shared" si="32"/>
        <v>0</v>
      </c>
      <c r="I207" s="6">
        <v>0</v>
      </c>
      <c r="J207" s="6" t="str">
        <f t="shared" si="33"/>
        <v>Sunday</v>
      </c>
      <c r="K207" s="6">
        <f t="shared" si="34"/>
        <v>1</v>
      </c>
      <c r="L207" s="6">
        <v>1</v>
      </c>
      <c r="M207" s="6" t="str">
        <f t="shared" si="35"/>
        <v>Partly cloudy</v>
      </c>
      <c r="N207" s="8">
        <v>0.14000000000000001</v>
      </c>
      <c r="O207" s="8">
        <v>0.1212</v>
      </c>
      <c r="P207" s="8">
        <v>0.46</v>
      </c>
      <c r="Q207" s="8">
        <v>0.25369999999999998</v>
      </c>
      <c r="R207" s="6">
        <v>0</v>
      </c>
      <c r="S207" s="6">
        <v>38</v>
      </c>
      <c r="T207" s="6">
        <v>38</v>
      </c>
      <c r="U207" s="8">
        <f t="shared" si="36"/>
        <v>-0.64378142061299781</v>
      </c>
      <c r="V207" s="8" t="str">
        <f t="shared" si="37"/>
        <v>Normal</v>
      </c>
      <c r="W207" s="8">
        <f t="shared" si="38"/>
        <v>-0.32118867437934173</v>
      </c>
      <c r="X207" s="8" t="str">
        <f t="shared" si="39"/>
        <v>Normal</v>
      </c>
    </row>
    <row r="208" spans="1:24" x14ac:dyDescent="0.25">
      <c r="A208" s="6">
        <v>207</v>
      </c>
      <c r="B208" s="7">
        <v>40552</v>
      </c>
      <c r="C208" s="6">
        <v>1</v>
      </c>
      <c r="D208" s="6" t="str">
        <f t="shared" si="30"/>
        <v>january</v>
      </c>
      <c r="E208" s="6">
        <v>21</v>
      </c>
      <c r="F208" s="6" t="str">
        <f t="shared" si="31"/>
        <v>Night</v>
      </c>
      <c r="G208" s="6" t="b">
        <v>0</v>
      </c>
      <c r="H208" s="6">
        <f t="shared" si="32"/>
        <v>0</v>
      </c>
      <c r="I208" s="6">
        <v>0</v>
      </c>
      <c r="J208" s="6" t="str">
        <f t="shared" si="33"/>
        <v>Sunday</v>
      </c>
      <c r="K208" s="6">
        <f t="shared" si="34"/>
        <v>1</v>
      </c>
      <c r="L208" s="6">
        <v>1</v>
      </c>
      <c r="M208" s="6" t="str">
        <f t="shared" si="35"/>
        <v>Partly cloudy</v>
      </c>
      <c r="N208" s="8">
        <v>0.14000000000000001</v>
      </c>
      <c r="O208" s="8">
        <v>0.1061</v>
      </c>
      <c r="P208" s="8">
        <v>0.46</v>
      </c>
      <c r="Q208" s="8">
        <v>0.41789999999999999</v>
      </c>
      <c r="R208" s="6">
        <v>1</v>
      </c>
      <c r="S208" s="6">
        <v>19</v>
      </c>
      <c r="T208" s="6">
        <v>20</v>
      </c>
      <c r="U208" s="8">
        <f t="shared" si="36"/>
        <v>-0.51295812847461175</v>
      </c>
      <c r="V208" s="8" t="str">
        <f t="shared" si="37"/>
        <v>Normal</v>
      </c>
      <c r="W208" s="8">
        <f t="shared" si="38"/>
        <v>-0.71789834175290301</v>
      </c>
      <c r="X208" s="8" t="str">
        <f t="shared" si="39"/>
        <v>Normal</v>
      </c>
    </row>
    <row r="209" spans="1:24" x14ac:dyDescent="0.25">
      <c r="A209" s="6">
        <v>208</v>
      </c>
      <c r="B209" s="7">
        <v>40552</v>
      </c>
      <c r="C209" s="6">
        <v>1</v>
      </c>
      <c r="D209" s="6" t="str">
        <f t="shared" si="30"/>
        <v>january</v>
      </c>
      <c r="E209" s="6">
        <v>22</v>
      </c>
      <c r="F209" s="6" t="str">
        <f t="shared" si="31"/>
        <v>Night</v>
      </c>
      <c r="G209" s="6" t="b">
        <v>0</v>
      </c>
      <c r="H209" s="6">
        <f t="shared" si="32"/>
        <v>0</v>
      </c>
      <c r="I209" s="6">
        <v>0</v>
      </c>
      <c r="J209" s="6" t="str">
        <f t="shared" si="33"/>
        <v>Sunday</v>
      </c>
      <c r="K209" s="6">
        <f t="shared" si="34"/>
        <v>1</v>
      </c>
      <c r="L209" s="6">
        <v>1</v>
      </c>
      <c r="M209" s="6" t="str">
        <f t="shared" si="35"/>
        <v>Partly cloudy</v>
      </c>
      <c r="N209" s="8">
        <v>0.14000000000000001</v>
      </c>
      <c r="O209" s="8">
        <v>0.1212</v>
      </c>
      <c r="P209" s="8">
        <v>0.46</v>
      </c>
      <c r="Q209" s="8">
        <v>0.29849999999999999</v>
      </c>
      <c r="R209" s="6">
        <v>5</v>
      </c>
      <c r="S209" s="6">
        <v>10</v>
      </c>
      <c r="T209" s="6">
        <v>15</v>
      </c>
      <c r="U209" s="8">
        <f t="shared" si="36"/>
        <v>1.0335040078932463E-2</v>
      </c>
      <c r="V209" s="8" t="str">
        <f t="shared" si="37"/>
        <v>Normal</v>
      </c>
      <c r="W209" s="8">
        <f t="shared" si="38"/>
        <v>-0.90581344735090563</v>
      </c>
      <c r="X209" s="8" t="str">
        <f t="shared" si="39"/>
        <v>Normal</v>
      </c>
    </row>
    <row r="210" spans="1:24" x14ac:dyDescent="0.25">
      <c r="A210" s="6">
        <v>209</v>
      </c>
      <c r="B210" s="7">
        <v>40552</v>
      </c>
      <c r="C210" s="6">
        <v>1</v>
      </c>
      <c r="D210" s="6" t="str">
        <f t="shared" si="30"/>
        <v>january</v>
      </c>
      <c r="E210" s="6">
        <v>23</v>
      </c>
      <c r="F210" s="6" t="str">
        <f t="shared" si="31"/>
        <v>Night</v>
      </c>
      <c r="G210" s="6" t="b">
        <v>0</v>
      </c>
      <c r="H210" s="6">
        <f t="shared" si="32"/>
        <v>0</v>
      </c>
      <c r="I210" s="6">
        <v>0</v>
      </c>
      <c r="J210" s="6" t="str">
        <f t="shared" si="33"/>
        <v>Sunday</v>
      </c>
      <c r="K210" s="6">
        <f t="shared" si="34"/>
        <v>1</v>
      </c>
      <c r="L210" s="6">
        <v>1</v>
      </c>
      <c r="M210" s="6" t="str">
        <f t="shared" si="35"/>
        <v>Partly cloudy</v>
      </c>
      <c r="N210" s="8">
        <v>0.12</v>
      </c>
      <c r="O210" s="8">
        <v>0.13639999999999999</v>
      </c>
      <c r="P210" s="8">
        <v>0.5</v>
      </c>
      <c r="Q210" s="8">
        <v>0.19400000000000001</v>
      </c>
      <c r="R210" s="6">
        <v>0</v>
      </c>
      <c r="S210" s="6">
        <v>6</v>
      </c>
      <c r="T210" s="6">
        <v>6</v>
      </c>
      <c r="U210" s="8">
        <f t="shared" si="36"/>
        <v>-0.64378142061299781</v>
      </c>
      <c r="V210" s="8" t="str">
        <f t="shared" si="37"/>
        <v>Normal</v>
      </c>
      <c r="W210" s="8">
        <f t="shared" si="38"/>
        <v>-0.98933127206112903</v>
      </c>
      <c r="X210" s="8" t="str">
        <f t="shared" si="39"/>
        <v>Normal</v>
      </c>
    </row>
    <row r="211" spans="1:24" x14ac:dyDescent="0.25">
      <c r="A211" s="6">
        <v>210</v>
      </c>
      <c r="B211" s="7">
        <v>40553</v>
      </c>
      <c r="C211" s="6">
        <v>1</v>
      </c>
      <c r="D211" s="6" t="str">
        <f t="shared" si="30"/>
        <v>january</v>
      </c>
      <c r="E211" s="6">
        <v>0</v>
      </c>
      <c r="F211" s="6" t="str">
        <f t="shared" si="31"/>
        <v>Night</v>
      </c>
      <c r="G211" s="6" t="b">
        <v>0</v>
      </c>
      <c r="H211" s="6">
        <f t="shared" si="32"/>
        <v>0</v>
      </c>
      <c r="I211" s="6">
        <v>1</v>
      </c>
      <c r="J211" s="6" t="str">
        <f t="shared" si="33"/>
        <v>Monday</v>
      </c>
      <c r="K211" s="6">
        <f t="shared" si="34"/>
        <v>0</v>
      </c>
      <c r="L211" s="6">
        <v>1</v>
      </c>
      <c r="M211" s="6" t="str">
        <f t="shared" si="35"/>
        <v>Partly cloudy</v>
      </c>
      <c r="N211" s="8">
        <v>0.12</v>
      </c>
      <c r="O211" s="8">
        <v>0.1212</v>
      </c>
      <c r="P211" s="8">
        <v>0.5</v>
      </c>
      <c r="Q211" s="8">
        <v>0.28360000000000002</v>
      </c>
      <c r="R211" s="6">
        <v>2</v>
      </c>
      <c r="S211" s="6">
        <v>3</v>
      </c>
      <c r="T211" s="6">
        <v>5</v>
      </c>
      <c r="U211" s="8">
        <f t="shared" si="36"/>
        <v>-0.38213483633622569</v>
      </c>
      <c r="V211" s="8" t="str">
        <f t="shared" si="37"/>
        <v>Normal</v>
      </c>
      <c r="W211" s="8">
        <f t="shared" si="38"/>
        <v>-1.0519696405937966</v>
      </c>
      <c r="X211" s="8" t="str">
        <f t="shared" si="39"/>
        <v>Normal</v>
      </c>
    </row>
    <row r="212" spans="1:24" x14ac:dyDescent="0.25">
      <c r="A212" s="6">
        <v>211</v>
      </c>
      <c r="B212" s="7">
        <v>40553</v>
      </c>
      <c r="C212" s="6">
        <v>1</v>
      </c>
      <c r="D212" s="6" t="str">
        <f t="shared" si="30"/>
        <v>january</v>
      </c>
      <c r="E212" s="6">
        <v>1</v>
      </c>
      <c r="F212" s="6" t="str">
        <f t="shared" si="31"/>
        <v>Night</v>
      </c>
      <c r="G212" s="6" t="b">
        <v>0</v>
      </c>
      <c r="H212" s="6">
        <f t="shared" si="32"/>
        <v>0</v>
      </c>
      <c r="I212" s="6">
        <v>1</v>
      </c>
      <c r="J212" s="6" t="str">
        <f t="shared" si="33"/>
        <v>Monday</v>
      </c>
      <c r="K212" s="6">
        <f t="shared" si="34"/>
        <v>0</v>
      </c>
      <c r="L212" s="6">
        <v>1</v>
      </c>
      <c r="M212" s="6" t="str">
        <f t="shared" si="35"/>
        <v>Partly cloudy</v>
      </c>
      <c r="N212" s="8">
        <v>0.12</v>
      </c>
      <c r="O212" s="8">
        <v>0.1212</v>
      </c>
      <c r="P212" s="8">
        <v>0.5</v>
      </c>
      <c r="Q212" s="8">
        <v>0.28360000000000002</v>
      </c>
      <c r="R212" s="6">
        <v>1</v>
      </c>
      <c r="S212" s="6">
        <v>0</v>
      </c>
      <c r="T212" s="6">
        <v>1</v>
      </c>
      <c r="U212" s="8">
        <f t="shared" si="36"/>
        <v>-0.51295812847461175</v>
      </c>
      <c r="V212" s="8" t="str">
        <f t="shared" si="37"/>
        <v>Normal</v>
      </c>
      <c r="W212" s="8">
        <f t="shared" si="38"/>
        <v>-1.1146080091264643</v>
      </c>
      <c r="X212" s="8" t="str">
        <f t="shared" si="39"/>
        <v>Normal</v>
      </c>
    </row>
    <row r="213" spans="1:24" x14ac:dyDescent="0.25">
      <c r="A213" s="6">
        <v>212</v>
      </c>
      <c r="B213" s="7">
        <v>40553</v>
      </c>
      <c r="C213" s="6">
        <v>1</v>
      </c>
      <c r="D213" s="6" t="str">
        <f t="shared" si="30"/>
        <v>january</v>
      </c>
      <c r="E213" s="6">
        <v>2</v>
      </c>
      <c r="F213" s="6" t="str">
        <f t="shared" si="31"/>
        <v>Night</v>
      </c>
      <c r="G213" s="6" t="b">
        <v>0</v>
      </c>
      <c r="H213" s="6">
        <f t="shared" si="32"/>
        <v>0</v>
      </c>
      <c r="I213" s="6">
        <v>1</v>
      </c>
      <c r="J213" s="6" t="str">
        <f t="shared" si="33"/>
        <v>Monday</v>
      </c>
      <c r="K213" s="6">
        <f t="shared" si="34"/>
        <v>0</v>
      </c>
      <c r="L213" s="6">
        <v>1</v>
      </c>
      <c r="M213" s="6" t="str">
        <f t="shared" si="35"/>
        <v>Partly cloudy</v>
      </c>
      <c r="N213" s="8">
        <v>0.12</v>
      </c>
      <c r="O213" s="8">
        <v>0.1212</v>
      </c>
      <c r="P213" s="8">
        <v>0.5</v>
      </c>
      <c r="Q213" s="8">
        <v>0.22389999999999999</v>
      </c>
      <c r="R213" s="6">
        <v>0</v>
      </c>
      <c r="S213" s="6">
        <v>3</v>
      </c>
      <c r="T213" s="6">
        <v>3</v>
      </c>
      <c r="U213" s="8">
        <f t="shared" si="36"/>
        <v>-0.64378142061299781</v>
      </c>
      <c r="V213" s="8" t="str">
        <f t="shared" si="37"/>
        <v>Normal</v>
      </c>
      <c r="W213" s="8">
        <f t="shared" si="38"/>
        <v>-1.0519696405937966</v>
      </c>
      <c r="X213" s="8" t="str">
        <f t="shared" si="39"/>
        <v>Normal</v>
      </c>
    </row>
    <row r="214" spans="1:24" x14ac:dyDescent="0.25">
      <c r="A214" s="6">
        <v>213</v>
      </c>
      <c r="B214" s="7">
        <v>40553</v>
      </c>
      <c r="C214" s="6">
        <v>1</v>
      </c>
      <c r="D214" s="6" t="str">
        <f t="shared" si="30"/>
        <v>january</v>
      </c>
      <c r="E214" s="6">
        <v>3</v>
      </c>
      <c r="F214" s="6" t="str">
        <f t="shared" si="31"/>
        <v>Night</v>
      </c>
      <c r="G214" s="6" t="b">
        <v>0</v>
      </c>
      <c r="H214" s="6">
        <f t="shared" si="32"/>
        <v>0</v>
      </c>
      <c r="I214" s="6">
        <v>1</v>
      </c>
      <c r="J214" s="6" t="str">
        <f t="shared" si="33"/>
        <v>Monday</v>
      </c>
      <c r="K214" s="6">
        <f t="shared" si="34"/>
        <v>0</v>
      </c>
      <c r="L214" s="6">
        <v>1</v>
      </c>
      <c r="M214" s="6" t="str">
        <f t="shared" si="35"/>
        <v>Partly cloudy</v>
      </c>
      <c r="N214" s="8">
        <v>0.12</v>
      </c>
      <c r="O214" s="8">
        <v>0.1212</v>
      </c>
      <c r="P214" s="8">
        <v>0.5</v>
      </c>
      <c r="Q214" s="8">
        <v>0.22389999999999999</v>
      </c>
      <c r="R214" s="6">
        <v>0</v>
      </c>
      <c r="S214" s="6">
        <v>1</v>
      </c>
      <c r="T214" s="6">
        <v>1</v>
      </c>
      <c r="U214" s="8">
        <f t="shared" si="36"/>
        <v>-0.64378142061299781</v>
      </c>
      <c r="V214" s="8" t="str">
        <f t="shared" si="37"/>
        <v>Normal</v>
      </c>
      <c r="W214" s="8">
        <f t="shared" si="38"/>
        <v>-1.0937285529489083</v>
      </c>
      <c r="X214" s="8" t="str">
        <f t="shared" si="39"/>
        <v>Normal</v>
      </c>
    </row>
    <row r="215" spans="1:24" x14ac:dyDescent="0.25">
      <c r="A215" s="6">
        <v>214</v>
      </c>
      <c r="B215" s="7">
        <v>40553</v>
      </c>
      <c r="C215" s="6">
        <v>1</v>
      </c>
      <c r="D215" s="6" t="str">
        <f t="shared" si="30"/>
        <v>january</v>
      </c>
      <c r="E215" s="6">
        <v>4</v>
      </c>
      <c r="F215" s="6" t="str">
        <f t="shared" si="31"/>
        <v>Night</v>
      </c>
      <c r="G215" s="6" t="b">
        <v>0</v>
      </c>
      <c r="H215" s="6">
        <f t="shared" si="32"/>
        <v>0</v>
      </c>
      <c r="I215" s="6">
        <v>1</v>
      </c>
      <c r="J215" s="6" t="str">
        <f t="shared" si="33"/>
        <v>Monday</v>
      </c>
      <c r="K215" s="6">
        <f t="shared" si="34"/>
        <v>0</v>
      </c>
      <c r="L215" s="6">
        <v>1</v>
      </c>
      <c r="M215" s="6" t="str">
        <f t="shared" si="35"/>
        <v>Partly cloudy</v>
      </c>
      <c r="N215" s="8">
        <v>0.1</v>
      </c>
      <c r="O215" s="8">
        <v>0.1212</v>
      </c>
      <c r="P215" s="8">
        <v>0.54</v>
      </c>
      <c r="Q215" s="8">
        <v>0.1343</v>
      </c>
      <c r="R215" s="6">
        <v>1</v>
      </c>
      <c r="S215" s="6">
        <v>2</v>
      </c>
      <c r="T215" s="6">
        <v>3</v>
      </c>
      <c r="U215" s="8">
        <f t="shared" si="36"/>
        <v>-0.51295812847461175</v>
      </c>
      <c r="V215" s="8" t="str">
        <f t="shared" si="37"/>
        <v>Normal</v>
      </c>
      <c r="W215" s="8">
        <f t="shared" si="38"/>
        <v>-1.0728490967713524</v>
      </c>
      <c r="X215" s="8" t="str">
        <f t="shared" si="39"/>
        <v>Normal</v>
      </c>
    </row>
    <row r="216" spans="1:24" x14ac:dyDescent="0.25">
      <c r="A216" s="6">
        <v>215</v>
      </c>
      <c r="B216" s="7">
        <v>40553</v>
      </c>
      <c r="C216" s="6">
        <v>1</v>
      </c>
      <c r="D216" s="6" t="str">
        <f t="shared" si="30"/>
        <v>january</v>
      </c>
      <c r="E216" s="6">
        <v>5</v>
      </c>
      <c r="F216" s="6" t="str">
        <f t="shared" si="31"/>
        <v>Early Morning</v>
      </c>
      <c r="G216" s="6" t="b">
        <v>0</v>
      </c>
      <c r="H216" s="6">
        <f t="shared" si="32"/>
        <v>0</v>
      </c>
      <c r="I216" s="6">
        <v>1</v>
      </c>
      <c r="J216" s="6" t="str">
        <f t="shared" si="33"/>
        <v>Monday</v>
      </c>
      <c r="K216" s="6">
        <f t="shared" si="34"/>
        <v>0</v>
      </c>
      <c r="L216" s="6">
        <v>1</v>
      </c>
      <c r="M216" s="6" t="str">
        <f t="shared" si="35"/>
        <v>Partly cloudy</v>
      </c>
      <c r="N216" s="8">
        <v>0.1</v>
      </c>
      <c r="O216" s="8">
        <v>0.1061</v>
      </c>
      <c r="P216" s="8">
        <v>0.54</v>
      </c>
      <c r="Q216" s="8">
        <v>0.25369999999999998</v>
      </c>
      <c r="R216" s="6">
        <v>0</v>
      </c>
      <c r="S216" s="6">
        <v>3</v>
      </c>
      <c r="T216" s="6">
        <v>3</v>
      </c>
      <c r="U216" s="8">
        <f t="shared" si="36"/>
        <v>-0.64378142061299781</v>
      </c>
      <c r="V216" s="8" t="str">
        <f t="shared" si="37"/>
        <v>Normal</v>
      </c>
      <c r="W216" s="8">
        <f t="shared" si="38"/>
        <v>-1.0519696405937966</v>
      </c>
      <c r="X216" s="8" t="str">
        <f t="shared" si="39"/>
        <v>Normal</v>
      </c>
    </row>
    <row r="217" spans="1:24" x14ac:dyDescent="0.25">
      <c r="A217" s="6">
        <v>216</v>
      </c>
      <c r="B217" s="7">
        <v>40553</v>
      </c>
      <c r="C217" s="6">
        <v>1</v>
      </c>
      <c r="D217" s="6" t="str">
        <f t="shared" si="30"/>
        <v>january</v>
      </c>
      <c r="E217" s="6">
        <v>6</v>
      </c>
      <c r="F217" s="6" t="str">
        <f t="shared" si="31"/>
        <v>Early Morning</v>
      </c>
      <c r="G217" s="6" t="b">
        <v>0</v>
      </c>
      <c r="H217" s="6">
        <f t="shared" si="32"/>
        <v>0</v>
      </c>
      <c r="I217" s="6">
        <v>1</v>
      </c>
      <c r="J217" s="6" t="str">
        <f t="shared" si="33"/>
        <v>Monday</v>
      </c>
      <c r="K217" s="6">
        <f t="shared" si="34"/>
        <v>0</v>
      </c>
      <c r="L217" s="6">
        <v>1</v>
      </c>
      <c r="M217" s="6" t="str">
        <f t="shared" si="35"/>
        <v>Partly cloudy</v>
      </c>
      <c r="N217" s="8">
        <v>0.12</v>
      </c>
      <c r="O217" s="8">
        <v>0.1212</v>
      </c>
      <c r="P217" s="8">
        <v>0.5</v>
      </c>
      <c r="Q217" s="8">
        <v>0.28360000000000002</v>
      </c>
      <c r="R217" s="6">
        <v>0</v>
      </c>
      <c r="S217" s="6">
        <v>31</v>
      </c>
      <c r="T217" s="6">
        <v>31</v>
      </c>
      <c r="U217" s="8">
        <f t="shared" si="36"/>
        <v>-0.64378142061299781</v>
      </c>
      <c r="V217" s="8" t="str">
        <f t="shared" si="37"/>
        <v>Normal</v>
      </c>
      <c r="W217" s="8">
        <f t="shared" si="38"/>
        <v>-0.46734486762223271</v>
      </c>
      <c r="X217" s="8" t="str">
        <f t="shared" si="39"/>
        <v>Normal</v>
      </c>
    </row>
    <row r="218" spans="1:24" x14ac:dyDescent="0.25">
      <c r="A218" s="6">
        <v>217</v>
      </c>
      <c r="B218" s="7">
        <v>40553</v>
      </c>
      <c r="C218" s="6">
        <v>1</v>
      </c>
      <c r="D218" s="6" t="str">
        <f t="shared" si="30"/>
        <v>january</v>
      </c>
      <c r="E218" s="6">
        <v>7</v>
      </c>
      <c r="F218" s="6" t="str">
        <f t="shared" si="31"/>
        <v>Early Morning</v>
      </c>
      <c r="G218" s="6" t="b">
        <v>0</v>
      </c>
      <c r="H218" s="6">
        <f t="shared" si="32"/>
        <v>0</v>
      </c>
      <c r="I218" s="6">
        <v>1</v>
      </c>
      <c r="J218" s="6" t="str">
        <f t="shared" si="33"/>
        <v>Monday</v>
      </c>
      <c r="K218" s="6">
        <f t="shared" si="34"/>
        <v>0</v>
      </c>
      <c r="L218" s="6">
        <v>1</v>
      </c>
      <c r="M218" s="6" t="str">
        <f t="shared" si="35"/>
        <v>Partly cloudy</v>
      </c>
      <c r="N218" s="8">
        <v>0.12</v>
      </c>
      <c r="O218" s="8">
        <v>0.1212</v>
      </c>
      <c r="P218" s="8">
        <v>0.5</v>
      </c>
      <c r="Q218" s="8">
        <v>0.22389999999999999</v>
      </c>
      <c r="R218" s="6">
        <v>2</v>
      </c>
      <c r="S218" s="6">
        <v>75</v>
      </c>
      <c r="T218" s="6">
        <v>77</v>
      </c>
      <c r="U218" s="8">
        <f t="shared" si="36"/>
        <v>-0.38213483633622569</v>
      </c>
      <c r="V218" s="8" t="str">
        <f t="shared" si="37"/>
        <v>Normal</v>
      </c>
      <c r="W218" s="8">
        <f t="shared" si="38"/>
        <v>0.45135120419022484</v>
      </c>
      <c r="X218" s="8" t="str">
        <f t="shared" si="39"/>
        <v>Normal</v>
      </c>
    </row>
    <row r="219" spans="1:24" x14ac:dyDescent="0.25">
      <c r="A219" s="6">
        <v>218</v>
      </c>
      <c r="B219" s="7">
        <v>40553</v>
      </c>
      <c r="C219" s="6">
        <v>1</v>
      </c>
      <c r="D219" s="6" t="str">
        <f t="shared" si="30"/>
        <v>january</v>
      </c>
      <c r="E219" s="6">
        <v>8</v>
      </c>
      <c r="F219" s="6" t="str">
        <f t="shared" si="31"/>
        <v>Morning</v>
      </c>
      <c r="G219" s="6" t="b">
        <v>0</v>
      </c>
      <c r="H219" s="6">
        <f t="shared" si="32"/>
        <v>0</v>
      </c>
      <c r="I219" s="6">
        <v>1</v>
      </c>
      <c r="J219" s="6" t="str">
        <f t="shared" si="33"/>
        <v>Monday</v>
      </c>
      <c r="K219" s="6">
        <f t="shared" si="34"/>
        <v>0</v>
      </c>
      <c r="L219" s="6">
        <v>2</v>
      </c>
      <c r="M219" s="6" t="str">
        <f t="shared" si="35"/>
        <v>Cloudy</v>
      </c>
      <c r="N219" s="8">
        <v>0.12</v>
      </c>
      <c r="O219" s="8">
        <v>0.1212</v>
      </c>
      <c r="P219" s="8">
        <v>0.5</v>
      </c>
      <c r="Q219" s="8">
        <v>0.28360000000000002</v>
      </c>
      <c r="R219" s="6">
        <v>4</v>
      </c>
      <c r="S219" s="6">
        <v>184</v>
      </c>
      <c r="T219" s="6">
        <v>188</v>
      </c>
      <c r="U219" s="8">
        <f t="shared" si="36"/>
        <v>-0.1204882520594536</v>
      </c>
      <c r="V219" s="8" t="str">
        <f t="shared" si="37"/>
        <v>Normal</v>
      </c>
      <c r="W219" s="8">
        <f t="shared" si="38"/>
        <v>2.7272119275438129</v>
      </c>
      <c r="X219" s="8" t="str">
        <f t="shared" si="39"/>
        <v>Peak</v>
      </c>
    </row>
    <row r="220" spans="1:24" x14ac:dyDescent="0.25">
      <c r="A220" s="6">
        <v>219</v>
      </c>
      <c r="B220" s="7">
        <v>40553</v>
      </c>
      <c r="C220" s="6">
        <v>1</v>
      </c>
      <c r="D220" s="6" t="str">
        <f t="shared" si="30"/>
        <v>january</v>
      </c>
      <c r="E220" s="6">
        <v>9</v>
      </c>
      <c r="F220" s="6" t="str">
        <f t="shared" si="31"/>
        <v>Morning</v>
      </c>
      <c r="G220" s="6" t="b">
        <v>0</v>
      </c>
      <c r="H220" s="6">
        <f t="shared" si="32"/>
        <v>0</v>
      </c>
      <c r="I220" s="6">
        <v>1</v>
      </c>
      <c r="J220" s="6" t="str">
        <f t="shared" si="33"/>
        <v>Monday</v>
      </c>
      <c r="K220" s="6">
        <f t="shared" si="34"/>
        <v>0</v>
      </c>
      <c r="L220" s="6">
        <v>2</v>
      </c>
      <c r="M220" s="6" t="str">
        <f t="shared" si="35"/>
        <v>Cloudy</v>
      </c>
      <c r="N220" s="8">
        <v>0.14000000000000001</v>
      </c>
      <c r="O220" s="8">
        <v>0.1212</v>
      </c>
      <c r="P220" s="8">
        <v>0.5</v>
      </c>
      <c r="Q220" s="8">
        <v>0.25369999999999998</v>
      </c>
      <c r="R220" s="6">
        <v>2</v>
      </c>
      <c r="S220" s="6">
        <v>92</v>
      </c>
      <c r="T220" s="6">
        <v>94</v>
      </c>
      <c r="U220" s="8">
        <f t="shared" si="36"/>
        <v>-0.38213483633622569</v>
      </c>
      <c r="V220" s="8" t="str">
        <f t="shared" si="37"/>
        <v>Normal</v>
      </c>
      <c r="W220" s="8">
        <f t="shared" si="38"/>
        <v>0.80630195920867431</v>
      </c>
      <c r="X220" s="8" t="str">
        <f t="shared" si="39"/>
        <v>Normal</v>
      </c>
    </row>
    <row r="221" spans="1:24" x14ac:dyDescent="0.25">
      <c r="A221" s="6">
        <v>220</v>
      </c>
      <c r="B221" s="7">
        <v>40553</v>
      </c>
      <c r="C221" s="6">
        <v>1</v>
      </c>
      <c r="D221" s="6" t="str">
        <f t="shared" si="30"/>
        <v>january</v>
      </c>
      <c r="E221" s="6">
        <v>10</v>
      </c>
      <c r="F221" s="6" t="str">
        <f t="shared" si="31"/>
        <v>Morning</v>
      </c>
      <c r="G221" s="6" t="b">
        <v>0</v>
      </c>
      <c r="H221" s="6">
        <f t="shared" si="32"/>
        <v>0</v>
      </c>
      <c r="I221" s="6">
        <v>1</v>
      </c>
      <c r="J221" s="6" t="str">
        <f t="shared" si="33"/>
        <v>Monday</v>
      </c>
      <c r="K221" s="6">
        <f t="shared" si="34"/>
        <v>0</v>
      </c>
      <c r="L221" s="6">
        <v>2</v>
      </c>
      <c r="M221" s="6" t="str">
        <f t="shared" si="35"/>
        <v>Cloudy</v>
      </c>
      <c r="N221" s="8">
        <v>0.14000000000000001</v>
      </c>
      <c r="O221" s="8">
        <v>0.1212</v>
      </c>
      <c r="P221" s="8">
        <v>0.5</v>
      </c>
      <c r="Q221" s="8">
        <v>0.29849999999999999</v>
      </c>
      <c r="R221" s="6">
        <v>0</v>
      </c>
      <c r="S221" s="6">
        <v>31</v>
      </c>
      <c r="T221" s="6">
        <v>31</v>
      </c>
      <c r="U221" s="8">
        <f t="shared" si="36"/>
        <v>-0.64378142061299781</v>
      </c>
      <c r="V221" s="8" t="str">
        <f t="shared" si="37"/>
        <v>Normal</v>
      </c>
      <c r="W221" s="8">
        <f t="shared" si="38"/>
        <v>-0.46734486762223271</v>
      </c>
      <c r="X221" s="8" t="str">
        <f t="shared" si="39"/>
        <v>Normal</v>
      </c>
    </row>
    <row r="222" spans="1:24" x14ac:dyDescent="0.25">
      <c r="A222" s="6">
        <v>221</v>
      </c>
      <c r="B222" s="7">
        <v>40553</v>
      </c>
      <c r="C222" s="6">
        <v>1</v>
      </c>
      <c r="D222" s="6" t="str">
        <f t="shared" si="30"/>
        <v>january</v>
      </c>
      <c r="E222" s="6">
        <v>11</v>
      </c>
      <c r="F222" s="6" t="str">
        <f t="shared" si="31"/>
        <v>Morning</v>
      </c>
      <c r="G222" s="6" t="b">
        <v>0</v>
      </c>
      <c r="H222" s="6">
        <f t="shared" si="32"/>
        <v>0</v>
      </c>
      <c r="I222" s="6">
        <v>1</v>
      </c>
      <c r="J222" s="6" t="str">
        <f t="shared" si="33"/>
        <v>Monday</v>
      </c>
      <c r="K222" s="6">
        <f t="shared" si="34"/>
        <v>0</v>
      </c>
      <c r="L222" s="6">
        <v>2</v>
      </c>
      <c r="M222" s="6" t="str">
        <f t="shared" si="35"/>
        <v>Cloudy</v>
      </c>
      <c r="N222" s="8">
        <v>0.16</v>
      </c>
      <c r="O222" s="8">
        <v>0.13639999999999999</v>
      </c>
      <c r="P222" s="8">
        <v>0.47</v>
      </c>
      <c r="Q222" s="8">
        <v>0.28360000000000002</v>
      </c>
      <c r="R222" s="6">
        <v>2</v>
      </c>
      <c r="S222" s="6">
        <v>28</v>
      </c>
      <c r="T222" s="6">
        <v>30</v>
      </c>
      <c r="U222" s="8">
        <f t="shared" si="36"/>
        <v>-0.38213483633622569</v>
      </c>
      <c r="V222" s="8" t="str">
        <f t="shared" si="37"/>
        <v>Normal</v>
      </c>
      <c r="W222" s="8">
        <f t="shared" si="38"/>
        <v>-0.52998323615490028</v>
      </c>
      <c r="X222" s="8" t="str">
        <f t="shared" si="39"/>
        <v>Normal</v>
      </c>
    </row>
    <row r="223" spans="1:24" x14ac:dyDescent="0.25">
      <c r="A223" s="6">
        <v>222</v>
      </c>
      <c r="B223" s="7">
        <v>40553</v>
      </c>
      <c r="C223" s="6">
        <v>1</v>
      </c>
      <c r="D223" s="6" t="str">
        <f t="shared" si="30"/>
        <v>january</v>
      </c>
      <c r="E223" s="6">
        <v>12</v>
      </c>
      <c r="F223" s="6" t="str">
        <f t="shared" si="31"/>
        <v>Afternoon</v>
      </c>
      <c r="G223" s="6" t="b">
        <v>0</v>
      </c>
      <c r="H223" s="6">
        <f t="shared" si="32"/>
        <v>0</v>
      </c>
      <c r="I223" s="6">
        <v>1</v>
      </c>
      <c r="J223" s="6" t="str">
        <f t="shared" si="33"/>
        <v>Monday</v>
      </c>
      <c r="K223" s="6">
        <f t="shared" si="34"/>
        <v>0</v>
      </c>
      <c r="L223" s="6">
        <v>2</v>
      </c>
      <c r="M223" s="6" t="str">
        <f t="shared" si="35"/>
        <v>Cloudy</v>
      </c>
      <c r="N223" s="8">
        <v>0.2</v>
      </c>
      <c r="O223" s="8">
        <v>0.18179999999999999</v>
      </c>
      <c r="P223" s="8">
        <v>0.4</v>
      </c>
      <c r="Q223" s="8">
        <v>0.28360000000000002</v>
      </c>
      <c r="R223" s="6">
        <v>5</v>
      </c>
      <c r="S223" s="6">
        <v>47</v>
      </c>
      <c r="T223" s="6">
        <v>52</v>
      </c>
      <c r="U223" s="8">
        <f t="shared" si="36"/>
        <v>1.0335040078932463E-2</v>
      </c>
      <c r="V223" s="8" t="str">
        <f t="shared" si="37"/>
        <v>Normal</v>
      </c>
      <c r="W223" s="8">
        <f t="shared" si="38"/>
        <v>-0.13327356878133906</v>
      </c>
      <c r="X223" s="8" t="str">
        <f t="shared" si="39"/>
        <v>Normal</v>
      </c>
    </row>
    <row r="224" spans="1:24" x14ac:dyDescent="0.25">
      <c r="A224" s="6">
        <v>223</v>
      </c>
      <c r="B224" s="7">
        <v>40553</v>
      </c>
      <c r="C224" s="6">
        <v>1</v>
      </c>
      <c r="D224" s="6" t="str">
        <f t="shared" si="30"/>
        <v>january</v>
      </c>
      <c r="E224" s="6">
        <v>13</v>
      </c>
      <c r="F224" s="6" t="str">
        <f t="shared" si="31"/>
        <v>Afternoon</v>
      </c>
      <c r="G224" s="6" t="b">
        <v>0</v>
      </c>
      <c r="H224" s="6">
        <f t="shared" si="32"/>
        <v>0</v>
      </c>
      <c r="I224" s="6">
        <v>1</v>
      </c>
      <c r="J224" s="6" t="str">
        <f t="shared" si="33"/>
        <v>Monday</v>
      </c>
      <c r="K224" s="6">
        <f t="shared" si="34"/>
        <v>0</v>
      </c>
      <c r="L224" s="6">
        <v>2</v>
      </c>
      <c r="M224" s="6" t="str">
        <f t="shared" si="35"/>
        <v>Cloudy</v>
      </c>
      <c r="N224" s="8">
        <v>0.2</v>
      </c>
      <c r="O224" s="8">
        <v>0.18179999999999999</v>
      </c>
      <c r="P224" s="8">
        <v>0.4</v>
      </c>
      <c r="Q224" s="8">
        <v>0.28360000000000002</v>
      </c>
      <c r="R224" s="6">
        <v>4</v>
      </c>
      <c r="S224" s="6">
        <v>50</v>
      </c>
      <c r="T224" s="6">
        <v>54</v>
      </c>
      <c r="U224" s="8">
        <f t="shared" si="36"/>
        <v>-0.1204882520594536</v>
      </c>
      <c r="V224" s="8" t="str">
        <f t="shared" si="37"/>
        <v>Normal</v>
      </c>
      <c r="W224" s="8">
        <f t="shared" si="38"/>
        <v>-7.0635200248671509E-2</v>
      </c>
      <c r="X224" s="8" t="str">
        <f t="shared" si="39"/>
        <v>Normal</v>
      </c>
    </row>
    <row r="225" spans="1:24" x14ac:dyDescent="0.25">
      <c r="A225" s="6">
        <v>224</v>
      </c>
      <c r="B225" s="7">
        <v>40553</v>
      </c>
      <c r="C225" s="6">
        <v>1</v>
      </c>
      <c r="D225" s="6" t="str">
        <f t="shared" si="30"/>
        <v>january</v>
      </c>
      <c r="E225" s="6">
        <v>14</v>
      </c>
      <c r="F225" s="6" t="str">
        <f t="shared" si="31"/>
        <v>Afternoon</v>
      </c>
      <c r="G225" s="6" t="b">
        <v>0</v>
      </c>
      <c r="H225" s="6">
        <f t="shared" si="32"/>
        <v>0</v>
      </c>
      <c r="I225" s="6">
        <v>1</v>
      </c>
      <c r="J225" s="6" t="str">
        <f t="shared" si="33"/>
        <v>Monday</v>
      </c>
      <c r="K225" s="6">
        <f t="shared" si="34"/>
        <v>0</v>
      </c>
      <c r="L225" s="6">
        <v>2</v>
      </c>
      <c r="M225" s="6" t="str">
        <f t="shared" si="35"/>
        <v>Cloudy</v>
      </c>
      <c r="N225" s="8">
        <v>0.2</v>
      </c>
      <c r="O225" s="8">
        <v>0.19700000000000001</v>
      </c>
      <c r="P225" s="8">
        <v>0.4</v>
      </c>
      <c r="Q225" s="8">
        <v>0.22389999999999999</v>
      </c>
      <c r="R225" s="6">
        <v>0</v>
      </c>
      <c r="S225" s="6">
        <v>47</v>
      </c>
      <c r="T225" s="6">
        <v>47</v>
      </c>
      <c r="U225" s="8">
        <f t="shared" si="36"/>
        <v>-0.64378142061299781</v>
      </c>
      <c r="V225" s="8" t="str">
        <f t="shared" si="37"/>
        <v>Normal</v>
      </c>
      <c r="W225" s="8">
        <f t="shared" si="38"/>
        <v>-0.13327356878133906</v>
      </c>
      <c r="X225" s="8" t="str">
        <f t="shared" si="39"/>
        <v>Normal</v>
      </c>
    </row>
    <row r="226" spans="1:24" x14ac:dyDescent="0.25">
      <c r="A226" s="6">
        <v>225</v>
      </c>
      <c r="B226" s="7">
        <v>40553</v>
      </c>
      <c r="C226" s="6">
        <v>1</v>
      </c>
      <c r="D226" s="6" t="str">
        <f t="shared" si="30"/>
        <v>january</v>
      </c>
      <c r="E226" s="6">
        <v>15</v>
      </c>
      <c r="F226" s="6" t="str">
        <f t="shared" si="31"/>
        <v>Afternoon</v>
      </c>
      <c r="G226" s="6" t="b">
        <v>0</v>
      </c>
      <c r="H226" s="6">
        <f t="shared" si="32"/>
        <v>0</v>
      </c>
      <c r="I226" s="6">
        <v>1</v>
      </c>
      <c r="J226" s="6" t="str">
        <f t="shared" si="33"/>
        <v>Monday</v>
      </c>
      <c r="K226" s="6">
        <f t="shared" si="34"/>
        <v>0</v>
      </c>
      <c r="L226" s="6">
        <v>2</v>
      </c>
      <c r="M226" s="6" t="str">
        <f t="shared" si="35"/>
        <v>Cloudy</v>
      </c>
      <c r="N226" s="8">
        <v>0.2</v>
      </c>
      <c r="O226" s="8">
        <v>0.19700000000000001</v>
      </c>
      <c r="P226" s="8">
        <v>0.4</v>
      </c>
      <c r="Q226" s="8">
        <v>0.22389999999999999</v>
      </c>
      <c r="R226" s="6">
        <v>2</v>
      </c>
      <c r="S226" s="6">
        <v>43</v>
      </c>
      <c r="T226" s="6">
        <v>45</v>
      </c>
      <c r="U226" s="8">
        <f t="shared" si="36"/>
        <v>-0.38213483633622569</v>
      </c>
      <c r="V226" s="8" t="str">
        <f t="shared" si="37"/>
        <v>Normal</v>
      </c>
      <c r="W226" s="8">
        <f t="shared" si="38"/>
        <v>-0.21679139349156248</v>
      </c>
      <c r="X226" s="8" t="str">
        <f t="shared" si="39"/>
        <v>Normal</v>
      </c>
    </row>
    <row r="227" spans="1:24" x14ac:dyDescent="0.25">
      <c r="A227" s="6">
        <v>226</v>
      </c>
      <c r="B227" s="7">
        <v>40553</v>
      </c>
      <c r="C227" s="6">
        <v>1</v>
      </c>
      <c r="D227" s="6" t="str">
        <f t="shared" si="30"/>
        <v>january</v>
      </c>
      <c r="E227" s="6">
        <v>16</v>
      </c>
      <c r="F227" s="6" t="str">
        <f t="shared" si="31"/>
        <v>Afternoon</v>
      </c>
      <c r="G227" s="6" t="b">
        <v>0</v>
      </c>
      <c r="H227" s="6">
        <f t="shared" si="32"/>
        <v>0</v>
      </c>
      <c r="I227" s="6">
        <v>1</v>
      </c>
      <c r="J227" s="6" t="str">
        <f t="shared" si="33"/>
        <v>Monday</v>
      </c>
      <c r="K227" s="6">
        <f t="shared" si="34"/>
        <v>0</v>
      </c>
      <c r="L227" s="6">
        <v>1</v>
      </c>
      <c r="M227" s="6" t="str">
        <f t="shared" si="35"/>
        <v>Partly cloudy</v>
      </c>
      <c r="N227" s="8">
        <v>0.2</v>
      </c>
      <c r="O227" s="8">
        <v>0.21210000000000001</v>
      </c>
      <c r="P227" s="8">
        <v>0.4</v>
      </c>
      <c r="Q227" s="8">
        <v>0.1343</v>
      </c>
      <c r="R227" s="6">
        <v>4</v>
      </c>
      <c r="S227" s="6">
        <v>70</v>
      </c>
      <c r="T227" s="6">
        <v>74</v>
      </c>
      <c r="U227" s="8">
        <f t="shared" si="36"/>
        <v>-0.1204882520594536</v>
      </c>
      <c r="V227" s="8" t="str">
        <f t="shared" si="37"/>
        <v>Normal</v>
      </c>
      <c r="W227" s="8">
        <f t="shared" si="38"/>
        <v>0.34695392330244557</v>
      </c>
      <c r="X227" s="8" t="str">
        <f t="shared" si="39"/>
        <v>Normal</v>
      </c>
    </row>
    <row r="228" spans="1:24" x14ac:dyDescent="0.25">
      <c r="A228" s="6">
        <v>227</v>
      </c>
      <c r="B228" s="7">
        <v>40553</v>
      </c>
      <c r="C228" s="6">
        <v>1</v>
      </c>
      <c r="D228" s="6" t="str">
        <f t="shared" si="30"/>
        <v>january</v>
      </c>
      <c r="E228" s="6">
        <v>17</v>
      </c>
      <c r="F228" s="6" t="str">
        <f t="shared" si="31"/>
        <v>Evening</v>
      </c>
      <c r="G228" s="6" t="b">
        <v>0</v>
      </c>
      <c r="H228" s="6">
        <f t="shared" si="32"/>
        <v>0</v>
      </c>
      <c r="I228" s="6">
        <v>1</v>
      </c>
      <c r="J228" s="6" t="str">
        <f t="shared" si="33"/>
        <v>Monday</v>
      </c>
      <c r="K228" s="6">
        <f t="shared" si="34"/>
        <v>0</v>
      </c>
      <c r="L228" s="6">
        <v>1</v>
      </c>
      <c r="M228" s="6" t="str">
        <f t="shared" si="35"/>
        <v>Partly cloudy</v>
      </c>
      <c r="N228" s="8">
        <v>0.2</v>
      </c>
      <c r="O228" s="8">
        <v>0.2273</v>
      </c>
      <c r="P228" s="8">
        <v>0.4</v>
      </c>
      <c r="Q228" s="8">
        <v>0.1045</v>
      </c>
      <c r="R228" s="6">
        <v>4</v>
      </c>
      <c r="S228" s="6">
        <v>174</v>
      </c>
      <c r="T228" s="6">
        <v>178</v>
      </c>
      <c r="U228" s="8">
        <f t="shared" si="36"/>
        <v>-0.1204882520594536</v>
      </c>
      <c r="V228" s="8" t="str">
        <f t="shared" si="37"/>
        <v>Normal</v>
      </c>
      <c r="W228" s="8">
        <f t="shared" si="38"/>
        <v>2.5184173657682543</v>
      </c>
      <c r="X228" s="8" t="str">
        <f t="shared" si="39"/>
        <v>Peak</v>
      </c>
    </row>
    <row r="229" spans="1:24" x14ac:dyDescent="0.25">
      <c r="A229" s="6">
        <v>228</v>
      </c>
      <c r="B229" s="7">
        <v>40553</v>
      </c>
      <c r="C229" s="6">
        <v>1</v>
      </c>
      <c r="D229" s="6" t="str">
        <f t="shared" si="30"/>
        <v>january</v>
      </c>
      <c r="E229" s="6">
        <v>18</v>
      </c>
      <c r="F229" s="6" t="str">
        <f t="shared" si="31"/>
        <v>Evening</v>
      </c>
      <c r="G229" s="6" t="b">
        <v>0</v>
      </c>
      <c r="H229" s="6">
        <f t="shared" si="32"/>
        <v>0</v>
      </c>
      <c r="I229" s="6">
        <v>1</v>
      </c>
      <c r="J229" s="6" t="str">
        <f t="shared" si="33"/>
        <v>Monday</v>
      </c>
      <c r="K229" s="6">
        <f t="shared" si="34"/>
        <v>0</v>
      </c>
      <c r="L229" s="6">
        <v>1</v>
      </c>
      <c r="M229" s="6" t="str">
        <f t="shared" si="35"/>
        <v>Partly cloudy</v>
      </c>
      <c r="N229" s="8">
        <v>0.2</v>
      </c>
      <c r="O229" s="8">
        <v>0.19700000000000001</v>
      </c>
      <c r="P229" s="8">
        <v>0.4</v>
      </c>
      <c r="Q229" s="8">
        <v>0.22389999999999999</v>
      </c>
      <c r="R229" s="6">
        <v>1</v>
      </c>
      <c r="S229" s="6">
        <v>154</v>
      </c>
      <c r="T229" s="6">
        <v>155</v>
      </c>
      <c r="U229" s="8">
        <f t="shared" si="36"/>
        <v>-0.51295812847461175</v>
      </c>
      <c r="V229" s="8" t="str">
        <f t="shared" si="37"/>
        <v>Normal</v>
      </c>
      <c r="W229" s="8">
        <f t="shared" si="38"/>
        <v>2.1008282422171369</v>
      </c>
      <c r="X229" s="8" t="str">
        <f t="shared" si="39"/>
        <v>Peak</v>
      </c>
    </row>
    <row r="230" spans="1:24" x14ac:dyDescent="0.25">
      <c r="A230" s="6">
        <v>229</v>
      </c>
      <c r="B230" s="7">
        <v>40553</v>
      </c>
      <c r="C230" s="6">
        <v>1</v>
      </c>
      <c r="D230" s="6" t="str">
        <f t="shared" si="30"/>
        <v>january</v>
      </c>
      <c r="E230" s="6">
        <v>19</v>
      </c>
      <c r="F230" s="6" t="str">
        <f t="shared" si="31"/>
        <v>Evening</v>
      </c>
      <c r="G230" s="6" t="b">
        <v>0</v>
      </c>
      <c r="H230" s="6">
        <f t="shared" si="32"/>
        <v>0</v>
      </c>
      <c r="I230" s="6">
        <v>1</v>
      </c>
      <c r="J230" s="6" t="str">
        <f t="shared" si="33"/>
        <v>Monday</v>
      </c>
      <c r="K230" s="6">
        <f t="shared" si="34"/>
        <v>0</v>
      </c>
      <c r="L230" s="6">
        <v>1</v>
      </c>
      <c r="M230" s="6" t="str">
        <f t="shared" si="35"/>
        <v>Partly cloudy</v>
      </c>
      <c r="N230" s="8">
        <v>0.16</v>
      </c>
      <c r="O230" s="8">
        <v>0.16669999999999999</v>
      </c>
      <c r="P230" s="8">
        <v>0.47</v>
      </c>
      <c r="Q230" s="8">
        <v>0.16420000000000001</v>
      </c>
      <c r="R230" s="6">
        <v>3</v>
      </c>
      <c r="S230" s="6">
        <v>92</v>
      </c>
      <c r="T230" s="6">
        <v>95</v>
      </c>
      <c r="U230" s="8">
        <f t="shared" si="36"/>
        <v>-0.25131154419783963</v>
      </c>
      <c r="V230" s="8" t="str">
        <f t="shared" si="37"/>
        <v>Normal</v>
      </c>
      <c r="W230" s="8">
        <f t="shared" si="38"/>
        <v>0.80630195920867431</v>
      </c>
      <c r="X230" s="8" t="str">
        <f t="shared" si="39"/>
        <v>Normal</v>
      </c>
    </row>
    <row r="231" spans="1:24" x14ac:dyDescent="0.25">
      <c r="A231" s="6">
        <v>230</v>
      </c>
      <c r="B231" s="7">
        <v>40553</v>
      </c>
      <c r="C231" s="6">
        <v>1</v>
      </c>
      <c r="D231" s="6" t="str">
        <f t="shared" si="30"/>
        <v>january</v>
      </c>
      <c r="E231" s="6">
        <v>20</v>
      </c>
      <c r="F231" s="6" t="str">
        <f t="shared" si="31"/>
        <v>Evening</v>
      </c>
      <c r="G231" s="6" t="b">
        <v>0</v>
      </c>
      <c r="H231" s="6">
        <f t="shared" si="32"/>
        <v>0</v>
      </c>
      <c r="I231" s="6">
        <v>1</v>
      </c>
      <c r="J231" s="6" t="str">
        <f t="shared" si="33"/>
        <v>Monday</v>
      </c>
      <c r="K231" s="6">
        <f t="shared" si="34"/>
        <v>0</v>
      </c>
      <c r="L231" s="6">
        <v>1</v>
      </c>
      <c r="M231" s="6" t="str">
        <f t="shared" si="35"/>
        <v>Partly cloudy</v>
      </c>
      <c r="N231" s="8">
        <v>0.16</v>
      </c>
      <c r="O231" s="8">
        <v>0.16669999999999999</v>
      </c>
      <c r="P231" s="8">
        <v>0.5</v>
      </c>
      <c r="Q231" s="8">
        <v>0.16420000000000001</v>
      </c>
      <c r="R231" s="6">
        <v>1</v>
      </c>
      <c r="S231" s="6">
        <v>73</v>
      </c>
      <c r="T231" s="6">
        <v>74</v>
      </c>
      <c r="U231" s="8">
        <f t="shared" si="36"/>
        <v>-0.51295812847461175</v>
      </c>
      <c r="V231" s="8" t="str">
        <f t="shared" si="37"/>
        <v>Normal</v>
      </c>
      <c r="W231" s="8">
        <f t="shared" si="38"/>
        <v>0.40959229183511314</v>
      </c>
      <c r="X231" s="8" t="str">
        <f t="shared" si="39"/>
        <v>Normal</v>
      </c>
    </row>
    <row r="232" spans="1:24" x14ac:dyDescent="0.25">
      <c r="A232" s="6">
        <v>231</v>
      </c>
      <c r="B232" s="7">
        <v>40553</v>
      </c>
      <c r="C232" s="6">
        <v>1</v>
      </c>
      <c r="D232" s="6" t="str">
        <f t="shared" si="30"/>
        <v>january</v>
      </c>
      <c r="E232" s="6">
        <v>21</v>
      </c>
      <c r="F232" s="6" t="str">
        <f t="shared" si="31"/>
        <v>Night</v>
      </c>
      <c r="G232" s="6" t="b">
        <v>0</v>
      </c>
      <c r="H232" s="6">
        <f t="shared" si="32"/>
        <v>0</v>
      </c>
      <c r="I232" s="6">
        <v>1</v>
      </c>
      <c r="J232" s="6" t="str">
        <f t="shared" si="33"/>
        <v>Monday</v>
      </c>
      <c r="K232" s="6">
        <f t="shared" si="34"/>
        <v>0</v>
      </c>
      <c r="L232" s="6">
        <v>1</v>
      </c>
      <c r="M232" s="6" t="str">
        <f t="shared" si="35"/>
        <v>Partly cloudy</v>
      </c>
      <c r="N232" s="8">
        <v>0.14000000000000001</v>
      </c>
      <c r="O232" s="8">
        <v>0.13639999999999999</v>
      </c>
      <c r="P232" s="8">
        <v>0.59</v>
      </c>
      <c r="Q232" s="8">
        <v>0.19400000000000001</v>
      </c>
      <c r="R232" s="6">
        <v>1</v>
      </c>
      <c r="S232" s="6">
        <v>37</v>
      </c>
      <c r="T232" s="6">
        <v>38</v>
      </c>
      <c r="U232" s="8">
        <f t="shared" si="36"/>
        <v>-0.51295812847461175</v>
      </c>
      <c r="V232" s="8" t="str">
        <f t="shared" si="37"/>
        <v>Normal</v>
      </c>
      <c r="W232" s="8">
        <f t="shared" si="38"/>
        <v>-0.34206813055689761</v>
      </c>
      <c r="X232" s="8" t="str">
        <f t="shared" si="39"/>
        <v>Normal</v>
      </c>
    </row>
    <row r="233" spans="1:24" x14ac:dyDescent="0.25">
      <c r="A233" s="6">
        <v>232</v>
      </c>
      <c r="B233" s="7">
        <v>40553</v>
      </c>
      <c r="C233" s="6">
        <v>1</v>
      </c>
      <c r="D233" s="6" t="str">
        <f t="shared" si="30"/>
        <v>january</v>
      </c>
      <c r="E233" s="6">
        <v>22</v>
      </c>
      <c r="F233" s="6" t="str">
        <f t="shared" si="31"/>
        <v>Night</v>
      </c>
      <c r="G233" s="6" t="b">
        <v>0</v>
      </c>
      <c r="H233" s="6">
        <f t="shared" si="32"/>
        <v>0</v>
      </c>
      <c r="I233" s="6">
        <v>1</v>
      </c>
      <c r="J233" s="6" t="str">
        <f t="shared" si="33"/>
        <v>Monday</v>
      </c>
      <c r="K233" s="6">
        <f t="shared" si="34"/>
        <v>0</v>
      </c>
      <c r="L233" s="6">
        <v>1</v>
      </c>
      <c r="M233" s="6" t="str">
        <f t="shared" si="35"/>
        <v>Partly cloudy</v>
      </c>
      <c r="N233" s="8">
        <v>0.14000000000000001</v>
      </c>
      <c r="O233" s="8">
        <v>0.1515</v>
      </c>
      <c r="P233" s="8">
        <v>0.59</v>
      </c>
      <c r="Q233" s="8">
        <v>0.16420000000000001</v>
      </c>
      <c r="R233" s="6">
        <v>2</v>
      </c>
      <c r="S233" s="6">
        <v>22</v>
      </c>
      <c r="T233" s="6">
        <v>24</v>
      </c>
      <c r="U233" s="8">
        <f t="shared" si="36"/>
        <v>-0.38213483633622569</v>
      </c>
      <c r="V233" s="8" t="str">
        <f t="shared" si="37"/>
        <v>Normal</v>
      </c>
      <c r="W233" s="8">
        <f t="shared" si="38"/>
        <v>-0.65525997322023544</v>
      </c>
      <c r="X233" s="8" t="str">
        <f t="shared" si="39"/>
        <v>Normal</v>
      </c>
    </row>
    <row r="234" spans="1:24" x14ac:dyDescent="0.25">
      <c r="A234" s="6">
        <v>233</v>
      </c>
      <c r="B234" s="7">
        <v>40553</v>
      </c>
      <c r="C234" s="6">
        <v>1</v>
      </c>
      <c r="D234" s="6" t="str">
        <f t="shared" si="30"/>
        <v>january</v>
      </c>
      <c r="E234" s="6">
        <v>23</v>
      </c>
      <c r="F234" s="6" t="str">
        <f t="shared" si="31"/>
        <v>Night</v>
      </c>
      <c r="G234" s="6" t="b">
        <v>0</v>
      </c>
      <c r="H234" s="6">
        <f t="shared" si="32"/>
        <v>0</v>
      </c>
      <c r="I234" s="6">
        <v>1</v>
      </c>
      <c r="J234" s="6" t="str">
        <f t="shared" si="33"/>
        <v>Monday</v>
      </c>
      <c r="K234" s="6">
        <f t="shared" si="34"/>
        <v>0</v>
      </c>
      <c r="L234" s="6">
        <v>1</v>
      </c>
      <c r="M234" s="6" t="str">
        <f t="shared" si="35"/>
        <v>Partly cloudy</v>
      </c>
      <c r="N234" s="8">
        <v>0.14000000000000001</v>
      </c>
      <c r="O234" s="8">
        <v>0.1515</v>
      </c>
      <c r="P234" s="8">
        <v>0.59</v>
      </c>
      <c r="Q234" s="8">
        <v>0.16420000000000001</v>
      </c>
      <c r="R234" s="6">
        <v>0</v>
      </c>
      <c r="S234" s="6">
        <v>18</v>
      </c>
      <c r="T234" s="6">
        <v>18</v>
      </c>
      <c r="U234" s="8">
        <f t="shared" si="36"/>
        <v>-0.64378142061299781</v>
      </c>
      <c r="V234" s="8" t="str">
        <f t="shared" si="37"/>
        <v>Normal</v>
      </c>
      <c r="W234" s="8">
        <f t="shared" si="38"/>
        <v>-0.73877779793045883</v>
      </c>
      <c r="X234" s="8" t="str">
        <f t="shared" si="39"/>
        <v>Normal</v>
      </c>
    </row>
    <row r="235" spans="1:24" x14ac:dyDescent="0.25">
      <c r="A235" s="6">
        <v>234</v>
      </c>
      <c r="B235" s="7">
        <v>40554</v>
      </c>
      <c r="C235" s="6">
        <v>1</v>
      </c>
      <c r="D235" s="6" t="str">
        <f t="shared" si="30"/>
        <v>january</v>
      </c>
      <c r="E235" s="6">
        <v>0</v>
      </c>
      <c r="F235" s="6" t="str">
        <f t="shared" si="31"/>
        <v>Night</v>
      </c>
      <c r="G235" s="6" t="b">
        <v>0</v>
      </c>
      <c r="H235" s="6">
        <f t="shared" si="32"/>
        <v>0</v>
      </c>
      <c r="I235" s="6">
        <v>2</v>
      </c>
      <c r="J235" s="6" t="str">
        <f t="shared" si="33"/>
        <v>Tuesday</v>
      </c>
      <c r="K235" s="6">
        <f t="shared" si="34"/>
        <v>0</v>
      </c>
      <c r="L235" s="6">
        <v>1</v>
      </c>
      <c r="M235" s="6" t="str">
        <f t="shared" si="35"/>
        <v>Partly cloudy</v>
      </c>
      <c r="N235" s="8">
        <v>0.14000000000000001</v>
      </c>
      <c r="O235" s="8">
        <v>0.16669999999999999</v>
      </c>
      <c r="P235" s="8">
        <v>0.59</v>
      </c>
      <c r="Q235" s="8">
        <v>0.1045</v>
      </c>
      <c r="R235" s="6">
        <v>2</v>
      </c>
      <c r="S235" s="6">
        <v>10</v>
      </c>
      <c r="T235" s="6">
        <v>12</v>
      </c>
      <c r="U235" s="8">
        <f t="shared" si="36"/>
        <v>-0.38213483633622569</v>
      </c>
      <c r="V235" s="8" t="str">
        <f t="shared" si="37"/>
        <v>Normal</v>
      </c>
      <c r="W235" s="8">
        <f t="shared" si="38"/>
        <v>-0.90581344735090563</v>
      </c>
      <c r="X235" s="8" t="str">
        <f t="shared" si="39"/>
        <v>Normal</v>
      </c>
    </row>
    <row r="236" spans="1:24" x14ac:dyDescent="0.25">
      <c r="A236" s="6">
        <v>235</v>
      </c>
      <c r="B236" s="7">
        <v>40554</v>
      </c>
      <c r="C236" s="6">
        <v>1</v>
      </c>
      <c r="D236" s="6" t="str">
        <f t="shared" si="30"/>
        <v>january</v>
      </c>
      <c r="E236" s="6">
        <v>1</v>
      </c>
      <c r="F236" s="6" t="str">
        <f t="shared" si="31"/>
        <v>Night</v>
      </c>
      <c r="G236" s="6" t="b">
        <v>0</v>
      </c>
      <c r="H236" s="6">
        <f t="shared" si="32"/>
        <v>0</v>
      </c>
      <c r="I236" s="6">
        <v>2</v>
      </c>
      <c r="J236" s="6" t="str">
        <f t="shared" si="33"/>
        <v>Tuesday</v>
      </c>
      <c r="K236" s="6">
        <f t="shared" si="34"/>
        <v>0</v>
      </c>
      <c r="L236" s="6">
        <v>1</v>
      </c>
      <c r="M236" s="6" t="str">
        <f t="shared" si="35"/>
        <v>Partly cloudy</v>
      </c>
      <c r="N236" s="8">
        <v>0.14000000000000001</v>
      </c>
      <c r="O236" s="8">
        <v>0.1515</v>
      </c>
      <c r="P236" s="8">
        <v>0.59</v>
      </c>
      <c r="Q236" s="8">
        <v>0.16420000000000001</v>
      </c>
      <c r="R236" s="6">
        <v>0</v>
      </c>
      <c r="S236" s="6">
        <v>3</v>
      </c>
      <c r="T236" s="6">
        <v>3</v>
      </c>
      <c r="U236" s="8">
        <f t="shared" si="36"/>
        <v>-0.64378142061299781</v>
      </c>
      <c r="V236" s="8" t="str">
        <f t="shared" si="37"/>
        <v>Normal</v>
      </c>
      <c r="W236" s="8">
        <f t="shared" si="38"/>
        <v>-1.0519696405937966</v>
      </c>
      <c r="X236" s="8" t="str">
        <f t="shared" si="39"/>
        <v>Normal</v>
      </c>
    </row>
    <row r="237" spans="1:24" x14ac:dyDescent="0.25">
      <c r="A237" s="6">
        <v>236</v>
      </c>
      <c r="B237" s="7">
        <v>40554</v>
      </c>
      <c r="C237" s="6">
        <v>1</v>
      </c>
      <c r="D237" s="6" t="str">
        <f t="shared" si="30"/>
        <v>january</v>
      </c>
      <c r="E237" s="6">
        <v>2</v>
      </c>
      <c r="F237" s="6" t="str">
        <f t="shared" si="31"/>
        <v>Night</v>
      </c>
      <c r="G237" s="6" t="b">
        <v>0</v>
      </c>
      <c r="H237" s="6">
        <f t="shared" si="32"/>
        <v>0</v>
      </c>
      <c r="I237" s="6">
        <v>2</v>
      </c>
      <c r="J237" s="6" t="str">
        <f t="shared" si="33"/>
        <v>Tuesday</v>
      </c>
      <c r="K237" s="6">
        <f t="shared" si="34"/>
        <v>0</v>
      </c>
      <c r="L237" s="6">
        <v>2</v>
      </c>
      <c r="M237" s="6" t="str">
        <f t="shared" si="35"/>
        <v>Cloudy</v>
      </c>
      <c r="N237" s="8">
        <v>0.16</v>
      </c>
      <c r="O237" s="8">
        <v>0.1515</v>
      </c>
      <c r="P237" s="8">
        <v>0.55000000000000004</v>
      </c>
      <c r="Q237" s="8">
        <v>0.19400000000000001</v>
      </c>
      <c r="R237" s="6">
        <v>0</v>
      </c>
      <c r="S237" s="6">
        <v>3</v>
      </c>
      <c r="T237" s="6">
        <v>3</v>
      </c>
      <c r="U237" s="8">
        <f t="shared" si="36"/>
        <v>-0.64378142061299781</v>
      </c>
      <c r="V237" s="8" t="str">
        <f t="shared" si="37"/>
        <v>Normal</v>
      </c>
      <c r="W237" s="8">
        <f t="shared" si="38"/>
        <v>-1.0519696405937966</v>
      </c>
      <c r="X237" s="8" t="str">
        <f t="shared" si="39"/>
        <v>Normal</v>
      </c>
    </row>
    <row r="238" spans="1:24" x14ac:dyDescent="0.25">
      <c r="A238" s="6">
        <v>237</v>
      </c>
      <c r="B238" s="7">
        <v>40554</v>
      </c>
      <c r="C238" s="6">
        <v>1</v>
      </c>
      <c r="D238" s="6" t="str">
        <f t="shared" si="30"/>
        <v>january</v>
      </c>
      <c r="E238" s="6">
        <v>5</v>
      </c>
      <c r="F238" s="6" t="str">
        <f t="shared" si="31"/>
        <v>Early Morning</v>
      </c>
      <c r="G238" s="6" t="b">
        <v>0</v>
      </c>
      <c r="H238" s="6">
        <f t="shared" si="32"/>
        <v>0</v>
      </c>
      <c r="I238" s="6">
        <v>2</v>
      </c>
      <c r="J238" s="6" t="str">
        <f t="shared" si="33"/>
        <v>Tuesday</v>
      </c>
      <c r="K238" s="6">
        <f t="shared" si="34"/>
        <v>0</v>
      </c>
      <c r="L238" s="6">
        <v>2</v>
      </c>
      <c r="M238" s="6" t="str">
        <f t="shared" si="35"/>
        <v>Cloudy</v>
      </c>
      <c r="N238" s="8">
        <v>0.16</v>
      </c>
      <c r="O238" s="8">
        <v>0.18179999999999999</v>
      </c>
      <c r="P238" s="8">
        <v>0.55000000000000004</v>
      </c>
      <c r="Q238" s="8">
        <v>0.1343</v>
      </c>
      <c r="R238" s="6">
        <v>0</v>
      </c>
      <c r="S238" s="6">
        <v>6</v>
      </c>
      <c r="T238" s="6">
        <v>6</v>
      </c>
      <c r="U238" s="8">
        <f t="shared" si="36"/>
        <v>-0.64378142061299781</v>
      </c>
      <c r="V238" s="8" t="str">
        <f t="shared" si="37"/>
        <v>Normal</v>
      </c>
      <c r="W238" s="8">
        <f t="shared" si="38"/>
        <v>-0.98933127206112903</v>
      </c>
      <c r="X238" s="8" t="str">
        <f t="shared" si="39"/>
        <v>Normal</v>
      </c>
    </row>
    <row r="239" spans="1:24" x14ac:dyDescent="0.25">
      <c r="A239" s="6">
        <v>238</v>
      </c>
      <c r="B239" s="7">
        <v>40554</v>
      </c>
      <c r="C239" s="6">
        <v>1</v>
      </c>
      <c r="D239" s="6" t="str">
        <f t="shared" si="30"/>
        <v>january</v>
      </c>
      <c r="E239" s="6">
        <v>6</v>
      </c>
      <c r="F239" s="6" t="str">
        <f t="shared" si="31"/>
        <v>Early Morning</v>
      </c>
      <c r="G239" s="6" t="b">
        <v>0</v>
      </c>
      <c r="H239" s="6">
        <f t="shared" si="32"/>
        <v>0</v>
      </c>
      <c r="I239" s="6">
        <v>2</v>
      </c>
      <c r="J239" s="6" t="str">
        <f t="shared" si="33"/>
        <v>Tuesday</v>
      </c>
      <c r="K239" s="6">
        <f t="shared" si="34"/>
        <v>0</v>
      </c>
      <c r="L239" s="6">
        <v>2</v>
      </c>
      <c r="M239" s="6" t="str">
        <f t="shared" si="35"/>
        <v>Cloudy</v>
      </c>
      <c r="N239" s="8">
        <v>0.16</v>
      </c>
      <c r="O239" s="8">
        <v>0.18179999999999999</v>
      </c>
      <c r="P239" s="8">
        <v>0.55000000000000004</v>
      </c>
      <c r="Q239" s="8">
        <v>0.1343</v>
      </c>
      <c r="R239" s="6">
        <v>0</v>
      </c>
      <c r="S239" s="6">
        <v>27</v>
      </c>
      <c r="T239" s="6">
        <v>27</v>
      </c>
      <c r="U239" s="8">
        <f t="shared" si="36"/>
        <v>-0.64378142061299781</v>
      </c>
      <c r="V239" s="8" t="str">
        <f t="shared" si="37"/>
        <v>Normal</v>
      </c>
      <c r="W239" s="8">
        <f t="shared" si="38"/>
        <v>-0.55086269233245611</v>
      </c>
      <c r="X239" s="8" t="str">
        <f t="shared" si="39"/>
        <v>Normal</v>
      </c>
    </row>
    <row r="240" spans="1:24" x14ac:dyDescent="0.25">
      <c r="A240" s="6">
        <v>239</v>
      </c>
      <c r="B240" s="7">
        <v>40554</v>
      </c>
      <c r="C240" s="6">
        <v>1</v>
      </c>
      <c r="D240" s="6" t="str">
        <f t="shared" si="30"/>
        <v>january</v>
      </c>
      <c r="E240" s="6">
        <v>7</v>
      </c>
      <c r="F240" s="6" t="str">
        <f t="shared" si="31"/>
        <v>Early Morning</v>
      </c>
      <c r="G240" s="6" t="b">
        <v>0</v>
      </c>
      <c r="H240" s="6">
        <f t="shared" si="32"/>
        <v>0</v>
      </c>
      <c r="I240" s="6">
        <v>2</v>
      </c>
      <c r="J240" s="6" t="str">
        <f t="shared" si="33"/>
        <v>Tuesday</v>
      </c>
      <c r="K240" s="6">
        <f t="shared" si="34"/>
        <v>0</v>
      </c>
      <c r="L240" s="6">
        <v>2</v>
      </c>
      <c r="M240" s="6" t="str">
        <f t="shared" si="35"/>
        <v>Cloudy</v>
      </c>
      <c r="N240" s="8">
        <v>0.16</v>
      </c>
      <c r="O240" s="8">
        <v>0.2273</v>
      </c>
      <c r="P240" s="8">
        <v>0.55000000000000004</v>
      </c>
      <c r="Q240" s="8">
        <v>0</v>
      </c>
      <c r="R240" s="6">
        <v>2</v>
      </c>
      <c r="S240" s="6">
        <v>97</v>
      </c>
      <c r="T240" s="6">
        <v>99</v>
      </c>
      <c r="U240" s="8">
        <f t="shared" si="36"/>
        <v>-0.38213483633622569</v>
      </c>
      <c r="V240" s="8" t="str">
        <f t="shared" si="37"/>
        <v>Normal</v>
      </c>
      <c r="W240" s="8">
        <f t="shared" si="38"/>
        <v>0.91069924009645364</v>
      </c>
      <c r="X240" s="8" t="str">
        <f t="shared" si="39"/>
        <v>Normal</v>
      </c>
    </row>
    <row r="241" spans="1:24" x14ac:dyDescent="0.25">
      <c r="A241" s="6">
        <v>240</v>
      </c>
      <c r="B241" s="7">
        <v>40554</v>
      </c>
      <c r="C241" s="6">
        <v>1</v>
      </c>
      <c r="D241" s="6" t="str">
        <f t="shared" si="30"/>
        <v>january</v>
      </c>
      <c r="E241" s="6">
        <v>8</v>
      </c>
      <c r="F241" s="6" t="str">
        <f t="shared" si="31"/>
        <v>Morning</v>
      </c>
      <c r="G241" s="6" t="b">
        <v>0</v>
      </c>
      <c r="H241" s="6">
        <f t="shared" si="32"/>
        <v>0</v>
      </c>
      <c r="I241" s="6">
        <v>2</v>
      </c>
      <c r="J241" s="6" t="str">
        <f t="shared" si="33"/>
        <v>Tuesday</v>
      </c>
      <c r="K241" s="6">
        <f t="shared" si="34"/>
        <v>0</v>
      </c>
      <c r="L241" s="6">
        <v>2</v>
      </c>
      <c r="M241" s="6" t="str">
        <f t="shared" si="35"/>
        <v>Cloudy</v>
      </c>
      <c r="N241" s="8">
        <v>0.18</v>
      </c>
      <c r="O241" s="8">
        <v>0.21210000000000001</v>
      </c>
      <c r="P241" s="8">
        <v>0.51</v>
      </c>
      <c r="Q241" s="8">
        <v>8.9599999999999999E-2</v>
      </c>
      <c r="R241" s="6">
        <v>3</v>
      </c>
      <c r="S241" s="6">
        <v>214</v>
      </c>
      <c r="T241" s="6">
        <v>217</v>
      </c>
      <c r="U241" s="8">
        <f t="shared" si="36"/>
        <v>-0.25131154419783963</v>
      </c>
      <c r="V241" s="8" t="str">
        <f t="shared" si="37"/>
        <v>Normal</v>
      </c>
      <c r="W241" s="8">
        <f t="shared" si="38"/>
        <v>3.3535956128704885</v>
      </c>
      <c r="X241" s="8" t="str">
        <f t="shared" si="39"/>
        <v>Peak</v>
      </c>
    </row>
    <row r="242" spans="1:24" x14ac:dyDescent="0.25">
      <c r="A242" s="6">
        <v>241</v>
      </c>
      <c r="B242" s="7">
        <v>40554</v>
      </c>
      <c r="C242" s="6">
        <v>1</v>
      </c>
      <c r="D242" s="6" t="str">
        <f t="shared" si="30"/>
        <v>january</v>
      </c>
      <c r="E242" s="6">
        <v>9</v>
      </c>
      <c r="F242" s="6" t="str">
        <f t="shared" si="31"/>
        <v>Morning</v>
      </c>
      <c r="G242" s="6" t="b">
        <v>0</v>
      </c>
      <c r="H242" s="6">
        <f t="shared" si="32"/>
        <v>0</v>
      </c>
      <c r="I242" s="6">
        <v>2</v>
      </c>
      <c r="J242" s="6" t="str">
        <f t="shared" si="33"/>
        <v>Tuesday</v>
      </c>
      <c r="K242" s="6">
        <f t="shared" si="34"/>
        <v>0</v>
      </c>
      <c r="L242" s="6">
        <v>2</v>
      </c>
      <c r="M242" s="6" t="str">
        <f t="shared" si="35"/>
        <v>Cloudy</v>
      </c>
      <c r="N242" s="8">
        <v>0.18</v>
      </c>
      <c r="O242" s="8">
        <v>0.19700000000000001</v>
      </c>
      <c r="P242" s="8">
        <v>0.51</v>
      </c>
      <c r="Q242" s="8">
        <v>0.16420000000000001</v>
      </c>
      <c r="R242" s="6">
        <v>3</v>
      </c>
      <c r="S242" s="6">
        <v>127</v>
      </c>
      <c r="T242" s="6">
        <v>130</v>
      </c>
      <c r="U242" s="8">
        <f t="shared" si="36"/>
        <v>-0.25131154419783963</v>
      </c>
      <c r="V242" s="8" t="str">
        <f t="shared" si="37"/>
        <v>Normal</v>
      </c>
      <c r="W242" s="8">
        <f t="shared" si="38"/>
        <v>1.5370829254231291</v>
      </c>
      <c r="X242" s="8" t="str">
        <f t="shared" si="39"/>
        <v>Normal</v>
      </c>
    </row>
    <row r="243" spans="1:24" x14ac:dyDescent="0.25">
      <c r="A243" s="6">
        <v>242</v>
      </c>
      <c r="B243" s="7">
        <v>40554</v>
      </c>
      <c r="C243" s="6">
        <v>1</v>
      </c>
      <c r="D243" s="6" t="str">
        <f t="shared" si="30"/>
        <v>january</v>
      </c>
      <c r="E243" s="6">
        <v>10</v>
      </c>
      <c r="F243" s="6" t="str">
        <f t="shared" si="31"/>
        <v>Morning</v>
      </c>
      <c r="G243" s="6" t="b">
        <v>0</v>
      </c>
      <c r="H243" s="6">
        <f t="shared" si="32"/>
        <v>0</v>
      </c>
      <c r="I243" s="6">
        <v>2</v>
      </c>
      <c r="J243" s="6" t="str">
        <f t="shared" si="33"/>
        <v>Tuesday</v>
      </c>
      <c r="K243" s="6">
        <f t="shared" si="34"/>
        <v>0</v>
      </c>
      <c r="L243" s="6">
        <v>2</v>
      </c>
      <c r="M243" s="6" t="str">
        <f t="shared" si="35"/>
        <v>Cloudy</v>
      </c>
      <c r="N243" s="8">
        <v>0.2</v>
      </c>
      <c r="O243" s="8">
        <v>0.21210000000000001</v>
      </c>
      <c r="P243" s="8">
        <v>0.51</v>
      </c>
      <c r="Q243" s="8">
        <v>0.16420000000000001</v>
      </c>
      <c r="R243" s="6">
        <v>3</v>
      </c>
      <c r="S243" s="6">
        <v>51</v>
      </c>
      <c r="T243" s="6">
        <v>54</v>
      </c>
      <c r="U243" s="8">
        <f t="shared" si="36"/>
        <v>-0.25131154419783963</v>
      </c>
      <c r="V243" s="8" t="str">
        <f t="shared" si="37"/>
        <v>Normal</v>
      </c>
      <c r="W243" s="8">
        <f t="shared" si="38"/>
        <v>-4.9755744071115653E-2</v>
      </c>
      <c r="X243" s="8" t="str">
        <f t="shared" si="39"/>
        <v>Normal</v>
      </c>
    </row>
    <row r="244" spans="1:24" x14ac:dyDescent="0.25">
      <c r="A244" s="6">
        <v>243</v>
      </c>
      <c r="B244" s="7">
        <v>40554</v>
      </c>
      <c r="C244" s="6">
        <v>1</v>
      </c>
      <c r="D244" s="6" t="str">
        <f t="shared" si="30"/>
        <v>january</v>
      </c>
      <c r="E244" s="6">
        <v>11</v>
      </c>
      <c r="F244" s="6" t="str">
        <f t="shared" si="31"/>
        <v>Morning</v>
      </c>
      <c r="G244" s="6" t="b">
        <v>0</v>
      </c>
      <c r="H244" s="6">
        <f t="shared" si="32"/>
        <v>0</v>
      </c>
      <c r="I244" s="6">
        <v>2</v>
      </c>
      <c r="J244" s="6" t="str">
        <f t="shared" si="33"/>
        <v>Tuesday</v>
      </c>
      <c r="K244" s="6">
        <f t="shared" si="34"/>
        <v>0</v>
      </c>
      <c r="L244" s="6">
        <v>2</v>
      </c>
      <c r="M244" s="6" t="str">
        <f t="shared" si="35"/>
        <v>Cloudy</v>
      </c>
      <c r="N244" s="8">
        <v>0.2</v>
      </c>
      <c r="O244" s="8">
        <v>0.21210000000000001</v>
      </c>
      <c r="P244" s="8">
        <v>0.47</v>
      </c>
      <c r="Q244" s="8">
        <v>0.1343</v>
      </c>
      <c r="R244" s="6">
        <v>4</v>
      </c>
      <c r="S244" s="6">
        <v>31</v>
      </c>
      <c r="T244" s="6">
        <v>35</v>
      </c>
      <c r="U244" s="8">
        <f t="shared" si="36"/>
        <v>-0.1204882520594536</v>
      </c>
      <c r="V244" s="8" t="str">
        <f t="shared" si="37"/>
        <v>Normal</v>
      </c>
      <c r="W244" s="8">
        <f t="shared" si="38"/>
        <v>-0.46734486762223271</v>
      </c>
      <c r="X244" s="8" t="str">
        <f t="shared" si="39"/>
        <v>Normal</v>
      </c>
    </row>
    <row r="245" spans="1:24" x14ac:dyDescent="0.25">
      <c r="A245" s="6">
        <v>244</v>
      </c>
      <c r="B245" s="7">
        <v>40554</v>
      </c>
      <c r="C245" s="6">
        <v>1</v>
      </c>
      <c r="D245" s="6" t="str">
        <f t="shared" si="30"/>
        <v>january</v>
      </c>
      <c r="E245" s="6">
        <v>12</v>
      </c>
      <c r="F245" s="6" t="str">
        <f t="shared" si="31"/>
        <v>Afternoon</v>
      </c>
      <c r="G245" s="6" t="b">
        <v>0</v>
      </c>
      <c r="H245" s="6">
        <f t="shared" si="32"/>
        <v>0</v>
      </c>
      <c r="I245" s="6">
        <v>2</v>
      </c>
      <c r="J245" s="6" t="str">
        <f t="shared" si="33"/>
        <v>Tuesday</v>
      </c>
      <c r="K245" s="6">
        <f t="shared" si="34"/>
        <v>0</v>
      </c>
      <c r="L245" s="6">
        <v>2</v>
      </c>
      <c r="M245" s="6" t="str">
        <f t="shared" si="35"/>
        <v>Cloudy</v>
      </c>
      <c r="N245" s="8">
        <v>0.2</v>
      </c>
      <c r="O245" s="8">
        <v>0.2273</v>
      </c>
      <c r="P245" s="8">
        <v>0.51</v>
      </c>
      <c r="Q245" s="8">
        <v>0.1045</v>
      </c>
      <c r="R245" s="6">
        <v>2</v>
      </c>
      <c r="S245" s="6">
        <v>55</v>
      </c>
      <c r="T245" s="6">
        <v>57</v>
      </c>
      <c r="U245" s="8">
        <f t="shared" si="36"/>
        <v>-0.38213483633622569</v>
      </c>
      <c r="V245" s="8" t="str">
        <f t="shared" si="37"/>
        <v>Normal</v>
      </c>
      <c r="W245" s="8">
        <f t="shared" si="38"/>
        <v>3.376208063910776E-2</v>
      </c>
      <c r="X245" s="8" t="str">
        <f t="shared" si="39"/>
        <v>Normal</v>
      </c>
    </row>
    <row r="246" spans="1:24" x14ac:dyDescent="0.25">
      <c r="A246" s="6">
        <v>245</v>
      </c>
      <c r="B246" s="7">
        <v>40554</v>
      </c>
      <c r="C246" s="6">
        <v>1</v>
      </c>
      <c r="D246" s="6" t="str">
        <f t="shared" si="30"/>
        <v>january</v>
      </c>
      <c r="E246" s="6">
        <v>13</v>
      </c>
      <c r="F246" s="6" t="str">
        <f t="shared" si="31"/>
        <v>Afternoon</v>
      </c>
      <c r="G246" s="6" t="b">
        <v>0</v>
      </c>
      <c r="H246" s="6">
        <f t="shared" si="32"/>
        <v>0</v>
      </c>
      <c r="I246" s="6">
        <v>2</v>
      </c>
      <c r="J246" s="6" t="str">
        <f t="shared" si="33"/>
        <v>Tuesday</v>
      </c>
      <c r="K246" s="6">
        <f t="shared" si="34"/>
        <v>0</v>
      </c>
      <c r="L246" s="6">
        <v>2</v>
      </c>
      <c r="M246" s="6" t="str">
        <f t="shared" si="35"/>
        <v>Cloudy</v>
      </c>
      <c r="N246" s="8">
        <v>0.2</v>
      </c>
      <c r="O246" s="8">
        <v>0.2273</v>
      </c>
      <c r="P246" s="8">
        <v>0.59</v>
      </c>
      <c r="Q246" s="8">
        <v>8.9599999999999999E-2</v>
      </c>
      <c r="R246" s="6">
        <v>6</v>
      </c>
      <c r="S246" s="6">
        <v>46</v>
      </c>
      <c r="T246" s="6">
        <v>52</v>
      </c>
      <c r="U246" s="8">
        <f t="shared" si="36"/>
        <v>0.14115833221731852</v>
      </c>
      <c r="V246" s="8" t="str">
        <f t="shared" si="37"/>
        <v>Normal</v>
      </c>
      <c r="W246" s="8">
        <f t="shared" si="38"/>
        <v>-0.15415302495889494</v>
      </c>
      <c r="X246" s="8" t="str">
        <f t="shared" si="39"/>
        <v>Normal</v>
      </c>
    </row>
    <row r="247" spans="1:24" x14ac:dyDescent="0.25">
      <c r="A247" s="6">
        <v>246</v>
      </c>
      <c r="B247" s="7">
        <v>40554</v>
      </c>
      <c r="C247" s="6">
        <v>1</v>
      </c>
      <c r="D247" s="6" t="str">
        <f t="shared" si="30"/>
        <v>january</v>
      </c>
      <c r="E247" s="6">
        <v>14</v>
      </c>
      <c r="F247" s="6" t="str">
        <f t="shared" si="31"/>
        <v>Afternoon</v>
      </c>
      <c r="G247" s="6" t="b">
        <v>0</v>
      </c>
      <c r="H247" s="6">
        <f t="shared" si="32"/>
        <v>0</v>
      </c>
      <c r="I247" s="6">
        <v>2</v>
      </c>
      <c r="J247" s="6" t="str">
        <f t="shared" si="33"/>
        <v>Tuesday</v>
      </c>
      <c r="K247" s="6">
        <f t="shared" si="34"/>
        <v>0</v>
      </c>
      <c r="L247" s="6">
        <v>2</v>
      </c>
      <c r="M247" s="6" t="str">
        <f t="shared" si="35"/>
        <v>Cloudy</v>
      </c>
      <c r="N247" s="8">
        <v>0.2</v>
      </c>
      <c r="O247" s="8">
        <v>0.2273</v>
      </c>
      <c r="P247" s="8">
        <v>0.59</v>
      </c>
      <c r="Q247" s="8">
        <v>8.9599999999999999E-2</v>
      </c>
      <c r="R247" s="6">
        <v>3</v>
      </c>
      <c r="S247" s="6">
        <v>60</v>
      </c>
      <c r="T247" s="6">
        <v>63</v>
      </c>
      <c r="U247" s="8">
        <f t="shared" si="36"/>
        <v>-0.25131154419783963</v>
      </c>
      <c r="V247" s="8" t="str">
        <f t="shared" si="37"/>
        <v>Normal</v>
      </c>
      <c r="W247" s="8">
        <f t="shared" si="38"/>
        <v>0.13815936152688704</v>
      </c>
      <c r="X247" s="8" t="str">
        <f t="shared" si="39"/>
        <v>Normal</v>
      </c>
    </row>
    <row r="248" spans="1:24" x14ac:dyDescent="0.25">
      <c r="A248" s="6">
        <v>247</v>
      </c>
      <c r="B248" s="7">
        <v>40554</v>
      </c>
      <c r="C248" s="6">
        <v>1</v>
      </c>
      <c r="D248" s="6" t="str">
        <f t="shared" si="30"/>
        <v>january</v>
      </c>
      <c r="E248" s="6">
        <v>15</v>
      </c>
      <c r="F248" s="6" t="str">
        <f t="shared" si="31"/>
        <v>Afternoon</v>
      </c>
      <c r="G248" s="6" t="b">
        <v>0</v>
      </c>
      <c r="H248" s="6">
        <f t="shared" si="32"/>
        <v>0</v>
      </c>
      <c r="I248" s="6">
        <v>2</v>
      </c>
      <c r="J248" s="6" t="str">
        <f t="shared" si="33"/>
        <v>Tuesday</v>
      </c>
      <c r="K248" s="6">
        <f t="shared" si="34"/>
        <v>0</v>
      </c>
      <c r="L248" s="6">
        <v>2</v>
      </c>
      <c r="M248" s="6" t="str">
        <f t="shared" si="35"/>
        <v>Cloudy</v>
      </c>
      <c r="N248" s="8">
        <v>0.16</v>
      </c>
      <c r="O248" s="8">
        <v>0.19700000000000001</v>
      </c>
      <c r="P248" s="8">
        <v>0.8</v>
      </c>
      <c r="Q248" s="8">
        <v>8.9599999999999999E-2</v>
      </c>
      <c r="R248" s="6">
        <v>2</v>
      </c>
      <c r="S248" s="6">
        <v>45</v>
      </c>
      <c r="T248" s="6">
        <v>47</v>
      </c>
      <c r="U248" s="8">
        <f t="shared" si="36"/>
        <v>-0.38213483633622569</v>
      </c>
      <c r="V248" s="8" t="str">
        <f t="shared" si="37"/>
        <v>Normal</v>
      </c>
      <c r="W248" s="8">
        <f t="shared" si="38"/>
        <v>-0.17503248113645078</v>
      </c>
      <c r="X248" s="8" t="str">
        <f t="shared" si="39"/>
        <v>Normal</v>
      </c>
    </row>
    <row r="249" spans="1:24" x14ac:dyDescent="0.25">
      <c r="A249" s="6">
        <v>248</v>
      </c>
      <c r="B249" s="7">
        <v>40554</v>
      </c>
      <c r="C249" s="6">
        <v>1</v>
      </c>
      <c r="D249" s="6" t="str">
        <f t="shared" si="30"/>
        <v>january</v>
      </c>
      <c r="E249" s="6">
        <v>16</v>
      </c>
      <c r="F249" s="6" t="str">
        <f t="shared" si="31"/>
        <v>Afternoon</v>
      </c>
      <c r="G249" s="6" t="b">
        <v>0</v>
      </c>
      <c r="H249" s="6">
        <f t="shared" si="32"/>
        <v>0</v>
      </c>
      <c r="I249" s="6">
        <v>2</v>
      </c>
      <c r="J249" s="6" t="str">
        <f t="shared" si="33"/>
        <v>Tuesday</v>
      </c>
      <c r="K249" s="6">
        <f t="shared" si="34"/>
        <v>0</v>
      </c>
      <c r="L249" s="6">
        <v>2</v>
      </c>
      <c r="M249" s="6" t="str">
        <f t="shared" si="35"/>
        <v>Cloudy</v>
      </c>
      <c r="N249" s="8">
        <v>0.16</v>
      </c>
      <c r="O249" s="8">
        <v>0.1515</v>
      </c>
      <c r="P249" s="8">
        <v>0.86</v>
      </c>
      <c r="Q249" s="8">
        <v>0.22389999999999999</v>
      </c>
      <c r="R249" s="6">
        <v>4</v>
      </c>
      <c r="S249" s="6">
        <v>72</v>
      </c>
      <c r="T249" s="6">
        <v>76</v>
      </c>
      <c r="U249" s="8">
        <f t="shared" si="36"/>
        <v>-0.1204882520594536</v>
      </c>
      <c r="V249" s="8" t="str">
        <f t="shared" si="37"/>
        <v>Normal</v>
      </c>
      <c r="W249" s="8">
        <f t="shared" si="38"/>
        <v>0.38871283565755727</v>
      </c>
      <c r="X249" s="8" t="str">
        <f t="shared" si="39"/>
        <v>Normal</v>
      </c>
    </row>
    <row r="250" spans="1:24" x14ac:dyDescent="0.25">
      <c r="A250" s="6">
        <v>249</v>
      </c>
      <c r="B250" s="7">
        <v>40554</v>
      </c>
      <c r="C250" s="6">
        <v>1</v>
      </c>
      <c r="D250" s="6" t="str">
        <f t="shared" si="30"/>
        <v>january</v>
      </c>
      <c r="E250" s="6">
        <v>17</v>
      </c>
      <c r="F250" s="6" t="str">
        <f t="shared" si="31"/>
        <v>Evening</v>
      </c>
      <c r="G250" s="6" t="b">
        <v>0</v>
      </c>
      <c r="H250" s="6">
        <f t="shared" si="32"/>
        <v>0</v>
      </c>
      <c r="I250" s="6">
        <v>2</v>
      </c>
      <c r="J250" s="6" t="str">
        <f t="shared" si="33"/>
        <v>Tuesday</v>
      </c>
      <c r="K250" s="6">
        <f t="shared" si="34"/>
        <v>0</v>
      </c>
      <c r="L250" s="6">
        <v>2</v>
      </c>
      <c r="M250" s="6" t="str">
        <f t="shared" si="35"/>
        <v>Cloudy</v>
      </c>
      <c r="N250" s="8">
        <v>0.16</v>
      </c>
      <c r="O250" s="8">
        <v>0.1515</v>
      </c>
      <c r="P250" s="8">
        <v>0.86</v>
      </c>
      <c r="Q250" s="8">
        <v>0.22389999999999999</v>
      </c>
      <c r="R250" s="6">
        <v>6</v>
      </c>
      <c r="S250" s="6">
        <v>130</v>
      </c>
      <c r="T250" s="6">
        <v>136</v>
      </c>
      <c r="U250" s="8">
        <f t="shared" si="36"/>
        <v>0.14115833221731852</v>
      </c>
      <c r="V250" s="8" t="str">
        <f t="shared" si="37"/>
        <v>Normal</v>
      </c>
      <c r="W250" s="8">
        <f t="shared" si="38"/>
        <v>1.5997212939557968</v>
      </c>
      <c r="X250" s="8" t="str">
        <f t="shared" si="39"/>
        <v>Normal</v>
      </c>
    </row>
    <row r="251" spans="1:24" x14ac:dyDescent="0.25">
      <c r="A251" s="6">
        <v>250</v>
      </c>
      <c r="B251" s="7">
        <v>40554</v>
      </c>
      <c r="C251" s="6">
        <v>1</v>
      </c>
      <c r="D251" s="6" t="str">
        <f t="shared" si="30"/>
        <v>january</v>
      </c>
      <c r="E251" s="6">
        <v>18</v>
      </c>
      <c r="F251" s="6" t="str">
        <f t="shared" si="31"/>
        <v>Evening</v>
      </c>
      <c r="G251" s="6" t="b">
        <v>0</v>
      </c>
      <c r="H251" s="6">
        <f t="shared" si="32"/>
        <v>0</v>
      </c>
      <c r="I251" s="6">
        <v>2</v>
      </c>
      <c r="J251" s="6" t="str">
        <f t="shared" si="33"/>
        <v>Tuesday</v>
      </c>
      <c r="K251" s="6">
        <f t="shared" si="34"/>
        <v>0</v>
      </c>
      <c r="L251" s="6">
        <v>3</v>
      </c>
      <c r="M251" s="6" t="str">
        <f t="shared" si="35"/>
        <v>Light rain</v>
      </c>
      <c r="N251" s="8">
        <v>0.16</v>
      </c>
      <c r="O251" s="8">
        <v>0.18179999999999999</v>
      </c>
      <c r="P251" s="8">
        <v>0.93</v>
      </c>
      <c r="Q251" s="8">
        <v>0.1045</v>
      </c>
      <c r="R251" s="6">
        <v>1</v>
      </c>
      <c r="S251" s="6">
        <v>94</v>
      </c>
      <c r="T251" s="6">
        <v>95</v>
      </c>
      <c r="U251" s="8">
        <f t="shared" si="36"/>
        <v>-0.51295812847461175</v>
      </c>
      <c r="V251" s="8" t="str">
        <f t="shared" si="37"/>
        <v>Normal</v>
      </c>
      <c r="W251" s="8">
        <f t="shared" si="38"/>
        <v>0.84806087156378607</v>
      </c>
      <c r="X251" s="8" t="str">
        <f t="shared" si="39"/>
        <v>Normal</v>
      </c>
    </row>
    <row r="252" spans="1:24" x14ac:dyDescent="0.25">
      <c r="A252" s="6">
        <v>251</v>
      </c>
      <c r="B252" s="7">
        <v>40554</v>
      </c>
      <c r="C252" s="6">
        <v>1</v>
      </c>
      <c r="D252" s="6" t="str">
        <f t="shared" si="30"/>
        <v>january</v>
      </c>
      <c r="E252" s="6">
        <v>19</v>
      </c>
      <c r="F252" s="6" t="str">
        <f t="shared" si="31"/>
        <v>Evening</v>
      </c>
      <c r="G252" s="6" t="b">
        <v>0</v>
      </c>
      <c r="H252" s="6">
        <f t="shared" si="32"/>
        <v>0</v>
      </c>
      <c r="I252" s="6">
        <v>2</v>
      </c>
      <c r="J252" s="6" t="str">
        <f t="shared" si="33"/>
        <v>Tuesday</v>
      </c>
      <c r="K252" s="6">
        <f t="shared" si="34"/>
        <v>0</v>
      </c>
      <c r="L252" s="6">
        <v>3</v>
      </c>
      <c r="M252" s="6" t="str">
        <f t="shared" si="35"/>
        <v>Light rain</v>
      </c>
      <c r="N252" s="8">
        <v>0.16</v>
      </c>
      <c r="O252" s="8">
        <v>0.2273</v>
      </c>
      <c r="P252" s="8">
        <v>0.93</v>
      </c>
      <c r="Q252" s="8">
        <v>0</v>
      </c>
      <c r="R252" s="6">
        <v>0</v>
      </c>
      <c r="S252" s="6">
        <v>51</v>
      </c>
      <c r="T252" s="6">
        <v>51</v>
      </c>
      <c r="U252" s="8">
        <f t="shared" si="36"/>
        <v>-0.64378142061299781</v>
      </c>
      <c r="V252" s="8" t="str">
        <f t="shared" si="37"/>
        <v>Normal</v>
      </c>
      <c r="W252" s="8">
        <f t="shared" si="38"/>
        <v>-4.9755744071115653E-2</v>
      </c>
      <c r="X252" s="8" t="str">
        <f t="shared" si="39"/>
        <v>Normal</v>
      </c>
    </row>
    <row r="253" spans="1:24" x14ac:dyDescent="0.25">
      <c r="A253" s="6">
        <v>252</v>
      </c>
      <c r="B253" s="7">
        <v>40554</v>
      </c>
      <c r="C253" s="6">
        <v>1</v>
      </c>
      <c r="D253" s="6" t="str">
        <f t="shared" si="30"/>
        <v>january</v>
      </c>
      <c r="E253" s="6">
        <v>20</v>
      </c>
      <c r="F253" s="6" t="str">
        <f t="shared" si="31"/>
        <v>Evening</v>
      </c>
      <c r="G253" s="6" t="b">
        <v>0</v>
      </c>
      <c r="H253" s="6">
        <f t="shared" si="32"/>
        <v>0</v>
      </c>
      <c r="I253" s="6">
        <v>2</v>
      </c>
      <c r="J253" s="6" t="str">
        <f t="shared" si="33"/>
        <v>Tuesday</v>
      </c>
      <c r="K253" s="6">
        <f t="shared" si="34"/>
        <v>0</v>
      </c>
      <c r="L253" s="6">
        <v>3</v>
      </c>
      <c r="M253" s="6" t="str">
        <f t="shared" si="35"/>
        <v>Light rain</v>
      </c>
      <c r="N253" s="8">
        <v>0.16</v>
      </c>
      <c r="O253" s="8">
        <v>0.1515</v>
      </c>
      <c r="P253" s="8">
        <v>0.93</v>
      </c>
      <c r="Q253" s="8">
        <v>0.19400000000000001</v>
      </c>
      <c r="R253" s="6">
        <v>0</v>
      </c>
      <c r="S253" s="6">
        <v>32</v>
      </c>
      <c r="T253" s="6">
        <v>32</v>
      </c>
      <c r="U253" s="8">
        <f t="shared" si="36"/>
        <v>-0.64378142061299781</v>
      </c>
      <c r="V253" s="8" t="str">
        <f t="shared" si="37"/>
        <v>Normal</v>
      </c>
      <c r="W253" s="8">
        <f t="shared" si="38"/>
        <v>-0.44646541144467689</v>
      </c>
      <c r="X253" s="8" t="str">
        <f t="shared" si="39"/>
        <v>Normal</v>
      </c>
    </row>
    <row r="254" spans="1:24" x14ac:dyDescent="0.25">
      <c r="A254" s="6">
        <v>253</v>
      </c>
      <c r="B254" s="7">
        <v>40554</v>
      </c>
      <c r="C254" s="6">
        <v>1</v>
      </c>
      <c r="D254" s="6" t="str">
        <f t="shared" si="30"/>
        <v>january</v>
      </c>
      <c r="E254" s="6">
        <v>21</v>
      </c>
      <c r="F254" s="6" t="str">
        <f t="shared" si="31"/>
        <v>Night</v>
      </c>
      <c r="G254" s="6" t="b">
        <v>0</v>
      </c>
      <c r="H254" s="6">
        <f t="shared" si="32"/>
        <v>0</v>
      </c>
      <c r="I254" s="6">
        <v>2</v>
      </c>
      <c r="J254" s="6" t="str">
        <f t="shared" si="33"/>
        <v>Tuesday</v>
      </c>
      <c r="K254" s="6">
        <f t="shared" si="34"/>
        <v>0</v>
      </c>
      <c r="L254" s="6">
        <v>3</v>
      </c>
      <c r="M254" s="6" t="str">
        <f t="shared" si="35"/>
        <v>Light rain</v>
      </c>
      <c r="N254" s="8">
        <v>0.16</v>
      </c>
      <c r="O254" s="8">
        <v>0.19700000000000001</v>
      </c>
      <c r="P254" s="8">
        <v>0.86</v>
      </c>
      <c r="Q254" s="8">
        <v>8.9599999999999999E-2</v>
      </c>
      <c r="R254" s="6">
        <v>0</v>
      </c>
      <c r="S254" s="6">
        <v>20</v>
      </c>
      <c r="T254" s="6">
        <v>20</v>
      </c>
      <c r="U254" s="8">
        <f t="shared" si="36"/>
        <v>-0.64378142061299781</v>
      </c>
      <c r="V254" s="8" t="str">
        <f t="shared" si="37"/>
        <v>Normal</v>
      </c>
      <c r="W254" s="8">
        <f t="shared" si="38"/>
        <v>-0.69701888557534708</v>
      </c>
      <c r="X254" s="8" t="str">
        <f t="shared" si="39"/>
        <v>Normal</v>
      </c>
    </row>
    <row r="255" spans="1:24" x14ac:dyDescent="0.25">
      <c r="A255" s="6">
        <v>254</v>
      </c>
      <c r="B255" s="7">
        <v>40554</v>
      </c>
      <c r="C255" s="6">
        <v>1</v>
      </c>
      <c r="D255" s="6" t="str">
        <f t="shared" si="30"/>
        <v>january</v>
      </c>
      <c r="E255" s="6">
        <v>22</v>
      </c>
      <c r="F255" s="6" t="str">
        <f t="shared" si="31"/>
        <v>Night</v>
      </c>
      <c r="G255" s="6" t="b">
        <v>0</v>
      </c>
      <c r="H255" s="6">
        <f t="shared" si="32"/>
        <v>0</v>
      </c>
      <c r="I255" s="6">
        <v>2</v>
      </c>
      <c r="J255" s="6" t="str">
        <f t="shared" si="33"/>
        <v>Tuesday</v>
      </c>
      <c r="K255" s="6">
        <f t="shared" si="34"/>
        <v>0</v>
      </c>
      <c r="L255" s="6">
        <v>3</v>
      </c>
      <c r="M255" s="6" t="str">
        <f t="shared" si="35"/>
        <v>Light rain</v>
      </c>
      <c r="N255" s="8">
        <v>0.16</v>
      </c>
      <c r="O255" s="8">
        <v>0.18179999999999999</v>
      </c>
      <c r="P255" s="8">
        <v>0.93</v>
      </c>
      <c r="Q255" s="8">
        <v>0.1045</v>
      </c>
      <c r="R255" s="6">
        <v>1</v>
      </c>
      <c r="S255" s="6">
        <v>28</v>
      </c>
      <c r="T255" s="6">
        <v>29</v>
      </c>
      <c r="U255" s="8">
        <f t="shared" si="36"/>
        <v>-0.51295812847461175</v>
      </c>
      <c r="V255" s="8" t="str">
        <f t="shared" si="37"/>
        <v>Normal</v>
      </c>
      <c r="W255" s="8">
        <f t="shared" si="38"/>
        <v>-0.52998323615490028</v>
      </c>
      <c r="X255" s="8" t="str">
        <f t="shared" si="39"/>
        <v>Normal</v>
      </c>
    </row>
    <row r="256" spans="1:24" x14ac:dyDescent="0.25">
      <c r="A256" s="6">
        <v>255</v>
      </c>
      <c r="B256" s="7">
        <v>40554</v>
      </c>
      <c r="C256" s="6">
        <v>1</v>
      </c>
      <c r="D256" s="6" t="str">
        <f t="shared" si="30"/>
        <v>january</v>
      </c>
      <c r="E256" s="6">
        <v>23</v>
      </c>
      <c r="F256" s="6" t="str">
        <f t="shared" si="31"/>
        <v>Night</v>
      </c>
      <c r="G256" s="6" t="b">
        <v>0</v>
      </c>
      <c r="H256" s="6">
        <f t="shared" si="32"/>
        <v>0</v>
      </c>
      <c r="I256" s="6">
        <v>2</v>
      </c>
      <c r="J256" s="6" t="str">
        <f t="shared" si="33"/>
        <v>Tuesday</v>
      </c>
      <c r="K256" s="6">
        <f t="shared" si="34"/>
        <v>0</v>
      </c>
      <c r="L256" s="6">
        <v>3</v>
      </c>
      <c r="M256" s="6" t="str">
        <f t="shared" si="35"/>
        <v>Light rain</v>
      </c>
      <c r="N256" s="8">
        <v>0.16</v>
      </c>
      <c r="O256" s="8">
        <v>0.19700000000000001</v>
      </c>
      <c r="P256" s="8">
        <v>0.93</v>
      </c>
      <c r="Q256" s="8">
        <v>8.9599999999999999E-2</v>
      </c>
      <c r="R256" s="6">
        <v>1</v>
      </c>
      <c r="S256" s="6">
        <v>18</v>
      </c>
      <c r="T256" s="6">
        <v>19</v>
      </c>
      <c r="U256" s="8">
        <f t="shared" si="36"/>
        <v>-0.51295812847461175</v>
      </c>
      <c r="V256" s="8" t="str">
        <f t="shared" si="37"/>
        <v>Normal</v>
      </c>
      <c r="W256" s="8">
        <f t="shared" si="38"/>
        <v>-0.73877779793045883</v>
      </c>
      <c r="X256" s="8" t="str">
        <f t="shared" si="39"/>
        <v>Normal</v>
      </c>
    </row>
    <row r="257" spans="1:24" x14ac:dyDescent="0.25">
      <c r="A257" s="6">
        <v>256</v>
      </c>
      <c r="B257" s="7">
        <v>40555</v>
      </c>
      <c r="C257" s="6">
        <v>1</v>
      </c>
      <c r="D257" s="6" t="str">
        <f t="shared" si="30"/>
        <v>january</v>
      </c>
      <c r="E257" s="6">
        <v>0</v>
      </c>
      <c r="F257" s="6" t="str">
        <f t="shared" si="31"/>
        <v>Night</v>
      </c>
      <c r="G257" s="6" t="b">
        <v>0</v>
      </c>
      <c r="H257" s="6">
        <f t="shared" si="32"/>
        <v>0</v>
      </c>
      <c r="I257" s="6">
        <v>3</v>
      </c>
      <c r="J257" s="6" t="str">
        <f t="shared" si="33"/>
        <v>Wednesday</v>
      </c>
      <c r="K257" s="6">
        <f t="shared" si="34"/>
        <v>0</v>
      </c>
      <c r="L257" s="6">
        <v>2</v>
      </c>
      <c r="M257" s="6" t="str">
        <f t="shared" si="35"/>
        <v>Cloudy</v>
      </c>
      <c r="N257" s="8">
        <v>0.16</v>
      </c>
      <c r="O257" s="8">
        <v>0.19700000000000001</v>
      </c>
      <c r="P257" s="8">
        <v>0.86</v>
      </c>
      <c r="Q257" s="8">
        <v>8.9599999999999999E-2</v>
      </c>
      <c r="R257" s="6">
        <v>0</v>
      </c>
      <c r="S257" s="6">
        <v>7</v>
      </c>
      <c r="T257" s="6">
        <v>7</v>
      </c>
      <c r="U257" s="8">
        <f t="shared" si="36"/>
        <v>-0.64378142061299781</v>
      </c>
      <c r="V257" s="8" t="str">
        <f t="shared" si="37"/>
        <v>Normal</v>
      </c>
      <c r="W257" s="8">
        <f t="shared" si="38"/>
        <v>-0.96845181588357321</v>
      </c>
      <c r="X257" s="8" t="str">
        <f t="shared" si="39"/>
        <v>Normal</v>
      </c>
    </row>
    <row r="258" spans="1:24" x14ac:dyDescent="0.25">
      <c r="A258" s="6">
        <v>257</v>
      </c>
      <c r="B258" s="7">
        <v>40555</v>
      </c>
      <c r="C258" s="6">
        <v>1</v>
      </c>
      <c r="D258" s="6" t="str">
        <f t="shared" ref="D258:D321" si="40">IF(C258=1,"january",IF(C258=2,"february"))</f>
        <v>january</v>
      </c>
      <c r="E258" s="6">
        <v>1</v>
      </c>
      <c r="F258" s="6" t="str">
        <f t="shared" ref="F258:F321" si="41">IF(AND(E258&gt;=5,E258&lt;8),"Early Morning", IF(AND(E258&gt;=8,E258&lt;12),"Morning", IF(AND(E258&gt;=12,E258&lt;17),"Afternoon", IF(AND(E258&gt;=17,E258&lt;21),"Evening","Night"))))</f>
        <v>Night</v>
      </c>
      <c r="G258" s="6" t="b">
        <v>0</v>
      </c>
      <c r="H258" s="6">
        <f t="shared" ref="H258:H321" si="42">IF(G258=FALSE,0,IF(G258=TRUE,1))</f>
        <v>0</v>
      </c>
      <c r="I258" s="6">
        <v>3</v>
      </c>
      <c r="J258" s="6" t="str">
        <f t="shared" ref="J258:J321" si="43">TEXT(B258,"dddd")</f>
        <v>Wednesday</v>
      </c>
      <c r="K258" s="6">
        <f t="shared" ref="K258:K321" si="44">IF(OR(J258="Saturday",J258="Sunday"),1,0)</f>
        <v>0</v>
      </c>
      <c r="L258" s="6">
        <v>2</v>
      </c>
      <c r="M258" s="6" t="str">
        <f t="shared" ref="M258:M321" si="45">IF(L258=0,"clear sky",IF(L258=1,"Partly cloudy",IF(L258=2,"Cloudy",IF(L258=3,"Light rain",IF(L258=4,"Heavy rain")))))</f>
        <v>Cloudy</v>
      </c>
      <c r="N258" s="8">
        <v>0.16</v>
      </c>
      <c r="O258" s="8">
        <v>0.18179999999999999</v>
      </c>
      <c r="P258" s="8">
        <v>0.86</v>
      </c>
      <c r="Q258" s="8">
        <v>0.1045</v>
      </c>
      <c r="R258" s="6">
        <v>0</v>
      </c>
      <c r="S258" s="6">
        <v>6</v>
      </c>
      <c r="T258" s="6">
        <v>6</v>
      </c>
      <c r="U258" s="8">
        <f t="shared" ref="U258:U321" si="46">(R258-$AA$7)/$AA$9</f>
        <v>-0.64378142061299781</v>
      </c>
      <c r="V258" s="8" t="str">
        <f t="shared" ref="V258:V321" si="47">IF(ABS(U258)&gt;2,"Peak","Normal")</f>
        <v>Normal</v>
      </c>
      <c r="W258" s="8">
        <f t="shared" ref="W258:W321" si="48">(S258-$AA$11)/$AA$13</f>
        <v>-0.98933127206112903</v>
      </c>
      <c r="X258" s="8" t="str">
        <f t="shared" ref="X258:X321" si="49">IF(ABS(W258)&gt;2,"Peak","Normal")</f>
        <v>Normal</v>
      </c>
    </row>
    <row r="259" spans="1:24" x14ac:dyDescent="0.25">
      <c r="A259" s="6">
        <v>258</v>
      </c>
      <c r="B259" s="7">
        <v>40555</v>
      </c>
      <c r="C259" s="6">
        <v>1</v>
      </c>
      <c r="D259" s="6" t="str">
        <f t="shared" si="40"/>
        <v>january</v>
      </c>
      <c r="E259" s="6">
        <v>2</v>
      </c>
      <c r="F259" s="6" t="str">
        <f t="shared" si="41"/>
        <v>Night</v>
      </c>
      <c r="G259" s="6" t="b">
        <v>0</v>
      </c>
      <c r="H259" s="6">
        <f t="shared" si="42"/>
        <v>0</v>
      </c>
      <c r="I259" s="6">
        <v>3</v>
      </c>
      <c r="J259" s="6" t="str">
        <f t="shared" si="43"/>
        <v>Wednesday</v>
      </c>
      <c r="K259" s="6">
        <f t="shared" si="44"/>
        <v>0</v>
      </c>
      <c r="L259" s="6">
        <v>1</v>
      </c>
      <c r="M259" s="6" t="str">
        <f t="shared" si="45"/>
        <v>Partly cloudy</v>
      </c>
      <c r="N259" s="8">
        <v>0.14000000000000001</v>
      </c>
      <c r="O259" s="8">
        <v>0.1515</v>
      </c>
      <c r="P259" s="8">
        <v>0.86</v>
      </c>
      <c r="Q259" s="8">
        <v>0.1343</v>
      </c>
      <c r="R259" s="6">
        <v>0</v>
      </c>
      <c r="S259" s="6">
        <v>1</v>
      </c>
      <c r="T259" s="6">
        <v>1</v>
      </c>
      <c r="U259" s="8">
        <f t="shared" si="46"/>
        <v>-0.64378142061299781</v>
      </c>
      <c r="V259" s="8" t="str">
        <f t="shared" si="47"/>
        <v>Normal</v>
      </c>
      <c r="W259" s="8">
        <f t="shared" si="48"/>
        <v>-1.0937285529489083</v>
      </c>
      <c r="X259" s="8" t="str">
        <f t="shared" si="49"/>
        <v>Normal</v>
      </c>
    </row>
    <row r="260" spans="1:24" x14ac:dyDescent="0.25">
      <c r="A260" s="6">
        <v>259</v>
      </c>
      <c r="B260" s="7">
        <v>40555</v>
      </c>
      <c r="C260" s="6">
        <v>1</v>
      </c>
      <c r="D260" s="6" t="str">
        <f t="shared" si="40"/>
        <v>january</v>
      </c>
      <c r="E260" s="6">
        <v>5</v>
      </c>
      <c r="F260" s="6" t="str">
        <f t="shared" si="41"/>
        <v>Early Morning</v>
      </c>
      <c r="G260" s="6" t="b">
        <v>0</v>
      </c>
      <c r="H260" s="6">
        <f t="shared" si="42"/>
        <v>0</v>
      </c>
      <c r="I260" s="6">
        <v>3</v>
      </c>
      <c r="J260" s="6" t="str">
        <f t="shared" si="43"/>
        <v>Wednesday</v>
      </c>
      <c r="K260" s="6">
        <f t="shared" si="44"/>
        <v>0</v>
      </c>
      <c r="L260" s="6">
        <v>1</v>
      </c>
      <c r="M260" s="6" t="str">
        <f t="shared" si="45"/>
        <v>Partly cloudy</v>
      </c>
      <c r="N260" s="8">
        <v>0.14000000000000001</v>
      </c>
      <c r="O260" s="8">
        <v>0.1515</v>
      </c>
      <c r="P260" s="8">
        <v>0.86</v>
      </c>
      <c r="Q260" s="8">
        <v>0.16420000000000001</v>
      </c>
      <c r="R260" s="6">
        <v>0</v>
      </c>
      <c r="S260" s="6">
        <v>5</v>
      </c>
      <c r="T260" s="6">
        <v>5</v>
      </c>
      <c r="U260" s="8">
        <f t="shared" si="46"/>
        <v>-0.64378142061299781</v>
      </c>
      <c r="V260" s="8" t="str">
        <f t="shared" si="47"/>
        <v>Normal</v>
      </c>
      <c r="W260" s="8">
        <f t="shared" si="48"/>
        <v>-1.010210728238685</v>
      </c>
      <c r="X260" s="8" t="str">
        <f t="shared" si="49"/>
        <v>Normal</v>
      </c>
    </row>
    <row r="261" spans="1:24" x14ac:dyDescent="0.25">
      <c r="A261" s="6">
        <v>260</v>
      </c>
      <c r="B261" s="7">
        <v>40555</v>
      </c>
      <c r="C261" s="6">
        <v>1</v>
      </c>
      <c r="D261" s="6" t="str">
        <f t="shared" si="40"/>
        <v>january</v>
      </c>
      <c r="E261" s="6">
        <v>6</v>
      </c>
      <c r="F261" s="6" t="str">
        <f t="shared" si="41"/>
        <v>Early Morning</v>
      </c>
      <c r="G261" s="6" t="b">
        <v>0</v>
      </c>
      <c r="H261" s="6">
        <f t="shared" si="42"/>
        <v>0</v>
      </c>
      <c r="I261" s="6">
        <v>3</v>
      </c>
      <c r="J261" s="6" t="str">
        <f t="shared" si="43"/>
        <v>Wednesday</v>
      </c>
      <c r="K261" s="6">
        <f t="shared" si="44"/>
        <v>0</v>
      </c>
      <c r="L261" s="6">
        <v>1</v>
      </c>
      <c r="M261" s="6" t="str">
        <f t="shared" si="45"/>
        <v>Partly cloudy</v>
      </c>
      <c r="N261" s="8">
        <v>0.12</v>
      </c>
      <c r="O261" s="8">
        <v>0.1515</v>
      </c>
      <c r="P261" s="8">
        <v>0.93</v>
      </c>
      <c r="Q261" s="8">
        <v>0.1343</v>
      </c>
      <c r="R261" s="6">
        <v>0</v>
      </c>
      <c r="S261" s="6">
        <v>16</v>
      </c>
      <c r="T261" s="6">
        <v>16</v>
      </c>
      <c r="U261" s="8">
        <f t="shared" si="46"/>
        <v>-0.64378142061299781</v>
      </c>
      <c r="V261" s="8" t="str">
        <f t="shared" si="47"/>
        <v>Normal</v>
      </c>
      <c r="W261" s="8">
        <f t="shared" si="48"/>
        <v>-0.78053671028557059</v>
      </c>
      <c r="X261" s="8" t="str">
        <f t="shared" si="49"/>
        <v>Normal</v>
      </c>
    </row>
    <row r="262" spans="1:24" x14ac:dyDescent="0.25">
      <c r="A262" s="6">
        <v>261</v>
      </c>
      <c r="B262" s="7">
        <v>40555</v>
      </c>
      <c r="C262" s="6">
        <v>1</v>
      </c>
      <c r="D262" s="6" t="str">
        <f t="shared" si="40"/>
        <v>january</v>
      </c>
      <c r="E262" s="6">
        <v>7</v>
      </c>
      <c r="F262" s="6" t="str">
        <f t="shared" si="41"/>
        <v>Early Morning</v>
      </c>
      <c r="G262" s="6" t="b">
        <v>0</v>
      </c>
      <c r="H262" s="6">
        <f t="shared" si="42"/>
        <v>0</v>
      </c>
      <c r="I262" s="6">
        <v>3</v>
      </c>
      <c r="J262" s="6" t="str">
        <f t="shared" si="43"/>
        <v>Wednesday</v>
      </c>
      <c r="K262" s="6">
        <f t="shared" si="44"/>
        <v>0</v>
      </c>
      <c r="L262" s="6">
        <v>1</v>
      </c>
      <c r="M262" s="6" t="str">
        <f t="shared" si="45"/>
        <v>Partly cloudy</v>
      </c>
      <c r="N262" s="8">
        <v>0.14000000000000001</v>
      </c>
      <c r="O262" s="8">
        <v>0.1515</v>
      </c>
      <c r="P262" s="8">
        <v>0.69</v>
      </c>
      <c r="Q262" s="8">
        <v>0.1343</v>
      </c>
      <c r="R262" s="6">
        <v>0</v>
      </c>
      <c r="S262" s="6">
        <v>54</v>
      </c>
      <c r="T262" s="6">
        <v>54</v>
      </c>
      <c r="U262" s="8">
        <f t="shared" si="46"/>
        <v>-0.64378142061299781</v>
      </c>
      <c r="V262" s="8" t="str">
        <f t="shared" si="47"/>
        <v>Normal</v>
      </c>
      <c r="W262" s="8">
        <f t="shared" si="48"/>
        <v>1.2882624461551907E-2</v>
      </c>
      <c r="X262" s="8" t="str">
        <f t="shared" si="49"/>
        <v>Normal</v>
      </c>
    </row>
    <row r="263" spans="1:24" x14ac:dyDescent="0.25">
      <c r="A263" s="6">
        <v>262</v>
      </c>
      <c r="B263" s="7">
        <v>40555</v>
      </c>
      <c r="C263" s="6">
        <v>1</v>
      </c>
      <c r="D263" s="6" t="str">
        <f t="shared" si="40"/>
        <v>january</v>
      </c>
      <c r="E263" s="6">
        <v>8</v>
      </c>
      <c r="F263" s="6" t="str">
        <f t="shared" si="41"/>
        <v>Morning</v>
      </c>
      <c r="G263" s="6" t="b">
        <v>0</v>
      </c>
      <c r="H263" s="6">
        <f t="shared" si="42"/>
        <v>0</v>
      </c>
      <c r="I263" s="6">
        <v>3</v>
      </c>
      <c r="J263" s="6" t="str">
        <f t="shared" si="43"/>
        <v>Wednesday</v>
      </c>
      <c r="K263" s="6">
        <f t="shared" si="44"/>
        <v>0</v>
      </c>
      <c r="L263" s="6">
        <v>1</v>
      </c>
      <c r="M263" s="6" t="str">
        <f t="shared" si="45"/>
        <v>Partly cloudy</v>
      </c>
      <c r="N263" s="8">
        <v>0.16</v>
      </c>
      <c r="O263" s="8">
        <v>0.16669999999999999</v>
      </c>
      <c r="P263" s="8">
        <v>0.59</v>
      </c>
      <c r="Q263" s="8">
        <v>0.16420000000000001</v>
      </c>
      <c r="R263" s="6">
        <v>3</v>
      </c>
      <c r="S263" s="6">
        <v>125</v>
      </c>
      <c r="T263" s="6">
        <v>128</v>
      </c>
      <c r="U263" s="8">
        <f t="shared" si="46"/>
        <v>-0.25131154419783963</v>
      </c>
      <c r="V263" s="8" t="str">
        <f t="shared" si="47"/>
        <v>Normal</v>
      </c>
      <c r="W263" s="8">
        <f t="shared" si="48"/>
        <v>1.4953240130680174</v>
      </c>
      <c r="X263" s="8" t="str">
        <f t="shared" si="49"/>
        <v>Normal</v>
      </c>
    </row>
    <row r="264" spans="1:24" x14ac:dyDescent="0.25">
      <c r="A264" s="6">
        <v>263</v>
      </c>
      <c r="B264" s="7">
        <v>40555</v>
      </c>
      <c r="C264" s="6">
        <v>1</v>
      </c>
      <c r="D264" s="6" t="str">
        <f t="shared" si="40"/>
        <v>january</v>
      </c>
      <c r="E264" s="6">
        <v>9</v>
      </c>
      <c r="F264" s="6" t="str">
        <f t="shared" si="41"/>
        <v>Morning</v>
      </c>
      <c r="G264" s="6" t="b">
        <v>0</v>
      </c>
      <c r="H264" s="6">
        <f t="shared" si="42"/>
        <v>0</v>
      </c>
      <c r="I264" s="6">
        <v>3</v>
      </c>
      <c r="J264" s="6" t="str">
        <f t="shared" si="43"/>
        <v>Wednesday</v>
      </c>
      <c r="K264" s="6">
        <f t="shared" si="44"/>
        <v>0</v>
      </c>
      <c r="L264" s="6">
        <v>1</v>
      </c>
      <c r="M264" s="6" t="str">
        <f t="shared" si="45"/>
        <v>Partly cloudy</v>
      </c>
      <c r="N264" s="8">
        <v>0.16</v>
      </c>
      <c r="O264" s="8">
        <v>0.13639999999999999</v>
      </c>
      <c r="P264" s="8">
        <v>0.59</v>
      </c>
      <c r="Q264" s="8">
        <v>0.32840000000000003</v>
      </c>
      <c r="R264" s="6">
        <v>3</v>
      </c>
      <c r="S264" s="6">
        <v>78</v>
      </c>
      <c r="T264" s="6">
        <v>81</v>
      </c>
      <c r="U264" s="8">
        <f t="shared" si="46"/>
        <v>-0.25131154419783963</v>
      </c>
      <c r="V264" s="8" t="str">
        <f t="shared" si="47"/>
        <v>Normal</v>
      </c>
      <c r="W264" s="8">
        <f t="shared" si="48"/>
        <v>0.51398957272289236</v>
      </c>
      <c r="X264" s="8" t="str">
        <f t="shared" si="49"/>
        <v>Normal</v>
      </c>
    </row>
    <row r="265" spans="1:24" x14ac:dyDescent="0.25">
      <c r="A265" s="6">
        <v>264</v>
      </c>
      <c r="B265" s="7">
        <v>40555</v>
      </c>
      <c r="C265" s="6">
        <v>1</v>
      </c>
      <c r="D265" s="6" t="str">
        <f t="shared" si="40"/>
        <v>january</v>
      </c>
      <c r="E265" s="6">
        <v>10</v>
      </c>
      <c r="F265" s="6" t="str">
        <f t="shared" si="41"/>
        <v>Morning</v>
      </c>
      <c r="G265" s="6" t="b">
        <v>0</v>
      </c>
      <c r="H265" s="6">
        <f t="shared" si="42"/>
        <v>0</v>
      </c>
      <c r="I265" s="6">
        <v>3</v>
      </c>
      <c r="J265" s="6" t="str">
        <f t="shared" si="43"/>
        <v>Wednesday</v>
      </c>
      <c r="K265" s="6">
        <f t="shared" si="44"/>
        <v>0</v>
      </c>
      <c r="L265" s="6">
        <v>1</v>
      </c>
      <c r="M265" s="6" t="str">
        <f t="shared" si="45"/>
        <v>Partly cloudy</v>
      </c>
      <c r="N265" s="8">
        <v>0.18</v>
      </c>
      <c r="O265" s="8">
        <v>0.18179999999999999</v>
      </c>
      <c r="P265" s="8">
        <v>0.55000000000000004</v>
      </c>
      <c r="Q265" s="8">
        <v>0.22389999999999999</v>
      </c>
      <c r="R265" s="6">
        <v>0</v>
      </c>
      <c r="S265" s="6">
        <v>39</v>
      </c>
      <c r="T265" s="6">
        <v>39</v>
      </c>
      <c r="U265" s="8">
        <f t="shared" si="46"/>
        <v>-0.64378142061299781</v>
      </c>
      <c r="V265" s="8" t="str">
        <f t="shared" si="47"/>
        <v>Normal</v>
      </c>
      <c r="W265" s="8">
        <f t="shared" si="48"/>
        <v>-0.30030921820178591</v>
      </c>
      <c r="X265" s="8" t="str">
        <f t="shared" si="49"/>
        <v>Normal</v>
      </c>
    </row>
    <row r="266" spans="1:24" x14ac:dyDescent="0.25">
      <c r="A266" s="6">
        <v>265</v>
      </c>
      <c r="B266" s="7">
        <v>40555</v>
      </c>
      <c r="C266" s="6">
        <v>1</v>
      </c>
      <c r="D266" s="6" t="str">
        <f t="shared" si="40"/>
        <v>january</v>
      </c>
      <c r="E266" s="6">
        <v>11</v>
      </c>
      <c r="F266" s="6" t="str">
        <f t="shared" si="41"/>
        <v>Morning</v>
      </c>
      <c r="G266" s="6" t="b">
        <v>0</v>
      </c>
      <c r="H266" s="6">
        <f t="shared" si="42"/>
        <v>0</v>
      </c>
      <c r="I266" s="6">
        <v>3</v>
      </c>
      <c r="J266" s="6" t="str">
        <f t="shared" si="43"/>
        <v>Wednesday</v>
      </c>
      <c r="K266" s="6">
        <f t="shared" si="44"/>
        <v>0</v>
      </c>
      <c r="L266" s="6">
        <v>1</v>
      </c>
      <c r="M266" s="6" t="str">
        <f t="shared" si="45"/>
        <v>Partly cloudy</v>
      </c>
      <c r="N266" s="8">
        <v>0.2</v>
      </c>
      <c r="O266" s="8">
        <v>0.18179999999999999</v>
      </c>
      <c r="P266" s="8">
        <v>0.51</v>
      </c>
      <c r="Q266" s="8">
        <v>0.3881</v>
      </c>
      <c r="R266" s="6">
        <v>3</v>
      </c>
      <c r="S266" s="6">
        <v>32</v>
      </c>
      <c r="T266" s="6">
        <v>35</v>
      </c>
      <c r="U266" s="8">
        <f t="shared" si="46"/>
        <v>-0.25131154419783963</v>
      </c>
      <c r="V266" s="8" t="str">
        <f t="shared" si="47"/>
        <v>Normal</v>
      </c>
      <c r="W266" s="8">
        <f t="shared" si="48"/>
        <v>-0.44646541144467689</v>
      </c>
      <c r="X266" s="8" t="str">
        <f t="shared" si="49"/>
        <v>Normal</v>
      </c>
    </row>
    <row r="267" spans="1:24" x14ac:dyDescent="0.25">
      <c r="A267" s="6">
        <v>266</v>
      </c>
      <c r="B267" s="7">
        <v>40555</v>
      </c>
      <c r="C267" s="6">
        <v>1</v>
      </c>
      <c r="D267" s="6" t="str">
        <f t="shared" si="40"/>
        <v>january</v>
      </c>
      <c r="E267" s="6">
        <v>12</v>
      </c>
      <c r="F267" s="6" t="str">
        <f t="shared" si="41"/>
        <v>Afternoon</v>
      </c>
      <c r="G267" s="6" t="b">
        <v>0</v>
      </c>
      <c r="H267" s="6">
        <f t="shared" si="42"/>
        <v>0</v>
      </c>
      <c r="I267" s="6">
        <v>3</v>
      </c>
      <c r="J267" s="6" t="str">
        <f t="shared" si="43"/>
        <v>Wednesday</v>
      </c>
      <c r="K267" s="6">
        <f t="shared" si="44"/>
        <v>0</v>
      </c>
      <c r="L267" s="6">
        <v>1</v>
      </c>
      <c r="M267" s="6" t="str">
        <f t="shared" si="45"/>
        <v>Partly cloudy</v>
      </c>
      <c r="N267" s="8">
        <v>0.2</v>
      </c>
      <c r="O267" s="8">
        <v>0.1515</v>
      </c>
      <c r="P267" s="8">
        <v>0.47</v>
      </c>
      <c r="Q267" s="8">
        <v>0.58209999999999995</v>
      </c>
      <c r="R267" s="6">
        <v>3</v>
      </c>
      <c r="S267" s="6">
        <v>52</v>
      </c>
      <c r="T267" s="6">
        <v>55</v>
      </c>
      <c r="U267" s="8">
        <f t="shared" si="46"/>
        <v>-0.25131154419783963</v>
      </c>
      <c r="V267" s="8" t="str">
        <f t="shared" si="47"/>
        <v>Normal</v>
      </c>
      <c r="W267" s="8">
        <f t="shared" si="48"/>
        <v>-2.8876287893559803E-2</v>
      </c>
      <c r="X267" s="8" t="str">
        <f t="shared" si="49"/>
        <v>Normal</v>
      </c>
    </row>
    <row r="268" spans="1:24" x14ac:dyDescent="0.25">
      <c r="A268" s="6">
        <v>267</v>
      </c>
      <c r="B268" s="7">
        <v>40555</v>
      </c>
      <c r="C268" s="6">
        <v>1</v>
      </c>
      <c r="D268" s="6" t="str">
        <f t="shared" si="40"/>
        <v>january</v>
      </c>
      <c r="E268" s="6">
        <v>13</v>
      </c>
      <c r="F268" s="6" t="str">
        <f t="shared" si="41"/>
        <v>Afternoon</v>
      </c>
      <c r="G268" s="6" t="b">
        <v>0</v>
      </c>
      <c r="H268" s="6">
        <f t="shared" si="42"/>
        <v>0</v>
      </c>
      <c r="I268" s="6">
        <v>3</v>
      </c>
      <c r="J268" s="6" t="str">
        <f t="shared" si="43"/>
        <v>Wednesday</v>
      </c>
      <c r="K268" s="6">
        <f t="shared" si="44"/>
        <v>0</v>
      </c>
      <c r="L268" s="6">
        <v>1</v>
      </c>
      <c r="M268" s="6" t="str">
        <f t="shared" si="45"/>
        <v>Partly cloudy</v>
      </c>
      <c r="N268" s="8">
        <v>0.22</v>
      </c>
      <c r="O268" s="8">
        <v>0.19700000000000001</v>
      </c>
      <c r="P268" s="8">
        <v>0.44</v>
      </c>
      <c r="Q268" s="8">
        <v>0.35820000000000002</v>
      </c>
      <c r="R268" s="6">
        <v>0</v>
      </c>
      <c r="S268" s="6">
        <v>49</v>
      </c>
      <c r="T268" s="6">
        <v>49</v>
      </c>
      <c r="U268" s="8">
        <f t="shared" si="46"/>
        <v>-0.64378142061299781</v>
      </c>
      <c r="V268" s="8" t="str">
        <f t="shared" si="47"/>
        <v>Normal</v>
      </c>
      <c r="W268" s="8">
        <f t="shared" si="48"/>
        <v>-9.1514656426227359E-2</v>
      </c>
      <c r="X268" s="8" t="str">
        <f t="shared" si="49"/>
        <v>Normal</v>
      </c>
    </row>
    <row r="269" spans="1:24" x14ac:dyDescent="0.25">
      <c r="A269" s="6">
        <v>268</v>
      </c>
      <c r="B269" s="7">
        <v>40555</v>
      </c>
      <c r="C269" s="6">
        <v>1</v>
      </c>
      <c r="D269" s="6" t="str">
        <f t="shared" si="40"/>
        <v>january</v>
      </c>
      <c r="E269" s="6">
        <v>14</v>
      </c>
      <c r="F269" s="6" t="str">
        <f t="shared" si="41"/>
        <v>Afternoon</v>
      </c>
      <c r="G269" s="6" t="b">
        <v>0</v>
      </c>
      <c r="H269" s="6">
        <f t="shared" si="42"/>
        <v>0</v>
      </c>
      <c r="I269" s="6">
        <v>3</v>
      </c>
      <c r="J269" s="6" t="str">
        <f t="shared" si="43"/>
        <v>Wednesday</v>
      </c>
      <c r="K269" s="6">
        <f t="shared" si="44"/>
        <v>0</v>
      </c>
      <c r="L269" s="6">
        <v>1</v>
      </c>
      <c r="M269" s="6" t="str">
        <f t="shared" si="45"/>
        <v>Partly cloudy</v>
      </c>
      <c r="N269" s="8">
        <v>0.2</v>
      </c>
      <c r="O269" s="8">
        <v>0.18179999999999999</v>
      </c>
      <c r="P269" s="8">
        <v>0.47</v>
      </c>
      <c r="Q269" s="8">
        <v>0.32840000000000003</v>
      </c>
      <c r="R269" s="6">
        <v>0</v>
      </c>
      <c r="S269" s="6">
        <v>44</v>
      </c>
      <c r="T269" s="6">
        <v>44</v>
      </c>
      <c r="U269" s="8">
        <f t="shared" si="46"/>
        <v>-0.64378142061299781</v>
      </c>
      <c r="V269" s="8" t="str">
        <f t="shared" si="47"/>
        <v>Normal</v>
      </c>
      <c r="W269" s="8">
        <f t="shared" si="48"/>
        <v>-0.19591193731400663</v>
      </c>
      <c r="X269" s="8" t="str">
        <f t="shared" si="49"/>
        <v>Normal</v>
      </c>
    </row>
    <row r="270" spans="1:24" x14ac:dyDescent="0.25">
      <c r="A270" s="6">
        <v>269</v>
      </c>
      <c r="B270" s="7">
        <v>40555</v>
      </c>
      <c r="C270" s="6">
        <v>1</v>
      </c>
      <c r="D270" s="6" t="str">
        <f t="shared" si="40"/>
        <v>january</v>
      </c>
      <c r="E270" s="6">
        <v>15</v>
      </c>
      <c r="F270" s="6" t="str">
        <f t="shared" si="41"/>
        <v>Afternoon</v>
      </c>
      <c r="G270" s="6" t="b">
        <v>0</v>
      </c>
      <c r="H270" s="6">
        <f t="shared" si="42"/>
        <v>0</v>
      </c>
      <c r="I270" s="6">
        <v>3</v>
      </c>
      <c r="J270" s="6" t="str">
        <f t="shared" si="43"/>
        <v>Wednesday</v>
      </c>
      <c r="K270" s="6">
        <f t="shared" si="44"/>
        <v>0</v>
      </c>
      <c r="L270" s="6">
        <v>1</v>
      </c>
      <c r="M270" s="6" t="str">
        <f t="shared" si="45"/>
        <v>Partly cloudy</v>
      </c>
      <c r="N270" s="8">
        <v>0.2</v>
      </c>
      <c r="O270" s="8">
        <v>0.16669999999999999</v>
      </c>
      <c r="P270" s="8">
        <v>0.47</v>
      </c>
      <c r="Q270" s="8">
        <v>0.41789999999999999</v>
      </c>
      <c r="R270" s="6">
        <v>1</v>
      </c>
      <c r="S270" s="6">
        <v>48</v>
      </c>
      <c r="T270" s="6">
        <v>49</v>
      </c>
      <c r="U270" s="8">
        <f t="shared" si="46"/>
        <v>-0.51295812847461175</v>
      </c>
      <c r="V270" s="8" t="str">
        <f t="shared" si="47"/>
        <v>Normal</v>
      </c>
      <c r="W270" s="8">
        <f t="shared" si="48"/>
        <v>-0.11239411260378322</v>
      </c>
      <c r="X270" s="8" t="str">
        <f t="shared" si="49"/>
        <v>Normal</v>
      </c>
    </row>
    <row r="271" spans="1:24" x14ac:dyDescent="0.25">
      <c r="A271" s="6">
        <v>270</v>
      </c>
      <c r="B271" s="7">
        <v>40555</v>
      </c>
      <c r="C271" s="6">
        <v>1</v>
      </c>
      <c r="D271" s="6" t="str">
        <f t="shared" si="40"/>
        <v>january</v>
      </c>
      <c r="E271" s="6">
        <v>16</v>
      </c>
      <c r="F271" s="6" t="str">
        <f t="shared" si="41"/>
        <v>Afternoon</v>
      </c>
      <c r="G271" s="6" t="b">
        <v>0</v>
      </c>
      <c r="H271" s="6">
        <f t="shared" si="42"/>
        <v>0</v>
      </c>
      <c r="I271" s="6">
        <v>3</v>
      </c>
      <c r="J271" s="6" t="str">
        <f t="shared" si="43"/>
        <v>Wednesday</v>
      </c>
      <c r="K271" s="6">
        <f t="shared" si="44"/>
        <v>0</v>
      </c>
      <c r="L271" s="6">
        <v>1</v>
      </c>
      <c r="M271" s="6" t="str">
        <f t="shared" si="45"/>
        <v>Partly cloudy</v>
      </c>
      <c r="N271" s="8">
        <v>0.22</v>
      </c>
      <c r="O271" s="8">
        <v>0.19700000000000001</v>
      </c>
      <c r="P271" s="8">
        <v>0.44</v>
      </c>
      <c r="Q271" s="8">
        <v>0.32840000000000003</v>
      </c>
      <c r="R271" s="6">
        <v>5</v>
      </c>
      <c r="S271" s="6">
        <v>63</v>
      </c>
      <c r="T271" s="6">
        <v>68</v>
      </c>
      <c r="U271" s="8">
        <f t="shared" si="46"/>
        <v>1.0335040078932463E-2</v>
      </c>
      <c r="V271" s="8" t="str">
        <f t="shared" si="47"/>
        <v>Normal</v>
      </c>
      <c r="W271" s="8">
        <f t="shared" si="48"/>
        <v>0.20079773005955459</v>
      </c>
      <c r="X271" s="8" t="str">
        <f t="shared" si="49"/>
        <v>Normal</v>
      </c>
    </row>
    <row r="272" spans="1:24" x14ac:dyDescent="0.25">
      <c r="A272" s="6">
        <v>271</v>
      </c>
      <c r="B272" s="7">
        <v>40555</v>
      </c>
      <c r="C272" s="6">
        <v>1</v>
      </c>
      <c r="D272" s="6" t="str">
        <f t="shared" si="40"/>
        <v>january</v>
      </c>
      <c r="E272" s="6">
        <v>17</v>
      </c>
      <c r="F272" s="6" t="str">
        <f t="shared" si="41"/>
        <v>Evening</v>
      </c>
      <c r="G272" s="6" t="b">
        <v>0</v>
      </c>
      <c r="H272" s="6">
        <f t="shared" si="42"/>
        <v>0</v>
      </c>
      <c r="I272" s="6">
        <v>3</v>
      </c>
      <c r="J272" s="6" t="str">
        <f t="shared" si="43"/>
        <v>Wednesday</v>
      </c>
      <c r="K272" s="6">
        <f t="shared" si="44"/>
        <v>0</v>
      </c>
      <c r="L272" s="6">
        <v>1</v>
      </c>
      <c r="M272" s="6" t="str">
        <f t="shared" si="45"/>
        <v>Partly cloudy</v>
      </c>
      <c r="N272" s="8">
        <v>0.2</v>
      </c>
      <c r="O272" s="8">
        <v>0.18179999999999999</v>
      </c>
      <c r="P272" s="8">
        <v>0.47</v>
      </c>
      <c r="Q272" s="8">
        <v>0.35820000000000002</v>
      </c>
      <c r="R272" s="6">
        <v>0</v>
      </c>
      <c r="S272" s="6">
        <v>139</v>
      </c>
      <c r="T272" s="6">
        <v>139</v>
      </c>
      <c r="U272" s="8">
        <f t="shared" si="46"/>
        <v>-0.64378142061299781</v>
      </c>
      <c r="V272" s="8" t="str">
        <f t="shared" si="47"/>
        <v>Normal</v>
      </c>
      <c r="W272" s="8">
        <f t="shared" si="48"/>
        <v>1.7876363995537994</v>
      </c>
      <c r="X272" s="8" t="str">
        <f t="shared" si="49"/>
        <v>Normal</v>
      </c>
    </row>
    <row r="273" spans="1:24" x14ac:dyDescent="0.25">
      <c r="A273" s="6">
        <v>272</v>
      </c>
      <c r="B273" s="7">
        <v>40555</v>
      </c>
      <c r="C273" s="6">
        <v>1</v>
      </c>
      <c r="D273" s="6" t="str">
        <f t="shared" si="40"/>
        <v>january</v>
      </c>
      <c r="E273" s="6">
        <v>18</v>
      </c>
      <c r="F273" s="6" t="str">
        <f t="shared" si="41"/>
        <v>Evening</v>
      </c>
      <c r="G273" s="6" t="b">
        <v>0</v>
      </c>
      <c r="H273" s="6">
        <f t="shared" si="42"/>
        <v>0</v>
      </c>
      <c r="I273" s="6">
        <v>3</v>
      </c>
      <c r="J273" s="6" t="str">
        <f t="shared" si="43"/>
        <v>Wednesday</v>
      </c>
      <c r="K273" s="6">
        <f t="shared" si="44"/>
        <v>0</v>
      </c>
      <c r="L273" s="6">
        <v>1</v>
      </c>
      <c r="M273" s="6" t="str">
        <f t="shared" si="45"/>
        <v>Partly cloudy</v>
      </c>
      <c r="N273" s="8">
        <v>0.2</v>
      </c>
      <c r="O273" s="8">
        <v>0.1515</v>
      </c>
      <c r="P273" s="8">
        <v>0.47</v>
      </c>
      <c r="Q273" s="8">
        <v>0.52239999999999998</v>
      </c>
      <c r="R273" s="6">
        <v>2</v>
      </c>
      <c r="S273" s="6">
        <v>135</v>
      </c>
      <c r="T273" s="6">
        <v>137</v>
      </c>
      <c r="U273" s="8">
        <f t="shared" si="46"/>
        <v>-0.38213483633622569</v>
      </c>
      <c r="V273" s="8" t="str">
        <f t="shared" si="47"/>
        <v>Normal</v>
      </c>
      <c r="W273" s="8">
        <f t="shared" si="48"/>
        <v>1.7041185748435759</v>
      </c>
      <c r="X273" s="8" t="str">
        <f t="shared" si="49"/>
        <v>Normal</v>
      </c>
    </row>
    <row r="274" spans="1:24" x14ac:dyDescent="0.25">
      <c r="A274" s="6">
        <v>273</v>
      </c>
      <c r="B274" s="7">
        <v>40555</v>
      </c>
      <c r="C274" s="6">
        <v>1</v>
      </c>
      <c r="D274" s="6" t="str">
        <f t="shared" si="40"/>
        <v>january</v>
      </c>
      <c r="E274" s="6">
        <v>19</v>
      </c>
      <c r="F274" s="6" t="str">
        <f t="shared" si="41"/>
        <v>Evening</v>
      </c>
      <c r="G274" s="6" t="b">
        <v>0</v>
      </c>
      <c r="H274" s="6">
        <f t="shared" si="42"/>
        <v>0</v>
      </c>
      <c r="I274" s="6">
        <v>3</v>
      </c>
      <c r="J274" s="6" t="str">
        <f t="shared" si="43"/>
        <v>Wednesday</v>
      </c>
      <c r="K274" s="6">
        <f t="shared" si="44"/>
        <v>0</v>
      </c>
      <c r="L274" s="6">
        <v>1</v>
      </c>
      <c r="M274" s="6" t="str">
        <f t="shared" si="45"/>
        <v>Partly cloudy</v>
      </c>
      <c r="N274" s="8">
        <v>0.18</v>
      </c>
      <c r="O274" s="8">
        <v>0.1515</v>
      </c>
      <c r="P274" s="8">
        <v>0.47</v>
      </c>
      <c r="Q274" s="8">
        <v>0.41789999999999999</v>
      </c>
      <c r="R274" s="6">
        <v>1</v>
      </c>
      <c r="S274" s="6">
        <v>82</v>
      </c>
      <c r="T274" s="6">
        <v>83</v>
      </c>
      <c r="U274" s="8">
        <f t="shared" si="46"/>
        <v>-0.51295812847461175</v>
      </c>
      <c r="V274" s="8" t="str">
        <f t="shared" si="47"/>
        <v>Normal</v>
      </c>
      <c r="W274" s="8">
        <f t="shared" si="48"/>
        <v>0.59750739743311576</v>
      </c>
      <c r="X274" s="8" t="str">
        <f t="shared" si="49"/>
        <v>Normal</v>
      </c>
    </row>
    <row r="275" spans="1:24" x14ac:dyDescent="0.25">
      <c r="A275" s="6">
        <v>274</v>
      </c>
      <c r="B275" s="7">
        <v>40555</v>
      </c>
      <c r="C275" s="6">
        <v>1</v>
      </c>
      <c r="D275" s="6" t="str">
        <f t="shared" si="40"/>
        <v>january</v>
      </c>
      <c r="E275" s="6">
        <v>20</v>
      </c>
      <c r="F275" s="6" t="str">
        <f t="shared" si="41"/>
        <v>Evening</v>
      </c>
      <c r="G275" s="6" t="b">
        <v>0</v>
      </c>
      <c r="H275" s="6">
        <f t="shared" si="42"/>
        <v>0</v>
      </c>
      <c r="I275" s="6">
        <v>3</v>
      </c>
      <c r="J275" s="6" t="str">
        <f t="shared" si="43"/>
        <v>Wednesday</v>
      </c>
      <c r="K275" s="6">
        <f t="shared" si="44"/>
        <v>0</v>
      </c>
      <c r="L275" s="6">
        <v>1</v>
      </c>
      <c r="M275" s="6" t="str">
        <f t="shared" si="45"/>
        <v>Partly cloudy</v>
      </c>
      <c r="N275" s="8">
        <v>0.16</v>
      </c>
      <c r="O275" s="8">
        <v>0.13639999999999999</v>
      </c>
      <c r="P275" s="8">
        <v>0.5</v>
      </c>
      <c r="Q275" s="8">
        <v>0.32840000000000003</v>
      </c>
      <c r="R275" s="6">
        <v>2</v>
      </c>
      <c r="S275" s="6">
        <v>54</v>
      </c>
      <c r="T275" s="6">
        <v>56</v>
      </c>
      <c r="U275" s="8">
        <f t="shared" si="46"/>
        <v>-0.38213483633622569</v>
      </c>
      <c r="V275" s="8" t="str">
        <f t="shared" si="47"/>
        <v>Normal</v>
      </c>
      <c r="W275" s="8">
        <f t="shared" si="48"/>
        <v>1.2882624461551907E-2</v>
      </c>
      <c r="X275" s="8" t="str">
        <f t="shared" si="49"/>
        <v>Normal</v>
      </c>
    </row>
    <row r="276" spans="1:24" x14ac:dyDescent="0.25">
      <c r="A276" s="6">
        <v>275</v>
      </c>
      <c r="B276" s="7">
        <v>40555</v>
      </c>
      <c r="C276" s="6">
        <v>1</v>
      </c>
      <c r="D276" s="6" t="str">
        <f t="shared" si="40"/>
        <v>january</v>
      </c>
      <c r="E276" s="6">
        <v>21</v>
      </c>
      <c r="F276" s="6" t="str">
        <f t="shared" si="41"/>
        <v>Night</v>
      </c>
      <c r="G276" s="6" t="b">
        <v>0</v>
      </c>
      <c r="H276" s="6">
        <f t="shared" si="42"/>
        <v>0</v>
      </c>
      <c r="I276" s="6">
        <v>3</v>
      </c>
      <c r="J276" s="6" t="str">
        <f t="shared" si="43"/>
        <v>Wednesday</v>
      </c>
      <c r="K276" s="6">
        <f t="shared" si="44"/>
        <v>0</v>
      </c>
      <c r="L276" s="6">
        <v>1</v>
      </c>
      <c r="M276" s="6" t="str">
        <f t="shared" si="45"/>
        <v>Partly cloudy</v>
      </c>
      <c r="N276" s="8">
        <v>0.16</v>
      </c>
      <c r="O276" s="8">
        <v>0.13639999999999999</v>
      </c>
      <c r="P276" s="8">
        <v>0.55000000000000004</v>
      </c>
      <c r="Q276" s="8">
        <v>0.32840000000000003</v>
      </c>
      <c r="R276" s="6">
        <v>0</v>
      </c>
      <c r="S276" s="6">
        <v>57</v>
      </c>
      <c r="T276" s="6">
        <v>57</v>
      </c>
      <c r="U276" s="8">
        <f t="shared" si="46"/>
        <v>-0.64378142061299781</v>
      </c>
      <c r="V276" s="8" t="str">
        <f t="shared" si="47"/>
        <v>Normal</v>
      </c>
      <c r="W276" s="8">
        <f t="shared" si="48"/>
        <v>7.5520992994219466E-2</v>
      </c>
      <c r="X276" s="8" t="str">
        <f t="shared" si="49"/>
        <v>Normal</v>
      </c>
    </row>
    <row r="277" spans="1:24" x14ac:dyDescent="0.25">
      <c r="A277" s="6">
        <v>276</v>
      </c>
      <c r="B277" s="7">
        <v>40555</v>
      </c>
      <c r="C277" s="6">
        <v>1</v>
      </c>
      <c r="D277" s="6" t="str">
        <f t="shared" si="40"/>
        <v>january</v>
      </c>
      <c r="E277" s="6">
        <v>22</v>
      </c>
      <c r="F277" s="6" t="str">
        <f t="shared" si="41"/>
        <v>Night</v>
      </c>
      <c r="G277" s="6" t="b">
        <v>0</v>
      </c>
      <c r="H277" s="6">
        <f t="shared" si="42"/>
        <v>0</v>
      </c>
      <c r="I277" s="6">
        <v>3</v>
      </c>
      <c r="J277" s="6" t="str">
        <f t="shared" si="43"/>
        <v>Wednesday</v>
      </c>
      <c r="K277" s="6">
        <f t="shared" si="44"/>
        <v>0</v>
      </c>
      <c r="L277" s="6">
        <v>1</v>
      </c>
      <c r="M277" s="6" t="str">
        <f t="shared" si="45"/>
        <v>Partly cloudy</v>
      </c>
      <c r="N277" s="8">
        <v>0.16</v>
      </c>
      <c r="O277" s="8">
        <v>0.1212</v>
      </c>
      <c r="P277" s="8">
        <v>0.55000000000000004</v>
      </c>
      <c r="Q277" s="8">
        <v>0.44779999999999998</v>
      </c>
      <c r="R277" s="6">
        <v>1</v>
      </c>
      <c r="S277" s="6">
        <v>32</v>
      </c>
      <c r="T277" s="6">
        <v>33</v>
      </c>
      <c r="U277" s="8">
        <f t="shared" si="46"/>
        <v>-0.51295812847461175</v>
      </c>
      <c r="V277" s="8" t="str">
        <f t="shared" si="47"/>
        <v>Normal</v>
      </c>
      <c r="W277" s="8">
        <f t="shared" si="48"/>
        <v>-0.44646541144467689</v>
      </c>
      <c r="X277" s="8" t="str">
        <f t="shared" si="49"/>
        <v>Normal</v>
      </c>
    </row>
    <row r="278" spans="1:24" x14ac:dyDescent="0.25">
      <c r="A278" s="6">
        <v>277</v>
      </c>
      <c r="B278" s="7">
        <v>40555</v>
      </c>
      <c r="C278" s="6">
        <v>1</v>
      </c>
      <c r="D278" s="6" t="str">
        <f t="shared" si="40"/>
        <v>january</v>
      </c>
      <c r="E278" s="6">
        <v>23</v>
      </c>
      <c r="F278" s="6" t="str">
        <f t="shared" si="41"/>
        <v>Night</v>
      </c>
      <c r="G278" s="6" t="b">
        <v>0</v>
      </c>
      <c r="H278" s="6">
        <f t="shared" si="42"/>
        <v>0</v>
      </c>
      <c r="I278" s="6">
        <v>3</v>
      </c>
      <c r="J278" s="6" t="str">
        <f t="shared" si="43"/>
        <v>Wednesday</v>
      </c>
      <c r="K278" s="6">
        <f t="shared" si="44"/>
        <v>0</v>
      </c>
      <c r="L278" s="6">
        <v>1</v>
      </c>
      <c r="M278" s="6" t="str">
        <f t="shared" si="45"/>
        <v>Partly cloudy</v>
      </c>
      <c r="N278" s="8">
        <v>0.14000000000000001</v>
      </c>
      <c r="O278" s="8">
        <v>0.1061</v>
      </c>
      <c r="P278" s="8">
        <v>0.59</v>
      </c>
      <c r="Q278" s="8">
        <v>0.41789999999999999</v>
      </c>
      <c r="R278" s="6">
        <v>1</v>
      </c>
      <c r="S278" s="6">
        <v>19</v>
      </c>
      <c r="T278" s="6">
        <v>20</v>
      </c>
      <c r="U278" s="8">
        <f t="shared" si="46"/>
        <v>-0.51295812847461175</v>
      </c>
      <c r="V278" s="8" t="str">
        <f t="shared" si="47"/>
        <v>Normal</v>
      </c>
      <c r="W278" s="8">
        <f t="shared" si="48"/>
        <v>-0.71789834175290301</v>
      </c>
      <c r="X278" s="8" t="str">
        <f t="shared" si="49"/>
        <v>Normal</v>
      </c>
    </row>
    <row r="279" spans="1:24" x14ac:dyDescent="0.25">
      <c r="A279" s="6">
        <v>278</v>
      </c>
      <c r="B279" s="7">
        <v>40556</v>
      </c>
      <c r="C279" s="6">
        <v>1</v>
      </c>
      <c r="D279" s="6" t="str">
        <f t="shared" si="40"/>
        <v>january</v>
      </c>
      <c r="E279" s="6">
        <v>0</v>
      </c>
      <c r="F279" s="6" t="str">
        <f t="shared" si="41"/>
        <v>Night</v>
      </c>
      <c r="G279" s="6" t="b">
        <v>0</v>
      </c>
      <c r="H279" s="6">
        <f t="shared" si="42"/>
        <v>0</v>
      </c>
      <c r="I279" s="6">
        <v>4</v>
      </c>
      <c r="J279" s="6" t="str">
        <f t="shared" si="43"/>
        <v>Thursday</v>
      </c>
      <c r="K279" s="6">
        <f t="shared" si="44"/>
        <v>0</v>
      </c>
      <c r="L279" s="6">
        <v>1</v>
      </c>
      <c r="M279" s="6" t="str">
        <f t="shared" si="45"/>
        <v>Partly cloudy</v>
      </c>
      <c r="N279" s="8">
        <v>0.14000000000000001</v>
      </c>
      <c r="O279" s="8">
        <v>0.1212</v>
      </c>
      <c r="P279" s="8">
        <v>0.59</v>
      </c>
      <c r="Q279" s="8">
        <v>0.28360000000000002</v>
      </c>
      <c r="R279" s="6">
        <v>1</v>
      </c>
      <c r="S279" s="6">
        <v>6</v>
      </c>
      <c r="T279" s="6">
        <v>7</v>
      </c>
      <c r="U279" s="8">
        <f t="shared" si="46"/>
        <v>-0.51295812847461175</v>
      </c>
      <c r="V279" s="8" t="str">
        <f t="shared" si="47"/>
        <v>Normal</v>
      </c>
      <c r="W279" s="8">
        <f t="shared" si="48"/>
        <v>-0.98933127206112903</v>
      </c>
      <c r="X279" s="8" t="str">
        <f t="shared" si="49"/>
        <v>Normal</v>
      </c>
    </row>
    <row r="280" spans="1:24" x14ac:dyDescent="0.25">
      <c r="A280" s="6">
        <v>279</v>
      </c>
      <c r="B280" s="7">
        <v>40556</v>
      </c>
      <c r="C280" s="6">
        <v>1</v>
      </c>
      <c r="D280" s="6" t="str">
        <f t="shared" si="40"/>
        <v>january</v>
      </c>
      <c r="E280" s="6">
        <v>1</v>
      </c>
      <c r="F280" s="6" t="str">
        <f t="shared" si="41"/>
        <v>Night</v>
      </c>
      <c r="G280" s="6" t="b">
        <v>0</v>
      </c>
      <c r="H280" s="6">
        <f t="shared" si="42"/>
        <v>0</v>
      </c>
      <c r="I280" s="6">
        <v>4</v>
      </c>
      <c r="J280" s="6" t="str">
        <f t="shared" si="43"/>
        <v>Thursday</v>
      </c>
      <c r="K280" s="6">
        <f t="shared" si="44"/>
        <v>0</v>
      </c>
      <c r="L280" s="6">
        <v>1</v>
      </c>
      <c r="M280" s="6" t="str">
        <f t="shared" si="45"/>
        <v>Partly cloudy</v>
      </c>
      <c r="N280" s="8">
        <v>0.14000000000000001</v>
      </c>
      <c r="O280" s="8">
        <v>0.1212</v>
      </c>
      <c r="P280" s="8">
        <v>0.5</v>
      </c>
      <c r="Q280" s="8">
        <v>0.28360000000000002</v>
      </c>
      <c r="R280" s="6">
        <v>0</v>
      </c>
      <c r="S280" s="6">
        <v>2</v>
      </c>
      <c r="T280" s="6">
        <v>2</v>
      </c>
      <c r="U280" s="8">
        <f t="shared" si="46"/>
        <v>-0.64378142061299781</v>
      </c>
      <c r="V280" s="8" t="str">
        <f t="shared" si="47"/>
        <v>Normal</v>
      </c>
      <c r="W280" s="8">
        <f t="shared" si="48"/>
        <v>-1.0728490967713524</v>
      </c>
      <c r="X280" s="8" t="str">
        <f t="shared" si="49"/>
        <v>Normal</v>
      </c>
    </row>
    <row r="281" spans="1:24" x14ac:dyDescent="0.25">
      <c r="A281" s="6">
        <v>280</v>
      </c>
      <c r="B281" s="7">
        <v>40556</v>
      </c>
      <c r="C281" s="6">
        <v>1</v>
      </c>
      <c r="D281" s="6" t="str">
        <f t="shared" si="40"/>
        <v>january</v>
      </c>
      <c r="E281" s="6">
        <v>2</v>
      </c>
      <c r="F281" s="6" t="str">
        <f t="shared" si="41"/>
        <v>Night</v>
      </c>
      <c r="G281" s="6" t="b">
        <v>0</v>
      </c>
      <c r="H281" s="6">
        <f t="shared" si="42"/>
        <v>0</v>
      </c>
      <c r="I281" s="6">
        <v>4</v>
      </c>
      <c r="J281" s="6" t="str">
        <f t="shared" si="43"/>
        <v>Thursday</v>
      </c>
      <c r="K281" s="6">
        <f t="shared" si="44"/>
        <v>0</v>
      </c>
      <c r="L281" s="6">
        <v>1</v>
      </c>
      <c r="M281" s="6" t="str">
        <f t="shared" si="45"/>
        <v>Partly cloudy</v>
      </c>
      <c r="N281" s="8">
        <v>0.14000000000000001</v>
      </c>
      <c r="O281" s="8">
        <v>0.1212</v>
      </c>
      <c r="P281" s="8">
        <v>0.5</v>
      </c>
      <c r="Q281" s="8">
        <v>0.35820000000000002</v>
      </c>
      <c r="R281" s="6">
        <v>0</v>
      </c>
      <c r="S281" s="6">
        <v>2</v>
      </c>
      <c r="T281" s="6">
        <v>2</v>
      </c>
      <c r="U281" s="8">
        <f t="shared" si="46"/>
        <v>-0.64378142061299781</v>
      </c>
      <c r="V281" s="8" t="str">
        <f t="shared" si="47"/>
        <v>Normal</v>
      </c>
      <c r="W281" s="8">
        <f t="shared" si="48"/>
        <v>-1.0728490967713524</v>
      </c>
      <c r="X281" s="8" t="str">
        <f t="shared" si="49"/>
        <v>Normal</v>
      </c>
    </row>
    <row r="282" spans="1:24" x14ac:dyDescent="0.25">
      <c r="A282" s="6">
        <v>281</v>
      </c>
      <c r="B282" s="7">
        <v>40556</v>
      </c>
      <c r="C282" s="6">
        <v>1</v>
      </c>
      <c r="D282" s="6" t="str">
        <f t="shared" si="40"/>
        <v>january</v>
      </c>
      <c r="E282" s="6">
        <v>3</v>
      </c>
      <c r="F282" s="6" t="str">
        <f t="shared" si="41"/>
        <v>Night</v>
      </c>
      <c r="G282" s="6" t="b">
        <v>0</v>
      </c>
      <c r="H282" s="6">
        <f t="shared" si="42"/>
        <v>0</v>
      </c>
      <c r="I282" s="6">
        <v>4</v>
      </c>
      <c r="J282" s="6" t="str">
        <f t="shared" si="43"/>
        <v>Thursday</v>
      </c>
      <c r="K282" s="6">
        <f t="shared" si="44"/>
        <v>0</v>
      </c>
      <c r="L282" s="6">
        <v>1</v>
      </c>
      <c r="M282" s="6" t="str">
        <f t="shared" si="45"/>
        <v>Partly cloudy</v>
      </c>
      <c r="N282" s="8">
        <v>0.14000000000000001</v>
      </c>
      <c r="O282" s="8">
        <v>0.1212</v>
      </c>
      <c r="P282" s="8">
        <v>0.5</v>
      </c>
      <c r="Q282" s="8">
        <v>0.32840000000000003</v>
      </c>
      <c r="R282" s="6">
        <v>0</v>
      </c>
      <c r="S282" s="6">
        <v>3</v>
      </c>
      <c r="T282" s="6">
        <v>3</v>
      </c>
      <c r="U282" s="8">
        <f t="shared" si="46"/>
        <v>-0.64378142061299781</v>
      </c>
      <c r="V282" s="8" t="str">
        <f t="shared" si="47"/>
        <v>Normal</v>
      </c>
      <c r="W282" s="8">
        <f t="shared" si="48"/>
        <v>-1.0519696405937966</v>
      </c>
      <c r="X282" s="8" t="str">
        <f t="shared" si="49"/>
        <v>Normal</v>
      </c>
    </row>
    <row r="283" spans="1:24" x14ac:dyDescent="0.25">
      <c r="A283" s="6">
        <v>282</v>
      </c>
      <c r="B283" s="7">
        <v>40556</v>
      </c>
      <c r="C283" s="6">
        <v>1</v>
      </c>
      <c r="D283" s="6" t="str">
        <f t="shared" si="40"/>
        <v>january</v>
      </c>
      <c r="E283" s="6">
        <v>4</v>
      </c>
      <c r="F283" s="6" t="str">
        <f t="shared" si="41"/>
        <v>Night</v>
      </c>
      <c r="G283" s="6" t="b">
        <v>0</v>
      </c>
      <c r="H283" s="6">
        <f t="shared" si="42"/>
        <v>0</v>
      </c>
      <c r="I283" s="6">
        <v>4</v>
      </c>
      <c r="J283" s="6" t="str">
        <f t="shared" si="43"/>
        <v>Thursday</v>
      </c>
      <c r="K283" s="6">
        <f t="shared" si="44"/>
        <v>0</v>
      </c>
      <c r="L283" s="6">
        <v>1</v>
      </c>
      <c r="M283" s="6" t="str">
        <f t="shared" si="45"/>
        <v>Partly cloudy</v>
      </c>
      <c r="N283" s="8">
        <v>0.14000000000000001</v>
      </c>
      <c r="O283" s="8">
        <v>0.1212</v>
      </c>
      <c r="P283" s="8">
        <v>0.5</v>
      </c>
      <c r="Q283" s="8">
        <v>0.25369999999999998</v>
      </c>
      <c r="R283" s="6">
        <v>0</v>
      </c>
      <c r="S283" s="6">
        <v>4</v>
      </c>
      <c r="T283" s="6">
        <v>4</v>
      </c>
      <c r="U283" s="8">
        <f t="shared" si="46"/>
        <v>-0.64378142061299781</v>
      </c>
      <c r="V283" s="8" t="str">
        <f t="shared" si="47"/>
        <v>Normal</v>
      </c>
      <c r="W283" s="8">
        <f t="shared" si="48"/>
        <v>-1.0310901844162408</v>
      </c>
      <c r="X283" s="8" t="str">
        <f t="shared" si="49"/>
        <v>Normal</v>
      </c>
    </row>
    <row r="284" spans="1:24" x14ac:dyDescent="0.25">
      <c r="A284" s="6">
        <v>283</v>
      </c>
      <c r="B284" s="7">
        <v>40556</v>
      </c>
      <c r="C284" s="6">
        <v>1</v>
      </c>
      <c r="D284" s="6" t="str">
        <f t="shared" si="40"/>
        <v>january</v>
      </c>
      <c r="E284" s="6">
        <v>5</v>
      </c>
      <c r="F284" s="6" t="str">
        <f t="shared" si="41"/>
        <v>Early Morning</v>
      </c>
      <c r="G284" s="6" t="b">
        <v>0</v>
      </c>
      <c r="H284" s="6">
        <f t="shared" si="42"/>
        <v>0</v>
      </c>
      <c r="I284" s="6">
        <v>4</v>
      </c>
      <c r="J284" s="6" t="str">
        <f t="shared" si="43"/>
        <v>Thursday</v>
      </c>
      <c r="K284" s="6">
        <f t="shared" si="44"/>
        <v>0</v>
      </c>
      <c r="L284" s="6">
        <v>1</v>
      </c>
      <c r="M284" s="6" t="str">
        <f t="shared" si="45"/>
        <v>Partly cloudy</v>
      </c>
      <c r="N284" s="8">
        <v>0.14000000000000001</v>
      </c>
      <c r="O284" s="8">
        <v>0.1212</v>
      </c>
      <c r="P284" s="8">
        <v>0.5</v>
      </c>
      <c r="Q284" s="8">
        <v>0.29849999999999999</v>
      </c>
      <c r="R284" s="6">
        <v>0</v>
      </c>
      <c r="S284" s="6">
        <v>3</v>
      </c>
      <c r="T284" s="6">
        <v>3</v>
      </c>
      <c r="U284" s="8">
        <f t="shared" si="46"/>
        <v>-0.64378142061299781</v>
      </c>
      <c r="V284" s="8" t="str">
        <f t="shared" si="47"/>
        <v>Normal</v>
      </c>
      <c r="W284" s="8">
        <f t="shared" si="48"/>
        <v>-1.0519696405937966</v>
      </c>
      <c r="X284" s="8" t="str">
        <f t="shared" si="49"/>
        <v>Normal</v>
      </c>
    </row>
    <row r="285" spans="1:24" x14ac:dyDescent="0.25">
      <c r="A285" s="6">
        <v>284</v>
      </c>
      <c r="B285" s="7">
        <v>40556</v>
      </c>
      <c r="C285" s="6">
        <v>1</v>
      </c>
      <c r="D285" s="6" t="str">
        <f t="shared" si="40"/>
        <v>january</v>
      </c>
      <c r="E285" s="6">
        <v>6</v>
      </c>
      <c r="F285" s="6" t="str">
        <f t="shared" si="41"/>
        <v>Early Morning</v>
      </c>
      <c r="G285" s="6" t="b">
        <v>0</v>
      </c>
      <c r="H285" s="6">
        <f t="shared" si="42"/>
        <v>0</v>
      </c>
      <c r="I285" s="6">
        <v>4</v>
      </c>
      <c r="J285" s="6" t="str">
        <f t="shared" si="43"/>
        <v>Thursday</v>
      </c>
      <c r="K285" s="6">
        <f t="shared" si="44"/>
        <v>0</v>
      </c>
      <c r="L285" s="6">
        <v>1</v>
      </c>
      <c r="M285" s="6" t="str">
        <f t="shared" si="45"/>
        <v>Partly cloudy</v>
      </c>
      <c r="N285" s="8">
        <v>0.12</v>
      </c>
      <c r="O285" s="8">
        <v>0.1515</v>
      </c>
      <c r="P285" s="8">
        <v>0.54</v>
      </c>
      <c r="Q285" s="8">
        <v>0.1343</v>
      </c>
      <c r="R285" s="6">
        <v>0</v>
      </c>
      <c r="S285" s="6">
        <v>28</v>
      </c>
      <c r="T285" s="6">
        <v>28</v>
      </c>
      <c r="U285" s="8">
        <f t="shared" si="46"/>
        <v>-0.64378142061299781</v>
      </c>
      <c r="V285" s="8" t="str">
        <f t="shared" si="47"/>
        <v>Normal</v>
      </c>
      <c r="W285" s="8">
        <f t="shared" si="48"/>
        <v>-0.52998323615490028</v>
      </c>
      <c r="X285" s="8" t="str">
        <f t="shared" si="49"/>
        <v>Normal</v>
      </c>
    </row>
    <row r="286" spans="1:24" x14ac:dyDescent="0.25">
      <c r="A286" s="6">
        <v>285</v>
      </c>
      <c r="B286" s="7">
        <v>40556</v>
      </c>
      <c r="C286" s="6">
        <v>1</v>
      </c>
      <c r="D286" s="6" t="str">
        <f t="shared" si="40"/>
        <v>january</v>
      </c>
      <c r="E286" s="6">
        <v>7</v>
      </c>
      <c r="F286" s="6" t="str">
        <f t="shared" si="41"/>
        <v>Early Morning</v>
      </c>
      <c r="G286" s="6" t="b">
        <v>0</v>
      </c>
      <c r="H286" s="6">
        <f t="shared" si="42"/>
        <v>0</v>
      </c>
      <c r="I286" s="6">
        <v>4</v>
      </c>
      <c r="J286" s="6" t="str">
        <f t="shared" si="43"/>
        <v>Thursday</v>
      </c>
      <c r="K286" s="6">
        <f t="shared" si="44"/>
        <v>0</v>
      </c>
      <c r="L286" s="6">
        <v>1</v>
      </c>
      <c r="M286" s="6" t="str">
        <f t="shared" si="45"/>
        <v>Partly cloudy</v>
      </c>
      <c r="N286" s="8">
        <v>0.12</v>
      </c>
      <c r="O286" s="8">
        <v>0.1515</v>
      </c>
      <c r="P286" s="8">
        <v>0.54</v>
      </c>
      <c r="Q286" s="8">
        <v>0.1343</v>
      </c>
      <c r="R286" s="6">
        <v>0</v>
      </c>
      <c r="S286" s="6">
        <v>72</v>
      </c>
      <c r="T286" s="6">
        <v>72</v>
      </c>
      <c r="U286" s="8">
        <f t="shared" si="46"/>
        <v>-0.64378142061299781</v>
      </c>
      <c r="V286" s="8" t="str">
        <f t="shared" si="47"/>
        <v>Normal</v>
      </c>
      <c r="W286" s="8">
        <f t="shared" si="48"/>
        <v>0.38871283565755727</v>
      </c>
      <c r="X286" s="8" t="str">
        <f t="shared" si="49"/>
        <v>Normal</v>
      </c>
    </row>
    <row r="287" spans="1:24" x14ac:dyDescent="0.25">
      <c r="A287" s="6">
        <v>286</v>
      </c>
      <c r="B287" s="7">
        <v>40556</v>
      </c>
      <c r="C287" s="6">
        <v>1</v>
      </c>
      <c r="D287" s="6" t="str">
        <f t="shared" si="40"/>
        <v>january</v>
      </c>
      <c r="E287" s="6">
        <v>8</v>
      </c>
      <c r="F287" s="6" t="str">
        <f t="shared" si="41"/>
        <v>Morning</v>
      </c>
      <c r="G287" s="6" t="b">
        <v>0</v>
      </c>
      <c r="H287" s="6">
        <f t="shared" si="42"/>
        <v>0</v>
      </c>
      <c r="I287" s="6">
        <v>4</v>
      </c>
      <c r="J287" s="6" t="str">
        <f t="shared" si="43"/>
        <v>Thursday</v>
      </c>
      <c r="K287" s="6">
        <f t="shared" si="44"/>
        <v>0</v>
      </c>
      <c r="L287" s="6">
        <v>1</v>
      </c>
      <c r="M287" s="6" t="str">
        <f t="shared" si="45"/>
        <v>Partly cloudy</v>
      </c>
      <c r="N287" s="8">
        <v>0.14000000000000001</v>
      </c>
      <c r="O287" s="8">
        <v>0.13639999999999999</v>
      </c>
      <c r="P287" s="8">
        <v>0.5</v>
      </c>
      <c r="Q287" s="8">
        <v>0.19400000000000001</v>
      </c>
      <c r="R287" s="6">
        <v>5</v>
      </c>
      <c r="S287" s="6">
        <v>197</v>
      </c>
      <c r="T287" s="6">
        <v>202</v>
      </c>
      <c r="U287" s="8">
        <f t="shared" si="46"/>
        <v>1.0335040078932463E-2</v>
      </c>
      <c r="V287" s="8" t="str">
        <f t="shared" si="47"/>
        <v>Normal</v>
      </c>
      <c r="W287" s="8">
        <f t="shared" si="48"/>
        <v>2.9986448578520388</v>
      </c>
      <c r="X287" s="8" t="str">
        <f t="shared" si="49"/>
        <v>Peak</v>
      </c>
    </row>
    <row r="288" spans="1:24" x14ac:dyDescent="0.25">
      <c r="A288" s="6">
        <v>287</v>
      </c>
      <c r="B288" s="7">
        <v>40556</v>
      </c>
      <c r="C288" s="6">
        <v>1</v>
      </c>
      <c r="D288" s="6" t="str">
        <f t="shared" si="40"/>
        <v>january</v>
      </c>
      <c r="E288" s="6">
        <v>9</v>
      </c>
      <c r="F288" s="6" t="str">
        <f t="shared" si="41"/>
        <v>Morning</v>
      </c>
      <c r="G288" s="6" t="b">
        <v>0</v>
      </c>
      <c r="H288" s="6">
        <f t="shared" si="42"/>
        <v>0</v>
      </c>
      <c r="I288" s="6">
        <v>4</v>
      </c>
      <c r="J288" s="6" t="str">
        <f t="shared" si="43"/>
        <v>Thursday</v>
      </c>
      <c r="K288" s="6">
        <f t="shared" si="44"/>
        <v>0</v>
      </c>
      <c r="L288" s="6">
        <v>1</v>
      </c>
      <c r="M288" s="6" t="str">
        <f t="shared" si="45"/>
        <v>Partly cloudy</v>
      </c>
      <c r="N288" s="8">
        <v>0.14000000000000001</v>
      </c>
      <c r="O288" s="8">
        <v>0.1212</v>
      </c>
      <c r="P288" s="8">
        <v>0.5</v>
      </c>
      <c r="Q288" s="8">
        <v>0.32840000000000003</v>
      </c>
      <c r="R288" s="6">
        <v>2</v>
      </c>
      <c r="S288" s="6">
        <v>137</v>
      </c>
      <c r="T288" s="6">
        <v>139</v>
      </c>
      <c r="U288" s="8">
        <f t="shared" si="46"/>
        <v>-0.38213483633622569</v>
      </c>
      <c r="V288" s="8" t="str">
        <f t="shared" si="47"/>
        <v>Normal</v>
      </c>
      <c r="W288" s="8">
        <f t="shared" si="48"/>
        <v>1.7458774871986877</v>
      </c>
      <c r="X288" s="8" t="str">
        <f t="shared" si="49"/>
        <v>Normal</v>
      </c>
    </row>
    <row r="289" spans="1:24" x14ac:dyDescent="0.25">
      <c r="A289" s="6">
        <v>288</v>
      </c>
      <c r="B289" s="7">
        <v>40556</v>
      </c>
      <c r="C289" s="6">
        <v>1</v>
      </c>
      <c r="D289" s="6" t="str">
        <f t="shared" si="40"/>
        <v>january</v>
      </c>
      <c r="E289" s="6">
        <v>10</v>
      </c>
      <c r="F289" s="6" t="str">
        <f t="shared" si="41"/>
        <v>Morning</v>
      </c>
      <c r="G289" s="6" t="b">
        <v>0</v>
      </c>
      <c r="H289" s="6">
        <f t="shared" si="42"/>
        <v>0</v>
      </c>
      <c r="I289" s="6">
        <v>4</v>
      </c>
      <c r="J289" s="6" t="str">
        <f t="shared" si="43"/>
        <v>Thursday</v>
      </c>
      <c r="K289" s="6">
        <f t="shared" si="44"/>
        <v>0</v>
      </c>
      <c r="L289" s="6">
        <v>2</v>
      </c>
      <c r="M289" s="6" t="str">
        <f t="shared" si="45"/>
        <v>Cloudy</v>
      </c>
      <c r="N289" s="8">
        <v>0.16</v>
      </c>
      <c r="O289" s="8">
        <v>0.13639999999999999</v>
      </c>
      <c r="P289" s="8">
        <v>0.5</v>
      </c>
      <c r="Q289" s="8">
        <v>0.35820000000000002</v>
      </c>
      <c r="R289" s="6">
        <v>2</v>
      </c>
      <c r="S289" s="6">
        <v>36</v>
      </c>
      <c r="T289" s="6">
        <v>38</v>
      </c>
      <c r="U289" s="8">
        <f t="shared" si="46"/>
        <v>-0.38213483633622569</v>
      </c>
      <c r="V289" s="8" t="str">
        <f t="shared" si="47"/>
        <v>Normal</v>
      </c>
      <c r="W289" s="8">
        <f t="shared" si="48"/>
        <v>-0.36294758673445349</v>
      </c>
      <c r="X289" s="8" t="str">
        <f t="shared" si="49"/>
        <v>Normal</v>
      </c>
    </row>
    <row r="290" spans="1:24" x14ac:dyDescent="0.25">
      <c r="A290" s="6">
        <v>289</v>
      </c>
      <c r="B290" s="7">
        <v>40556</v>
      </c>
      <c r="C290" s="6">
        <v>1</v>
      </c>
      <c r="D290" s="6" t="str">
        <f t="shared" si="40"/>
        <v>january</v>
      </c>
      <c r="E290" s="6">
        <v>11</v>
      </c>
      <c r="F290" s="6" t="str">
        <f t="shared" si="41"/>
        <v>Morning</v>
      </c>
      <c r="G290" s="6" t="b">
        <v>0</v>
      </c>
      <c r="H290" s="6">
        <f t="shared" si="42"/>
        <v>0</v>
      </c>
      <c r="I290" s="6">
        <v>4</v>
      </c>
      <c r="J290" s="6" t="str">
        <f t="shared" si="43"/>
        <v>Thursday</v>
      </c>
      <c r="K290" s="6">
        <f t="shared" si="44"/>
        <v>0</v>
      </c>
      <c r="L290" s="6">
        <v>2</v>
      </c>
      <c r="M290" s="6" t="str">
        <f t="shared" si="45"/>
        <v>Cloudy</v>
      </c>
      <c r="N290" s="8">
        <v>0.2</v>
      </c>
      <c r="O290" s="8">
        <v>0.16669999999999999</v>
      </c>
      <c r="P290" s="8">
        <v>0.44</v>
      </c>
      <c r="Q290" s="8">
        <v>0.44779999999999998</v>
      </c>
      <c r="R290" s="6">
        <v>4</v>
      </c>
      <c r="S290" s="6">
        <v>33</v>
      </c>
      <c r="T290" s="6">
        <v>37</v>
      </c>
      <c r="U290" s="8">
        <f t="shared" si="46"/>
        <v>-0.1204882520594536</v>
      </c>
      <c r="V290" s="8" t="str">
        <f t="shared" si="47"/>
        <v>Normal</v>
      </c>
      <c r="W290" s="8">
        <f t="shared" si="48"/>
        <v>-0.42558595526712101</v>
      </c>
      <c r="X290" s="8" t="str">
        <f t="shared" si="49"/>
        <v>Normal</v>
      </c>
    </row>
    <row r="291" spans="1:24" x14ac:dyDescent="0.25">
      <c r="A291" s="6">
        <v>290</v>
      </c>
      <c r="B291" s="7">
        <v>40556</v>
      </c>
      <c r="C291" s="6">
        <v>1</v>
      </c>
      <c r="D291" s="6" t="str">
        <f t="shared" si="40"/>
        <v>january</v>
      </c>
      <c r="E291" s="6">
        <v>12</v>
      </c>
      <c r="F291" s="6" t="str">
        <f t="shared" si="41"/>
        <v>Afternoon</v>
      </c>
      <c r="G291" s="6" t="b">
        <v>0</v>
      </c>
      <c r="H291" s="6">
        <f t="shared" si="42"/>
        <v>0</v>
      </c>
      <c r="I291" s="6">
        <v>4</v>
      </c>
      <c r="J291" s="6" t="str">
        <f t="shared" si="43"/>
        <v>Thursday</v>
      </c>
      <c r="K291" s="6">
        <f t="shared" si="44"/>
        <v>0</v>
      </c>
      <c r="L291" s="6">
        <v>1</v>
      </c>
      <c r="M291" s="6" t="str">
        <f t="shared" si="45"/>
        <v>Partly cloudy</v>
      </c>
      <c r="N291" s="8">
        <v>0.2</v>
      </c>
      <c r="O291" s="8">
        <v>0.16669999999999999</v>
      </c>
      <c r="P291" s="8">
        <v>0.44</v>
      </c>
      <c r="Q291" s="8">
        <v>0.41789999999999999</v>
      </c>
      <c r="R291" s="6">
        <v>3</v>
      </c>
      <c r="S291" s="6">
        <v>49</v>
      </c>
      <c r="T291" s="6">
        <v>52</v>
      </c>
      <c r="U291" s="8">
        <f t="shared" si="46"/>
        <v>-0.25131154419783963</v>
      </c>
      <c r="V291" s="8" t="str">
        <f t="shared" si="47"/>
        <v>Normal</v>
      </c>
      <c r="W291" s="8">
        <f t="shared" si="48"/>
        <v>-9.1514656426227359E-2</v>
      </c>
      <c r="X291" s="8" t="str">
        <f t="shared" si="49"/>
        <v>Normal</v>
      </c>
    </row>
    <row r="292" spans="1:24" x14ac:dyDescent="0.25">
      <c r="A292" s="6">
        <v>291</v>
      </c>
      <c r="B292" s="7">
        <v>40556</v>
      </c>
      <c r="C292" s="6">
        <v>1</v>
      </c>
      <c r="D292" s="6" t="str">
        <f t="shared" si="40"/>
        <v>january</v>
      </c>
      <c r="E292" s="6">
        <v>13</v>
      </c>
      <c r="F292" s="6" t="str">
        <f t="shared" si="41"/>
        <v>Afternoon</v>
      </c>
      <c r="G292" s="6" t="b">
        <v>0</v>
      </c>
      <c r="H292" s="6">
        <f t="shared" si="42"/>
        <v>0</v>
      </c>
      <c r="I292" s="6">
        <v>4</v>
      </c>
      <c r="J292" s="6" t="str">
        <f t="shared" si="43"/>
        <v>Thursday</v>
      </c>
      <c r="K292" s="6">
        <f t="shared" si="44"/>
        <v>0</v>
      </c>
      <c r="L292" s="6">
        <v>1</v>
      </c>
      <c r="M292" s="6" t="str">
        <f t="shared" si="45"/>
        <v>Partly cloudy</v>
      </c>
      <c r="N292" s="8">
        <v>0.22</v>
      </c>
      <c r="O292" s="8">
        <v>0.19700000000000001</v>
      </c>
      <c r="P292" s="8">
        <v>0.41</v>
      </c>
      <c r="Q292" s="8">
        <v>0.44779999999999998</v>
      </c>
      <c r="R292" s="6">
        <v>2</v>
      </c>
      <c r="S292" s="6">
        <v>81</v>
      </c>
      <c r="T292" s="6">
        <v>83</v>
      </c>
      <c r="U292" s="8">
        <f t="shared" si="46"/>
        <v>-0.38213483633622569</v>
      </c>
      <c r="V292" s="8" t="str">
        <f t="shared" si="47"/>
        <v>Normal</v>
      </c>
      <c r="W292" s="8">
        <f t="shared" si="48"/>
        <v>0.57662794125555994</v>
      </c>
      <c r="X292" s="8" t="str">
        <f t="shared" si="49"/>
        <v>Normal</v>
      </c>
    </row>
    <row r="293" spans="1:24" x14ac:dyDescent="0.25">
      <c r="A293" s="6">
        <v>292</v>
      </c>
      <c r="B293" s="7">
        <v>40556</v>
      </c>
      <c r="C293" s="6">
        <v>1</v>
      </c>
      <c r="D293" s="6" t="str">
        <f t="shared" si="40"/>
        <v>january</v>
      </c>
      <c r="E293" s="6">
        <v>14</v>
      </c>
      <c r="F293" s="6" t="str">
        <f t="shared" si="41"/>
        <v>Afternoon</v>
      </c>
      <c r="G293" s="6" t="b">
        <v>0</v>
      </c>
      <c r="H293" s="6">
        <f t="shared" si="42"/>
        <v>0</v>
      </c>
      <c r="I293" s="6">
        <v>4</v>
      </c>
      <c r="J293" s="6" t="str">
        <f t="shared" si="43"/>
        <v>Thursday</v>
      </c>
      <c r="K293" s="6">
        <f t="shared" si="44"/>
        <v>0</v>
      </c>
      <c r="L293" s="6">
        <v>1</v>
      </c>
      <c r="M293" s="6" t="str">
        <f t="shared" si="45"/>
        <v>Partly cloudy</v>
      </c>
      <c r="N293" s="8">
        <v>0.22</v>
      </c>
      <c r="O293" s="8">
        <v>0.19700000000000001</v>
      </c>
      <c r="P293" s="8">
        <v>0.41</v>
      </c>
      <c r="Q293" s="8">
        <v>0.3881</v>
      </c>
      <c r="R293" s="6">
        <v>3</v>
      </c>
      <c r="S293" s="6">
        <v>39</v>
      </c>
      <c r="T293" s="6">
        <v>42</v>
      </c>
      <c r="U293" s="8">
        <f t="shared" si="46"/>
        <v>-0.25131154419783963</v>
      </c>
      <c r="V293" s="8" t="str">
        <f t="shared" si="47"/>
        <v>Normal</v>
      </c>
      <c r="W293" s="8">
        <f t="shared" si="48"/>
        <v>-0.30030921820178591</v>
      </c>
      <c r="X293" s="8" t="str">
        <f t="shared" si="49"/>
        <v>Normal</v>
      </c>
    </row>
    <row r="294" spans="1:24" x14ac:dyDescent="0.25">
      <c r="A294" s="6">
        <v>293</v>
      </c>
      <c r="B294" s="7">
        <v>40556</v>
      </c>
      <c r="C294" s="6">
        <v>1</v>
      </c>
      <c r="D294" s="6" t="str">
        <f t="shared" si="40"/>
        <v>january</v>
      </c>
      <c r="E294" s="6">
        <v>15</v>
      </c>
      <c r="F294" s="6" t="str">
        <f t="shared" si="41"/>
        <v>Afternoon</v>
      </c>
      <c r="G294" s="6" t="b">
        <v>0</v>
      </c>
      <c r="H294" s="6">
        <f t="shared" si="42"/>
        <v>0</v>
      </c>
      <c r="I294" s="6">
        <v>4</v>
      </c>
      <c r="J294" s="6" t="str">
        <f t="shared" si="43"/>
        <v>Thursday</v>
      </c>
      <c r="K294" s="6">
        <f t="shared" si="44"/>
        <v>0</v>
      </c>
      <c r="L294" s="6">
        <v>1</v>
      </c>
      <c r="M294" s="6" t="str">
        <f t="shared" si="45"/>
        <v>Partly cloudy</v>
      </c>
      <c r="N294" s="8">
        <v>0.24</v>
      </c>
      <c r="O294" s="8">
        <v>0.21210000000000001</v>
      </c>
      <c r="P294" s="8">
        <v>0.38</v>
      </c>
      <c r="Q294" s="8">
        <v>0.29849999999999999</v>
      </c>
      <c r="R294" s="6">
        <v>5</v>
      </c>
      <c r="S294" s="6">
        <v>55</v>
      </c>
      <c r="T294" s="6">
        <v>60</v>
      </c>
      <c r="U294" s="8">
        <f t="shared" si="46"/>
        <v>1.0335040078932463E-2</v>
      </c>
      <c r="V294" s="8" t="str">
        <f t="shared" si="47"/>
        <v>Normal</v>
      </c>
      <c r="W294" s="8">
        <f t="shared" si="48"/>
        <v>3.376208063910776E-2</v>
      </c>
      <c r="X294" s="8" t="str">
        <f t="shared" si="49"/>
        <v>Normal</v>
      </c>
    </row>
    <row r="295" spans="1:24" x14ac:dyDescent="0.25">
      <c r="A295" s="6">
        <v>294</v>
      </c>
      <c r="B295" s="7">
        <v>40556</v>
      </c>
      <c r="C295" s="6">
        <v>1</v>
      </c>
      <c r="D295" s="6" t="str">
        <f t="shared" si="40"/>
        <v>january</v>
      </c>
      <c r="E295" s="6">
        <v>16</v>
      </c>
      <c r="F295" s="6" t="str">
        <f t="shared" si="41"/>
        <v>Afternoon</v>
      </c>
      <c r="G295" s="6" t="b">
        <v>0</v>
      </c>
      <c r="H295" s="6">
        <f t="shared" si="42"/>
        <v>0</v>
      </c>
      <c r="I295" s="6">
        <v>4</v>
      </c>
      <c r="J295" s="6" t="str">
        <f t="shared" si="43"/>
        <v>Thursday</v>
      </c>
      <c r="K295" s="6">
        <f t="shared" si="44"/>
        <v>0</v>
      </c>
      <c r="L295" s="6">
        <v>1</v>
      </c>
      <c r="M295" s="6" t="str">
        <f t="shared" si="45"/>
        <v>Partly cloudy</v>
      </c>
      <c r="N295" s="8">
        <v>0.24</v>
      </c>
      <c r="O295" s="8">
        <v>0.21210000000000001</v>
      </c>
      <c r="P295" s="8">
        <v>0.38</v>
      </c>
      <c r="Q295" s="8">
        <v>0.35820000000000002</v>
      </c>
      <c r="R295" s="6">
        <v>2</v>
      </c>
      <c r="S295" s="6">
        <v>76</v>
      </c>
      <c r="T295" s="6">
        <v>78</v>
      </c>
      <c r="U295" s="8">
        <f t="shared" si="46"/>
        <v>-0.38213483633622569</v>
      </c>
      <c r="V295" s="8" t="str">
        <f t="shared" si="47"/>
        <v>Normal</v>
      </c>
      <c r="W295" s="8">
        <f t="shared" si="48"/>
        <v>0.47223066036778072</v>
      </c>
      <c r="X295" s="8" t="str">
        <f t="shared" si="49"/>
        <v>Normal</v>
      </c>
    </row>
    <row r="296" spans="1:24" x14ac:dyDescent="0.25">
      <c r="A296" s="6">
        <v>295</v>
      </c>
      <c r="B296" s="7">
        <v>40556</v>
      </c>
      <c r="C296" s="6">
        <v>1</v>
      </c>
      <c r="D296" s="6" t="str">
        <f t="shared" si="40"/>
        <v>january</v>
      </c>
      <c r="E296" s="6">
        <v>17</v>
      </c>
      <c r="F296" s="6" t="str">
        <f t="shared" si="41"/>
        <v>Evening</v>
      </c>
      <c r="G296" s="6" t="b">
        <v>0</v>
      </c>
      <c r="H296" s="6">
        <f t="shared" si="42"/>
        <v>0</v>
      </c>
      <c r="I296" s="6">
        <v>4</v>
      </c>
      <c r="J296" s="6" t="str">
        <f t="shared" si="43"/>
        <v>Thursday</v>
      </c>
      <c r="K296" s="6">
        <f t="shared" si="44"/>
        <v>0</v>
      </c>
      <c r="L296" s="6">
        <v>1</v>
      </c>
      <c r="M296" s="6" t="str">
        <f t="shared" si="45"/>
        <v>Partly cloudy</v>
      </c>
      <c r="N296" s="8">
        <v>0.2</v>
      </c>
      <c r="O296" s="8">
        <v>0.18179999999999999</v>
      </c>
      <c r="P296" s="8">
        <v>0.4</v>
      </c>
      <c r="Q296" s="8">
        <v>0.28360000000000002</v>
      </c>
      <c r="R296" s="6">
        <v>4</v>
      </c>
      <c r="S296" s="6">
        <v>158</v>
      </c>
      <c r="T296" s="6">
        <v>162</v>
      </c>
      <c r="U296" s="8">
        <f t="shared" si="46"/>
        <v>-0.1204882520594536</v>
      </c>
      <c r="V296" s="8" t="str">
        <f t="shared" si="47"/>
        <v>Normal</v>
      </c>
      <c r="W296" s="8">
        <f t="shared" si="48"/>
        <v>2.1843460669273607</v>
      </c>
      <c r="X296" s="8" t="str">
        <f t="shared" si="49"/>
        <v>Peak</v>
      </c>
    </row>
    <row r="297" spans="1:24" x14ac:dyDescent="0.25">
      <c r="A297" s="6">
        <v>296</v>
      </c>
      <c r="B297" s="7">
        <v>40556</v>
      </c>
      <c r="C297" s="6">
        <v>1</v>
      </c>
      <c r="D297" s="6" t="str">
        <f t="shared" si="40"/>
        <v>january</v>
      </c>
      <c r="E297" s="6">
        <v>18</v>
      </c>
      <c r="F297" s="6" t="str">
        <f t="shared" si="41"/>
        <v>Evening</v>
      </c>
      <c r="G297" s="6" t="b">
        <v>0</v>
      </c>
      <c r="H297" s="6">
        <f t="shared" si="42"/>
        <v>0</v>
      </c>
      <c r="I297" s="6">
        <v>4</v>
      </c>
      <c r="J297" s="6" t="str">
        <f t="shared" si="43"/>
        <v>Thursday</v>
      </c>
      <c r="K297" s="6">
        <f t="shared" si="44"/>
        <v>0</v>
      </c>
      <c r="L297" s="6">
        <v>1</v>
      </c>
      <c r="M297" s="6" t="str">
        <f t="shared" si="45"/>
        <v>Partly cloudy</v>
      </c>
      <c r="N297" s="8">
        <v>0.2</v>
      </c>
      <c r="O297" s="8">
        <v>0.18179999999999999</v>
      </c>
      <c r="P297" s="8">
        <v>0.4</v>
      </c>
      <c r="Q297" s="8">
        <v>0.32840000000000003</v>
      </c>
      <c r="R297" s="6">
        <v>3</v>
      </c>
      <c r="S297" s="6">
        <v>141</v>
      </c>
      <c r="T297" s="6">
        <v>144</v>
      </c>
      <c r="U297" s="8">
        <f t="shared" si="46"/>
        <v>-0.25131154419783963</v>
      </c>
      <c r="V297" s="8" t="str">
        <f t="shared" si="47"/>
        <v>Normal</v>
      </c>
      <c r="W297" s="8">
        <f t="shared" si="48"/>
        <v>1.829395311908911</v>
      </c>
      <c r="X297" s="8" t="str">
        <f t="shared" si="49"/>
        <v>Normal</v>
      </c>
    </row>
    <row r="298" spans="1:24" x14ac:dyDescent="0.25">
      <c r="A298" s="6">
        <v>297</v>
      </c>
      <c r="B298" s="7">
        <v>40556</v>
      </c>
      <c r="C298" s="6">
        <v>1</v>
      </c>
      <c r="D298" s="6" t="str">
        <f t="shared" si="40"/>
        <v>january</v>
      </c>
      <c r="E298" s="6">
        <v>19</v>
      </c>
      <c r="F298" s="6" t="str">
        <f t="shared" si="41"/>
        <v>Evening</v>
      </c>
      <c r="G298" s="6" t="b">
        <v>0</v>
      </c>
      <c r="H298" s="6">
        <f t="shared" si="42"/>
        <v>0</v>
      </c>
      <c r="I298" s="6">
        <v>4</v>
      </c>
      <c r="J298" s="6" t="str">
        <f t="shared" si="43"/>
        <v>Thursday</v>
      </c>
      <c r="K298" s="6">
        <f t="shared" si="44"/>
        <v>0</v>
      </c>
      <c r="L298" s="6">
        <v>1</v>
      </c>
      <c r="M298" s="6" t="str">
        <f t="shared" si="45"/>
        <v>Partly cloudy</v>
      </c>
      <c r="N298" s="8">
        <v>0.16</v>
      </c>
      <c r="O298" s="8">
        <v>0.1515</v>
      </c>
      <c r="P298" s="8">
        <v>0.47</v>
      </c>
      <c r="Q298" s="8">
        <v>0.25369999999999998</v>
      </c>
      <c r="R298" s="6">
        <v>1</v>
      </c>
      <c r="S298" s="6">
        <v>98</v>
      </c>
      <c r="T298" s="6">
        <v>99</v>
      </c>
      <c r="U298" s="8">
        <f t="shared" si="46"/>
        <v>-0.51295812847461175</v>
      </c>
      <c r="V298" s="8" t="str">
        <f t="shared" si="47"/>
        <v>Normal</v>
      </c>
      <c r="W298" s="8">
        <f t="shared" si="48"/>
        <v>0.93157869627400947</v>
      </c>
      <c r="X298" s="8" t="str">
        <f t="shared" si="49"/>
        <v>Normal</v>
      </c>
    </row>
    <row r="299" spans="1:24" x14ac:dyDescent="0.25">
      <c r="A299" s="6">
        <v>298</v>
      </c>
      <c r="B299" s="7">
        <v>40556</v>
      </c>
      <c r="C299" s="6">
        <v>1</v>
      </c>
      <c r="D299" s="6" t="str">
        <f t="shared" si="40"/>
        <v>january</v>
      </c>
      <c r="E299" s="6">
        <v>20</v>
      </c>
      <c r="F299" s="6" t="str">
        <f t="shared" si="41"/>
        <v>Evening</v>
      </c>
      <c r="G299" s="6" t="b">
        <v>0</v>
      </c>
      <c r="H299" s="6">
        <f t="shared" si="42"/>
        <v>0</v>
      </c>
      <c r="I299" s="6">
        <v>4</v>
      </c>
      <c r="J299" s="6" t="str">
        <f t="shared" si="43"/>
        <v>Thursday</v>
      </c>
      <c r="K299" s="6">
        <f t="shared" si="44"/>
        <v>0</v>
      </c>
      <c r="L299" s="6">
        <v>1</v>
      </c>
      <c r="M299" s="6" t="str">
        <f t="shared" si="45"/>
        <v>Partly cloudy</v>
      </c>
      <c r="N299" s="8">
        <v>0.16</v>
      </c>
      <c r="O299" s="8">
        <v>0.1515</v>
      </c>
      <c r="P299" s="8">
        <v>0.47</v>
      </c>
      <c r="Q299" s="8">
        <v>0.22389999999999999</v>
      </c>
      <c r="R299" s="6">
        <v>0</v>
      </c>
      <c r="S299" s="6">
        <v>64</v>
      </c>
      <c r="T299" s="6">
        <v>64</v>
      </c>
      <c r="U299" s="8">
        <f t="shared" si="46"/>
        <v>-0.64378142061299781</v>
      </c>
      <c r="V299" s="8" t="str">
        <f t="shared" si="47"/>
        <v>Normal</v>
      </c>
      <c r="W299" s="8">
        <f t="shared" si="48"/>
        <v>0.22167718623711044</v>
      </c>
      <c r="X299" s="8" t="str">
        <f t="shared" si="49"/>
        <v>Normal</v>
      </c>
    </row>
    <row r="300" spans="1:24" x14ac:dyDescent="0.25">
      <c r="A300" s="6">
        <v>299</v>
      </c>
      <c r="B300" s="7">
        <v>40556</v>
      </c>
      <c r="C300" s="6">
        <v>1</v>
      </c>
      <c r="D300" s="6" t="str">
        <f t="shared" si="40"/>
        <v>january</v>
      </c>
      <c r="E300" s="6">
        <v>21</v>
      </c>
      <c r="F300" s="6" t="str">
        <f t="shared" si="41"/>
        <v>Night</v>
      </c>
      <c r="G300" s="6" t="b">
        <v>0</v>
      </c>
      <c r="H300" s="6">
        <f t="shared" si="42"/>
        <v>0</v>
      </c>
      <c r="I300" s="6">
        <v>4</v>
      </c>
      <c r="J300" s="6" t="str">
        <f t="shared" si="43"/>
        <v>Thursday</v>
      </c>
      <c r="K300" s="6">
        <f t="shared" si="44"/>
        <v>0</v>
      </c>
      <c r="L300" s="6">
        <v>1</v>
      </c>
      <c r="M300" s="6" t="str">
        <f t="shared" si="45"/>
        <v>Partly cloudy</v>
      </c>
      <c r="N300" s="8">
        <v>0.14000000000000001</v>
      </c>
      <c r="O300" s="8">
        <v>0.1212</v>
      </c>
      <c r="P300" s="8">
        <v>0.46</v>
      </c>
      <c r="Q300" s="8">
        <v>0.29849999999999999</v>
      </c>
      <c r="R300" s="6">
        <v>0</v>
      </c>
      <c r="S300" s="6">
        <v>40</v>
      </c>
      <c r="T300" s="6">
        <v>40</v>
      </c>
      <c r="U300" s="8">
        <f t="shared" si="46"/>
        <v>-0.64378142061299781</v>
      </c>
      <c r="V300" s="8" t="str">
        <f t="shared" si="47"/>
        <v>Normal</v>
      </c>
      <c r="W300" s="8">
        <f t="shared" si="48"/>
        <v>-0.27942976202423003</v>
      </c>
      <c r="X300" s="8" t="str">
        <f t="shared" si="49"/>
        <v>Normal</v>
      </c>
    </row>
    <row r="301" spans="1:24" x14ac:dyDescent="0.25">
      <c r="A301" s="6">
        <v>300</v>
      </c>
      <c r="B301" s="7">
        <v>40556</v>
      </c>
      <c r="C301" s="6">
        <v>1</v>
      </c>
      <c r="D301" s="6" t="str">
        <f t="shared" si="40"/>
        <v>january</v>
      </c>
      <c r="E301" s="6">
        <v>22</v>
      </c>
      <c r="F301" s="6" t="str">
        <f t="shared" si="41"/>
        <v>Night</v>
      </c>
      <c r="G301" s="6" t="b">
        <v>0</v>
      </c>
      <c r="H301" s="6">
        <f t="shared" si="42"/>
        <v>0</v>
      </c>
      <c r="I301" s="6">
        <v>4</v>
      </c>
      <c r="J301" s="6" t="str">
        <f t="shared" si="43"/>
        <v>Thursday</v>
      </c>
      <c r="K301" s="6">
        <f t="shared" si="44"/>
        <v>0</v>
      </c>
      <c r="L301" s="6">
        <v>1</v>
      </c>
      <c r="M301" s="6" t="str">
        <f t="shared" si="45"/>
        <v>Partly cloudy</v>
      </c>
      <c r="N301" s="8">
        <v>0.14000000000000001</v>
      </c>
      <c r="O301" s="8">
        <v>0.1212</v>
      </c>
      <c r="P301" s="8">
        <v>0.46</v>
      </c>
      <c r="Q301" s="8">
        <v>0.32840000000000003</v>
      </c>
      <c r="R301" s="6">
        <v>0</v>
      </c>
      <c r="S301" s="6">
        <v>30</v>
      </c>
      <c r="T301" s="6">
        <v>30</v>
      </c>
      <c r="U301" s="8">
        <f t="shared" si="46"/>
        <v>-0.64378142061299781</v>
      </c>
      <c r="V301" s="8" t="str">
        <f t="shared" si="47"/>
        <v>Normal</v>
      </c>
      <c r="W301" s="8">
        <f t="shared" si="48"/>
        <v>-0.48822432379978858</v>
      </c>
      <c r="X301" s="8" t="str">
        <f t="shared" si="49"/>
        <v>Normal</v>
      </c>
    </row>
    <row r="302" spans="1:24" x14ac:dyDescent="0.25">
      <c r="A302" s="6">
        <v>301</v>
      </c>
      <c r="B302" s="7">
        <v>40556</v>
      </c>
      <c r="C302" s="6">
        <v>1</v>
      </c>
      <c r="D302" s="6" t="str">
        <f t="shared" si="40"/>
        <v>january</v>
      </c>
      <c r="E302" s="6">
        <v>23</v>
      </c>
      <c r="F302" s="6" t="str">
        <f t="shared" si="41"/>
        <v>Night</v>
      </c>
      <c r="G302" s="6" t="b">
        <v>0</v>
      </c>
      <c r="H302" s="6">
        <f t="shared" si="42"/>
        <v>0</v>
      </c>
      <c r="I302" s="6">
        <v>4</v>
      </c>
      <c r="J302" s="6" t="str">
        <f t="shared" si="43"/>
        <v>Thursday</v>
      </c>
      <c r="K302" s="6">
        <f t="shared" si="44"/>
        <v>0</v>
      </c>
      <c r="L302" s="6">
        <v>1</v>
      </c>
      <c r="M302" s="6" t="str">
        <f t="shared" si="45"/>
        <v>Partly cloudy</v>
      </c>
      <c r="N302" s="8">
        <v>0.12</v>
      </c>
      <c r="O302" s="8">
        <v>0.13639999999999999</v>
      </c>
      <c r="P302" s="8">
        <v>0.5</v>
      </c>
      <c r="Q302" s="8">
        <v>0.19400000000000001</v>
      </c>
      <c r="R302" s="6">
        <v>1</v>
      </c>
      <c r="S302" s="6">
        <v>14</v>
      </c>
      <c r="T302" s="6">
        <v>15</v>
      </c>
      <c r="U302" s="8">
        <f t="shared" si="46"/>
        <v>-0.51295812847461175</v>
      </c>
      <c r="V302" s="8" t="str">
        <f t="shared" si="47"/>
        <v>Normal</v>
      </c>
      <c r="W302" s="8">
        <f t="shared" si="48"/>
        <v>-0.82229562264068223</v>
      </c>
      <c r="X302" s="8" t="str">
        <f t="shared" si="49"/>
        <v>Normal</v>
      </c>
    </row>
    <row r="303" spans="1:24" x14ac:dyDescent="0.25">
      <c r="A303" s="6">
        <v>302</v>
      </c>
      <c r="B303" s="7">
        <v>40557</v>
      </c>
      <c r="C303" s="6">
        <v>1</v>
      </c>
      <c r="D303" s="6" t="str">
        <f t="shared" si="40"/>
        <v>january</v>
      </c>
      <c r="E303" s="6">
        <v>0</v>
      </c>
      <c r="F303" s="6" t="str">
        <f t="shared" si="41"/>
        <v>Night</v>
      </c>
      <c r="G303" s="6" t="b">
        <v>0</v>
      </c>
      <c r="H303" s="6">
        <f t="shared" si="42"/>
        <v>0</v>
      </c>
      <c r="I303" s="6">
        <v>5</v>
      </c>
      <c r="J303" s="6" t="str">
        <f t="shared" si="43"/>
        <v>Friday</v>
      </c>
      <c r="K303" s="6">
        <f t="shared" si="44"/>
        <v>0</v>
      </c>
      <c r="L303" s="6">
        <v>1</v>
      </c>
      <c r="M303" s="6" t="str">
        <f t="shared" si="45"/>
        <v>Partly cloudy</v>
      </c>
      <c r="N303" s="8">
        <v>0.12</v>
      </c>
      <c r="O303" s="8">
        <v>0.13639999999999999</v>
      </c>
      <c r="P303" s="8">
        <v>0.5</v>
      </c>
      <c r="Q303" s="8">
        <v>0.19400000000000001</v>
      </c>
      <c r="R303" s="6">
        <v>0</v>
      </c>
      <c r="S303" s="6">
        <v>14</v>
      </c>
      <c r="T303" s="6">
        <v>14</v>
      </c>
      <c r="U303" s="8">
        <f t="shared" si="46"/>
        <v>-0.64378142061299781</v>
      </c>
      <c r="V303" s="8" t="str">
        <f t="shared" si="47"/>
        <v>Normal</v>
      </c>
      <c r="W303" s="8">
        <f t="shared" si="48"/>
        <v>-0.82229562264068223</v>
      </c>
      <c r="X303" s="8" t="str">
        <f t="shared" si="49"/>
        <v>Normal</v>
      </c>
    </row>
    <row r="304" spans="1:24" x14ac:dyDescent="0.25">
      <c r="A304" s="6">
        <v>303</v>
      </c>
      <c r="B304" s="7">
        <v>40557</v>
      </c>
      <c r="C304" s="6">
        <v>1</v>
      </c>
      <c r="D304" s="6" t="str">
        <f t="shared" si="40"/>
        <v>january</v>
      </c>
      <c r="E304" s="6">
        <v>1</v>
      </c>
      <c r="F304" s="6" t="str">
        <f t="shared" si="41"/>
        <v>Night</v>
      </c>
      <c r="G304" s="6" t="b">
        <v>0</v>
      </c>
      <c r="H304" s="6">
        <f t="shared" si="42"/>
        <v>0</v>
      </c>
      <c r="I304" s="6">
        <v>5</v>
      </c>
      <c r="J304" s="6" t="str">
        <f t="shared" si="43"/>
        <v>Friday</v>
      </c>
      <c r="K304" s="6">
        <f t="shared" si="44"/>
        <v>0</v>
      </c>
      <c r="L304" s="6">
        <v>1</v>
      </c>
      <c r="M304" s="6" t="str">
        <f t="shared" si="45"/>
        <v>Partly cloudy</v>
      </c>
      <c r="N304" s="8">
        <v>0.1</v>
      </c>
      <c r="O304" s="8">
        <v>0.1212</v>
      </c>
      <c r="P304" s="8">
        <v>0.54</v>
      </c>
      <c r="Q304" s="8">
        <v>0.16420000000000001</v>
      </c>
      <c r="R304" s="6">
        <v>0</v>
      </c>
      <c r="S304" s="6">
        <v>5</v>
      </c>
      <c r="T304" s="6">
        <v>5</v>
      </c>
      <c r="U304" s="8">
        <f t="shared" si="46"/>
        <v>-0.64378142061299781</v>
      </c>
      <c r="V304" s="8" t="str">
        <f t="shared" si="47"/>
        <v>Normal</v>
      </c>
      <c r="W304" s="8">
        <f t="shared" si="48"/>
        <v>-1.010210728238685</v>
      </c>
      <c r="X304" s="8" t="str">
        <f t="shared" si="49"/>
        <v>Normal</v>
      </c>
    </row>
    <row r="305" spans="1:24" x14ac:dyDescent="0.25">
      <c r="A305" s="6">
        <v>304</v>
      </c>
      <c r="B305" s="7">
        <v>40557</v>
      </c>
      <c r="C305" s="6">
        <v>1</v>
      </c>
      <c r="D305" s="6" t="str">
        <f t="shared" si="40"/>
        <v>january</v>
      </c>
      <c r="E305" s="6">
        <v>2</v>
      </c>
      <c r="F305" s="6" t="str">
        <f t="shared" si="41"/>
        <v>Night</v>
      </c>
      <c r="G305" s="6" t="b">
        <v>0</v>
      </c>
      <c r="H305" s="6">
        <f t="shared" si="42"/>
        <v>0</v>
      </c>
      <c r="I305" s="6">
        <v>5</v>
      </c>
      <c r="J305" s="6" t="str">
        <f t="shared" si="43"/>
        <v>Friday</v>
      </c>
      <c r="K305" s="6">
        <f t="shared" si="44"/>
        <v>0</v>
      </c>
      <c r="L305" s="6">
        <v>1</v>
      </c>
      <c r="M305" s="6" t="str">
        <f t="shared" si="45"/>
        <v>Partly cloudy</v>
      </c>
      <c r="N305" s="8">
        <v>0.1</v>
      </c>
      <c r="O305" s="8">
        <v>0.1212</v>
      </c>
      <c r="P305" s="8">
        <v>0.54</v>
      </c>
      <c r="Q305" s="8">
        <v>0.1343</v>
      </c>
      <c r="R305" s="6">
        <v>0</v>
      </c>
      <c r="S305" s="6">
        <v>1</v>
      </c>
      <c r="T305" s="6">
        <v>1</v>
      </c>
      <c r="U305" s="8">
        <f t="shared" si="46"/>
        <v>-0.64378142061299781</v>
      </c>
      <c r="V305" s="8" t="str">
        <f t="shared" si="47"/>
        <v>Normal</v>
      </c>
      <c r="W305" s="8">
        <f t="shared" si="48"/>
        <v>-1.0937285529489083</v>
      </c>
      <c r="X305" s="8" t="str">
        <f t="shared" si="49"/>
        <v>Normal</v>
      </c>
    </row>
    <row r="306" spans="1:24" x14ac:dyDescent="0.25">
      <c r="A306" s="6">
        <v>305</v>
      </c>
      <c r="B306" s="7">
        <v>40557</v>
      </c>
      <c r="C306" s="6">
        <v>1</v>
      </c>
      <c r="D306" s="6" t="str">
        <f t="shared" si="40"/>
        <v>january</v>
      </c>
      <c r="E306" s="6">
        <v>3</v>
      </c>
      <c r="F306" s="6" t="str">
        <f t="shared" si="41"/>
        <v>Night</v>
      </c>
      <c r="G306" s="6" t="b">
        <v>0</v>
      </c>
      <c r="H306" s="6">
        <f t="shared" si="42"/>
        <v>0</v>
      </c>
      <c r="I306" s="6">
        <v>5</v>
      </c>
      <c r="J306" s="6" t="str">
        <f t="shared" si="43"/>
        <v>Friday</v>
      </c>
      <c r="K306" s="6">
        <f t="shared" si="44"/>
        <v>0</v>
      </c>
      <c r="L306" s="6">
        <v>1</v>
      </c>
      <c r="M306" s="6" t="str">
        <f t="shared" si="45"/>
        <v>Partly cloudy</v>
      </c>
      <c r="N306" s="8">
        <v>0.1</v>
      </c>
      <c r="O306" s="8">
        <v>0.13639999999999999</v>
      </c>
      <c r="P306" s="8">
        <v>0.54</v>
      </c>
      <c r="Q306" s="8">
        <v>0.1045</v>
      </c>
      <c r="R306" s="6">
        <v>0</v>
      </c>
      <c r="S306" s="6">
        <v>1</v>
      </c>
      <c r="T306" s="6">
        <v>1</v>
      </c>
      <c r="U306" s="8">
        <f t="shared" si="46"/>
        <v>-0.64378142061299781</v>
      </c>
      <c r="V306" s="8" t="str">
        <f t="shared" si="47"/>
        <v>Normal</v>
      </c>
      <c r="W306" s="8">
        <f t="shared" si="48"/>
        <v>-1.0937285529489083</v>
      </c>
      <c r="X306" s="8" t="str">
        <f t="shared" si="49"/>
        <v>Normal</v>
      </c>
    </row>
    <row r="307" spans="1:24" x14ac:dyDescent="0.25">
      <c r="A307" s="6">
        <v>306</v>
      </c>
      <c r="B307" s="7">
        <v>40557</v>
      </c>
      <c r="C307" s="6">
        <v>1</v>
      </c>
      <c r="D307" s="6" t="str">
        <f t="shared" si="40"/>
        <v>january</v>
      </c>
      <c r="E307" s="6">
        <v>5</v>
      </c>
      <c r="F307" s="6" t="str">
        <f t="shared" si="41"/>
        <v>Early Morning</v>
      </c>
      <c r="G307" s="6" t="b">
        <v>0</v>
      </c>
      <c r="H307" s="6">
        <f t="shared" si="42"/>
        <v>0</v>
      </c>
      <c r="I307" s="6">
        <v>5</v>
      </c>
      <c r="J307" s="6" t="str">
        <f t="shared" si="43"/>
        <v>Friday</v>
      </c>
      <c r="K307" s="6">
        <f t="shared" si="44"/>
        <v>0</v>
      </c>
      <c r="L307" s="6">
        <v>1</v>
      </c>
      <c r="M307" s="6" t="str">
        <f t="shared" si="45"/>
        <v>Partly cloudy</v>
      </c>
      <c r="N307" s="8">
        <v>0.1</v>
      </c>
      <c r="O307" s="8">
        <v>0.13639999999999999</v>
      </c>
      <c r="P307" s="8">
        <v>0.54</v>
      </c>
      <c r="Q307" s="8">
        <v>8.9599999999999999E-2</v>
      </c>
      <c r="R307" s="6">
        <v>0</v>
      </c>
      <c r="S307" s="6">
        <v>8</v>
      </c>
      <c r="T307" s="6">
        <v>8</v>
      </c>
      <c r="U307" s="8">
        <f t="shared" si="46"/>
        <v>-0.64378142061299781</v>
      </c>
      <c r="V307" s="8" t="str">
        <f t="shared" si="47"/>
        <v>Normal</v>
      </c>
      <c r="W307" s="8">
        <f t="shared" si="48"/>
        <v>-0.94757235970601739</v>
      </c>
      <c r="X307" s="8" t="str">
        <f t="shared" si="49"/>
        <v>Normal</v>
      </c>
    </row>
    <row r="308" spans="1:24" x14ac:dyDescent="0.25">
      <c r="A308" s="6">
        <v>307</v>
      </c>
      <c r="B308" s="7">
        <v>40557</v>
      </c>
      <c r="C308" s="6">
        <v>1</v>
      </c>
      <c r="D308" s="6" t="str">
        <f t="shared" si="40"/>
        <v>january</v>
      </c>
      <c r="E308" s="6">
        <v>6</v>
      </c>
      <c r="F308" s="6" t="str">
        <f t="shared" si="41"/>
        <v>Early Morning</v>
      </c>
      <c r="G308" s="6" t="b">
        <v>0</v>
      </c>
      <c r="H308" s="6">
        <f t="shared" si="42"/>
        <v>0</v>
      </c>
      <c r="I308" s="6">
        <v>5</v>
      </c>
      <c r="J308" s="6" t="str">
        <f t="shared" si="43"/>
        <v>Friday</v>
      </c>
      <c r="K308" s="6">
        <f t="shared" si="44"/>
        <v>0</v>
      </c>
      <c r="L308" s="6">
        <v>1</v>
      </c>
      <c r="M308" s="6" t="str">
        <f t="shared" si="45"/>
        <v>Partly cloudy</v>
      </c>
      <c r="N308" s="8">
        <v>0.1</v>
      </c>
      <c r="O308" s="8">
        <v>0.18179999999999999</v>
      </c>
      <c r="P308" s="8">
        <v>0.54</v>
      </c>
      <c r="Q308" s="8">
        <v>0</v>
      </c>
      <c r="R308" s="6">
        <v>0</v>
      </c>
      <c r="S308" s="6">
        <v>17</v>
      </c>
      <c r="T308" s="6">
        <v>17</v>
      </c>
      <c r="U308" s="8">
        <f t="shared" si="46"/>
        <v>-0.64378142061299781</v>
      </c>
      <c r="V308" s="8" t="str">
        <f t="shared" si="47"/>
        <v>Normal</v>
      </c>
      <c r="W308" s="8">
        <f t="shared" si="48"/>
        <v>-0.75965725410801466</v>
      </c>
      <c r="X308" s="8" t="str">
        <f t="shared" si="49"/>
        <v>Normal</v>
      </c>
    </row>
    <row r="309" spans="1:24" x14ac:dyDescent="0.25">
      <c r="A309" s="6">
        <v>308</v>
      </c>
      <c r="B309" s="7">
        <v>40557</v>
      </c>
      <c r="C309" s="6">
        <v>1</v>
      </c>
      <c r="D309" s="6" t="str">
        <f t="shared" si="40"/>
        <v>january</v>
      </c>
      <c r="E309" s="6">
        <v>7</v>
      </c>
      <c r="F309" s="6" t="str">
        <f t="shared" si="41"/>
        <v>Early Morning</v>
      </c>
      <c r="G309" s="6" t="b">
        <v>0</v>
      </c>
      <c r="H309" s="6">
        <f t="shared" si="42"/>
        <v>0</v>
      </c>
      <c r="I309" s="6">
        <v>5</v>
      </c>
      <c r="J309" s="6" t="str">
        <f t="shared" si="43"/>
        <v>Friday</v>
      </c>
      <c r="K309" s="6">
        <f t="shared" si="44"/>
        <v>0</v>
      </c>
      <c r="L309" s="6">
        <v>1</v>
      </c>
      <c r="M309" s="6" t="str">
        <f t="shared" si="45"/>
        <v>Partly cloudy</v>
      </c>
      <c r="N309" s="8">
        <v>0.1</v>
      </c>
      <c r="O309" s="8">
        <v>0.1212</v>
      </c>
      <c r="P309" s="8">
        <v>0.74</v>
      </c>
      <c r="Q309" s="8">
        <v>0.16420000000000001</v>
      </c>
      <c r="R309" s="6">
        <v>0</v>
      </c>
      <c r="S309" s="6">
        <v>70</v>
      </c>
      <c r="T309" s="6">
        <v>70</v>
      </c>
      <c r="U309" s="8">
        <f t="shared" si="46"/>
        <v>-0.64378142061299781</v>
      </c>
      <c r="V309" s="8" t="str">
        <f t="shared" si="47"/>
        <v>Normal</v>
      </c>
      <c r="W309" s="8">
        <f t="shared" si="48"/>
        <v>0.34695392330244557</v>
      </c>
      <c r="X309" s="8" t="str">
        <f t="shared" si="49"/>
        <v>Normal</v>
      </c>
    </row>
    <row r="310" spans="1:24" x14ac:dyDescent="0.25">
      <c r="A310" s="6">
        <v>309</v>
      </c>
      <c r="B310" s="7">
        <v>40557</v>
      </c>
      <c r="C310" s="6">
        <v>1</v>
      </c>
      <c r="D310" s="6" t="str">
        <f t="shared" si="40"/>
        <v>january</v>
      </c>
      <c r="E310" s="6">
        <v>8</v>
      </c>
      <c r="F310" s="6" t="str">
        <f t="shared" si="41"/>
        <v>Morning</v>
      </c>
      <c r="G310" s="6" t="b">
        <v>0</v>
      </c>
      <c r="H310" s="6">
        <f t="shared" si="42"/>
        <v>0</v>
      </c>
      <c r="I310" s="6">
        <v>5</v>
      </c>
      <c r="J310" s="6" t="str">
        <f t="shared" si="43"/>
        <v>Friday</v>
      </c>
      <c r="K310" s="6">
        <f t="shared" si="44"/>
        <v>0</v>
      </c>
      <c r="L310" s="6">
        <v>1</v>
      </c>
      <c r="M310" s="6" t="str">
        <f t="shared" si="45"/>
        <v>Partly cloudy</v>
      </c>
      <c r="N310" s="8">
        <v>0.12</v>
      </c>
      <c r="O310" s="8">
        <v>0.16669999999999999</v>
      </c>
      <c r="P310" s="8">
        <v>0.68</v>
      </c>
      <c r="Q310" s="8">
        <v>0</v>
      </c>
      <c r="R310" s="6">
        <v>2</v>
      </c>
      <c r="S310" s="6">
        <v>156</v>
      </c>
      <c r="T310" s="6">
        <v>158</v>
      </c>
      <c r="U310" s="8">
        <f t="shared" si="46"/>
        <v>-0.38213483633622569</v>
      </c>
      <c r="V310" s="8" t="str">
        <f t="shared" si="47"/>
        <v>Normal</v>
      </c>
      <c r="W310" s="8">
        <f t="shared" si="48"/>
        <v>2.142587154572249</v>
      </c>
      <c r="X310" s="8" t="str">
        <f t="shared" si="49"/>
        <v>Peak</v>
      </c>
    </row>
    <row r="311" spans="1:24" x14ac:dyDescent="0.25">
      <c r="A311" s="6">
        <v>310</v>
      </c>
      <c r="B311" s="7">
        <v>40557</v>
      </c>
      <c r="C311" s="6">
        <v>1</v>
      </c>
      <c r="D311" s="6" t="str">
        <f t="shared" si="40"/>
        <v>january</v>
      </c>
      <c r="E311" s="6">
        <v>9</v>
      </c>
      <c r="F311" s="6" t="str">
        <f t="shared" si="41"/>
        <v>Morning</v>
      </c>
      <c r="G311" s="6" t="b">
        <v>0</v>
      </c>
      <c r="H311" s="6">
        <f t="shared" si="42"/>
        <v>0</v>
      </c>
      <c r="I311" s="6">
        <v>5</v>
      </c>
      <c r="J311" s="6" t="str">
        <f t="shared" si="43"/>
        <v>Friday</v>
      </c>
      <c r="K311" s="6">
        <f t="shared" si="44"/>
        <v>0</v>
      </c>
      <c r="L311" s="6">
        <v>1</v>
      </c>
      <c r="M311" s="6" t="str">
        <f t="shared" si="45"/>
        <v>Partly cloudy</v>
      </c>
      <c r="N311" s="8">
        <v>0.14000000000000001</v>
      </c>
      <c r="O311" s="8">
        <v>0.1515</v>
      </c>
      <c r="P311" s="8">
        <v>0.69</v>
      </c>
      <c r="Q311" s="8">
        <v>0.1343</v>
      </c>
      <c r="R311" s="6">
        <v>0</v>
      </c>
      <c r="S311" s="6">
        <v>117</v>
      </c>
      <c r="T311" s="6">
        <v>117</v>
      </c>
      <c r="U311" s="8">
        <f t="shared" si="46"/>
        <v>-0.64378142061299781</v>
      </c>
      <c r="V311" s="8" t="str">
        <f t="shared" si="47"/>
        <v>Normal</v>
      </c>
      <c r="W311" s="8">
        <f t="shared" si="48"/>
        <v>1.3282883636475706</v>
      </c>
      <c r="X311" s="8" t="str">
        <f t="shared" si="49"/>
        <v>Normal</v>
      </c>
    </row>
    <row r="312" spans="1:24" x14ac:dyDescent="0.25">
      <c r="A312" s="6">
        <v>311</v>
      </c>
      <c r="B312" s="7">
        <v>40557</v>
      </c>
      <c r="C312" s="6">
        <v>1</v>
      </c>
      <c r="D312" s="6" t="str">
        <f t="shared" si="40"/>
        <v>january</v>
      </c>
      <c r="E312" s="6">
        <v>10</v>
      </c>
      <c r="F312" s="6" t="str">
        <f t="shared" si="41"/>
        <v>Morning</v>
      </c>
      <c r="G312" s="6" t="b">
        <v>0</v>
      </c>
      <c r="H312" s="6">
        <f t="shared" si="42"/>
        <v>0</v>
      </c>
      <c r="I312" s="6">
        <v>5</v>
      </c>
      <c r="J312" s="6" t="str">
        <f t="shared" si="43"/>
        <v>Friday</v>
      </c>
      <c r="K312" s="6">
        <f t="shared" si="44"/>
        <v>0</v>
      </c>
      <c r="L312" s="6">
        <v>1</v>
      </c>
      <c r="M312" s="6" t="str">
        <f t="shared" si="45"/>
        <v>Partly cloudy</v>
      </c>
      <c r="N312" s="8">
        <v>0.18</v>
      </c>
      <c r="O312" s="8">
        <v>0.18179999999999999</v>
      </c>
      <c r="P312" s="8">
        <v>0.55000000000000004</v>
      </c>
      <c r="Q312" s="8">
        <v>0.19400000000000001</v>
      </c>
      <c r="R312" s="6">
        <v>4</v>
      </c>
      <c r="S312" s="6">
        <v>40</v>
      </c>
      <c r="T312" s="6">
        <v>44</v>
      </c>
      <c r="U312" s="8">
        <f t="shared" si="46"/>
        <v>-0.1204882520594536</v>
      </c>
      <c r="V312" s="8" t="str">
        <f t="shared" si="47"/>
        <v>Normal</v>
      </c>
      <c r="W312" s="8">
        <f t="shared" si="48"/>
        <v>-0.27942976202423003</v>
      </c>
      <c r="X312" s="8" t="str">
        <f t="shared" si="49"/>
        <v>Normal</v>
      </c>
    </row>
    <row r="313" spans="1:24" x14ac:dyDescent="0.25">
      <c r="A313" s="6">
        <v>312</v>
      </c>
      <c r="B313" s="7">
        <v>40557</v>
      </c>
      <c r="C313" s="6">
        <v>1</v>
      </c>
      <c r="D313" s="6" t="str">
        <f t="shared" si="40"/>
        <v>january</v>
      </c>
      <c r="E313" s="6">
        <v>11</v>
      </c>
      <c r="F313" s="6" t="str">
        <f t="shared" si="41"/>
        <v>Morning</v>
      </c>
      <c r="G313" s="6" t="b">
        <v>0</v>
      </c>
      <c r="H313" s="6">
        <f t="shared" si="42"/>
        <v>0</v>
      </c>
      <c r="I313" s="6">
        <v>5</v>
      </c>
      <c r="J313" s="6" t="str">
        <f t="shared" si="43"/>
        <v>Friday</v>
      </c>
      <c r="K313" s="6">
        <f t="shared" si="44"/>
        <v>0</v>
      </c>
      <c r="L313" s="6">
        <v>1</v>
      </c>
      <c r="M313" s="6" t="str">
        <f t="shared" si="45"/>
        <v>Partly cloudy</v>
      </c>
      <c r="N313" s="8">
        <v>0.18</v>
      </c>
      <c r="O313" s="8">
        <v>0.16669999999999999</v>
      </c>
      <c r="P313" s="8">
        <v>0.51</v>
      </c>
      <c r="Q313" s="8">
        <v>0.28360000000000002</v>
      </c>
      <c r="R313" s="6">
        <v>6</v>
      </c>
      <c r="S313" s="6">
        <v>47</v>
      </c>
      <c r="T313" s="6">
        <v>53</v>
      </c>
      <c r="U313" s="8">
        <f t="shared" si="46"/>
        <v>0.14115833221731852</v>
      </c>
      <c r="V313" s="8" t="str">
        <f t="shared" si="47"/>
        <v>Normal</v>
      </c>
      <c r="W313" s="8">
        <f t="shared" si="48"/>
        <v>-0.13327356878133906</v>
      </c>
      <c r="X313" s="8" t="str">
        <f t="shared" si="49"/>
        <v>Normal</v>
      </c>
    </row>
    <row r="314" spans="1:24" x14ac:dyDescent="0.25">
      <c r="A314" s="6">
        <v>313</v>
      </c>
      <c r="B314" s="7">
        <v>40557</v>
      </c>
      <c r="C314" s="6">
        <v>1</v>
      </c>
      <c r="D314" s="6" t="str">
        <f t="shared" si="40"/>
        <v>january</v>
      </c>
      <c r="E314" s="6">
        <v>12</v>
      </c>
      <c r="F314" s="6" t="str">
        <f t="shared" si="41"/>
        <v>Afternoon</v>
      </c>
      <c r="G314" s="6" t="b">
        <v>0</v>
      </c>
      <c r="H314" s="6">
        <f t="shared" si="42"/>
        <v>0</v>
      </c>
      <c r="I314" s="6">
        <v>5</v>
      </c>
      <c r="J314" s="6" t="str">
        <f t="shared" si="43"/>
        <v>Friday</v>
      </c>
      <c r="K314" s="6">
        <f t="shared" si="44"/>
        <v>0</v>
      </c>
      <c r="L314" s="6">
        <v>1</v>
      </c>
      <c r="M314" s="6" t="str">
        <f t="shared" si="45"/>
        <v>Partly cloudy</v>
      </c>
      <c r="N314" s="8">
        <v>0.2</v>
      </c>
      <c r="O314" s="8">
        <v>0.19700000000000001</v>
      </c>
      <c r="P314" s="8">
        <v>0.44</v>
      </c>
      <c r="Q314" s="8">
        <v>0.25369999999999998</v>
      </c>
      <c r="R314" s="6">
        <v>2</v>
      </c>
      <c r="S314" s="6">
        <v>59</v>
      </c>
      <c r="T314" s="6">
        <v>61</v>
      </c>
      <c r="U314" s="8">
        <f t="shared" si="46"/>
        <v>-0.38213483633622569</v>
      </c>
      <c r="V314" s="8" t="str">
        <f t="shared" si="47"/>
        <v>Normal</v>
      </c>
      <c r="W314" s="8">
        <f t="shared" si="48"/>
        <v>0.11727990534933118</v>
      </c>
      <c r="X314" s="8" t="str">
        <f t="shared" si="49"/>
        <v>Normal</v>
      </c>
    </row>
    <row r="315" spans="1:24" x14ac:dyDescent="0.25">
      <c r="A315" s="6">
        <v>314</v>
      </c>
      <c r="B315" s="7">
        <v>40557</v>
      </c>
      <c r="C315" s="6">
        <v>1</v>
      </c>
      <c r="D315" s="6" t="str">
        <f t="shared" si="40"/>
        <v>january</v>
      </c>
      <c r="E315" s="6">
        <v>13</v>
      </c>
      <c r="F315" s="6" t="str">
        <f t="shared" si="41"/>
        <v>Afternoon</v>
      </c>
      <c r="G315" s="6" t="b">
        <v>0</v>
      </c>
      <c r="H315" s="6">
        <f t="shared" si="42"/>
        <v>0</v>
      </c>
      <c r="I315" s="6">
        <v>5</v>
      </c>
      <c r="J315" s="6" t="str">
        <f t="shared" si="43"/>
        <v>Friday</v>
      </c>
      <c r="K315" s="6">
        <f t="shared" si="44"/>
        <v>0</v>
      </c>
      <c r="L315" s="6">
        <v>1</v>
      </c>
      <c r="M315" s="6" t="str">
        <f t="shared" si="45"/>
        <v>Partly cloudy</v>
      </c>
      <c r="N315" s="8">
        <v>0.22</v>
      </c>
      <c r="O315" s="8">
        <v>0.19700000000000001</v>
      </c>
      <c r="P315" s="8">
        <v>0.37</v>
      </c>
      <c r="Q315" s="8">
        <v>0.3881</v>
      </c>
      <c r="R315" s="6">
        <v>4</v>
      </c>
      <c r="S315" s="6">
        <v>73</v>
      </c>
      <c r="T315" s="6">
        <v>77</v>
      </c>
      <c r="U315" s="8">
        <f t="shared" si="46"/>
        <v>-0.1204882520594536</v>
      </c>
      <c r="V315" s="8" t="str">
        <f t="shared" si="47"/>
        <v>Normal</v>
      </c>
      <c r="W315" s="8">
        <f t="shared" si="48"/>
        <v>0.40959229183511314</v>
      </c>
      <c r="X315" s="8" t="str">
        <f t="shared" si="49"/>
        <v>Normal</v>
      </c>
    </row>
    <row r="316" spans="1:24" x14ac:dyDescent="0.25">
      <c r="A316" s="6">
        <v>315</v>
      </c>
      <c r="B316" s="7">
        <v>40557</v>
      </c>
      <c r="C316" s="6">
        <v>1</v>
      </c>
      <c r="D316" s="6" t="str">
        <f t="shared" si="40"/>
        <v>january</v>
      </c>
      <c r="E316" s="6">
        <v>14</v>
      </c>
      <c r="F316" s="6" t="str">
        <f t="shared" si="41"/>
        <v>Afternoon</v>
      </c>
      <c r="G316" s="6" t="b">
        <v>0</v>
      </c>
      <c r="H316" s="6">
        <f t="shared" si="42"/>
        <v>0</v>
      </c>
      <c r="I316" s="6">
        <v>5</v>
      </c>
      <c r="J316" s="6" t="str">
        <f t="shared" si="43"/>
        <v>Friday</v>
      </c>
      <c r="K316" s="6">
        <f t="shared" si="44"/>
        <v>0</v>
      </c>
      <c r="L316" s="6">
        <v>1</v>
      </c>
      <c r="M316" s="6" t="str">
        <f t="shared" si="45"/>
        <v>Partly cloudy</v>
      </c>
      <c r="N316" s="8">
        <v>0.22</v>
      </c>
      <c r="O316" s="8">
        <v>0.21210000000000001</v>
      </c>
      <c r="P316" s="8">
        <v>0.41</v>
      </c>
      <c r="Q316" s="8">
        <v>0.28360000000000002</v>
      </c>
      <c r="R316" s="6">
        <v>5</v>
      </c>
      <c r="S316" s="6">
        <v>59</v>
      </c>
      <c r="T316" s="6">
        <v>64</v>
      </c>
      <c r="U316" s="8">
        <f t="shared" si="46"/>
        <v>1.0335040078932463E-2</v>
      </c>
      <c r="V316" s="8" t="str">
        <f t="shared" si="47"/>
        <v>Normal</v>
      </c>
      <c r="W316" s="8">
        <f t="shared" si="48"/>
        <v>0.11727990534933118</v>
      </c>
      <c r="X316" s="8" t="str">
        <f t="shared" si="49"/>
        <v>Normal</v>
      </c>
    </row>
    <row r="317" spans="1:24" x14ac:dyDescent="0.25">
      <c r="A317" s="6">
        <v>316</v>
      </c>
      <c r="B317" s="7">
        <v>40557</v>
      </c>
      <c r="C317" s="6">
        <v>1</v>
      </c>
      <c r="D317" s="6" t="str">
        <f t="shared" si="40"/>
        <v>january</v>
      </c>
      <c r="E317" s="6">
        <v>15</v>
      </c>
      <c r="F317" s="6" t="str">
        <f t="shared" si="41"/>
        <v>Afternoon</v>
      </c>
      <c r="G317" s="6" t="b">
        <v>0</v>
      </c>
      <c r="H317" s="6">
        <f t="shared" si="42"/>
        <v>0</v>
      </c>
      <c r="I317" s="6">
        <v>5</v>
      </c>
      <c r="J317" s="6" t="str">
        <f t="shared" si="43"/>
        <v>Friday</v>
      </c>
      <c r="K317" s="6">
        <f t="shared" si="44"/>
        <v>0</v>
      </c>
      <c r="L317" s="6">
        <v>1</v>
      </c>
      <c r="M317" s="6" t="str">
        <f t="shared" si="45"/>
        <v>Partly cloudy</v>
      </c>
      <c r="N317" s="8">
        <v>0.24</v>
      </c>
      <c r="O317" s="8">
        <v>0.2424</v>
      </c>
      <c r="P317" s="8">
        <v>0.38</v>
      </c>
      <c r="Q317" s="8">
        <v>0.16420000000000001</v>
      </c>
      <c r="R317" s="6">
        <v>9</v>
      </c>
      <c r="S317" s="6">
        <v>59</v>
      </c>
      <c r="T317" s="6">
        <v>68</v>
      </c>
      <c r="U317" s="8">
        <f t="shared" si="46"/>
        <v>0.53362820863247673</v>
      </c>
      <c r="V317" s="8" t="str">
        <f t="shared" si="47"/>
        <v>Normal</v>
      </c>
      <c r="W317" s="8">
        <f t="shared" si="48"/>
        <v>0.11727990534933118</v>
      </c>
      <c r="X317" s="8" t="str">
        <f t="shared" si="49"/>
        <v>Normal</v>
      </c>
    </row>
    <row r="318" spans="1:24" x14ac:dyDescent="0.25">
      <c r="A318" s="6">
        <v>317</v>
      </c>
      <c r="B318" s="7">
        <v>40557</v>
      </c>
      <c r="C318" s="6">
        <v>1</v>
      </c>
      <c r="D318" s="6" t="str">
        <f t="shared" si="40"/>
        <v>january</v>
      </c>
      <c r="E318" s="6">
        <v>16</v>
      </c>
      <c r="F318" s="6" t="str">
        <f t="shared" si="41"/>
        <v>Afternoon</v>
      </c>
      <c r="G318" s="6" t="b">
        <v>0</v>
      </c>
      <c r="H318" s="6">
        <f t="shared" si="42"/>
        <v>0</v>
      </c>
      <c r="I318" s="6">
        <v>5</v>
      </c>
      <c r="J318" s="6" t="str">
        <f t="shared" si="43"/>
        <v>Friday</v>
      </c>
      <c r="K318" s="6">
        <f t="shared" si="44"/>
        <v>0</v>
      </c>
      <c r="L318" s="6">
        <v>1</v>
      </c>
      <c r="M318" s="6" t="str">
        <f t="shared" si="45"/>
        <v>Partly cloudy</v>
      </c>
      <c r="N318" s="8">
        <v>0.22</v>
      </c>
      <c r="O318" s="8">
        <v>0.2424</v>
      </c>
      <c r="P318" s="8">
        <v>0.41</v>
      </c>
      <c r="Q318" s="8">
        <v>0.1045</v>
      </c>
      <c r="R318" s="6">
        <v>3</v>
      </c>
      <c r="S318" s="6">
        <v>87</v>
      </c>
      <c r="T318" s="6">
        <v>90</v>
      </c>
      <c r="U318" s="8">
        <f t="shared" si="46"/>
        <v>-0.25131154419783963</v>
      </c>
      <c r="V318" s="8" t="str">
        <f t="shared" si="47"/>
        <v>Normal</v>
      </c>
      <c r="W318" s="8">
        <f t="shared" si="48"/>
        <v>0.70190467832089509</v>
      </c>
      <c r="X318" s="8" t="str">
        <f t="shared" si="49"/>
        <v>Normal</v>
      </c>
    </row>
    <row r="319" spans="1:24" x14ac:dyDescent="0.25">
      <c r="A319" s="6">
        <v>318</v>
      </c>
      <c r="B319" s="7">
        <v>40557</v>
      </c>
      <c r="C319" s="6">
        <v>1</v>
      </c>
      <c r="D319" s="6" t="str">
        <f t="shared" si="40"/>
        <v>january</v>
      </c>
      <c r="E319" s="6">
        <v>17</v>
      </c>
      <c r="F319" s="6" t="str">
        <f t="shared" si="41"/>
        <v>Evening</v>
      </c>
      <c r="G319" s="6" t="b">
        <v>0</v>
      </c>
      <c r="H319" s="6">
        <f t="shared" si="42"/>
        <v>0</v>
      </c>
      <c r="I319" s="6">
        <v>5</v>
      </c>
      <c r="J319" s="6" t="str">
        <f t="shared" si="43"/>
        <v>Friday</v>
      </c>
      <c r="K319" s="6">
        <f t="shared" si="44"/>
        <v>0</v>
      </c>
      <c r="L319" s="6">
        <v>1</v>
      </c>
      <c r="M319" s="6" t="str">
        <f t="shared" si="45"/>
        <v>Partly cloudy</v>
      </c>
      <c r="N319" s="8">
        <v>0.22</v>
      </c>
      <c r="O319" s="8">
        <v>0.2273</v>
      </c>
      <c r="P319" s="8">
        <v>0.41</v>
      </c>
      <c r="Q319" s="8">
        <v>0.16420000000000001</v>
      </c>
      <c r="R319" s="6">
        <v>4</v>
      </c>
      <c r="S319" s="6">
        <v>155</v>
      </c>
      <c r="T319" s="6">
        <v>159</v>
      </c>
      <c r="U319" s="8">
        <f t="shared" si="46"/>
        <v>-0.1204882520594536</v>
      </c>
      <c r="V319" s="8" t="str">
        <f t="shared" si="47"/>
        <v>Normal</v>
      </c>
      <c r="W319" s="8">
        <f t="shared" si="48"/>
        <v>2.121707698394693</v>
      </c>
      <c r="X319" s="8" t="str">
        <f t="shared" si="49"/>
        <v>Peak</v>
      </c>
    </row>
    <row r="320" spans="1:24" x14ac:dyDescent="0.25">
      <c r="A320" s="6">
        <v>319</v>
      </c>
      <c r="B320" s="7">
        <v>40557</v>
      </c>
      <c r="C320" s="6">
        <v>1</v>
      </c>
      <c r="D320" s="6" t="str">
        <f t="shared" si="40"/>
        <v>january</v>
      </c>
      <c r="E320" s="6">
        <v>18</v>
      </c>
      <c r="F320" s="6" t="str">
        <f t="shared" si="41"/>
        <v>Evening</v>
      </c>
      <c r="G320" s="6" t="b">
        <v>0</v>
      </c>
      <c r="H320" s="6">
        <f t="shared" si="42"/>
        <v>0</v>
      </c>
      <c r="I320" s="6">
        <v>5</v>
      </c>
      <c r="J320" s="6" t="str">
        <f t="shared" si="43"/>
        <v>Friday</v>
      </c>
      <c r="K320" s="6">
        <f t="shared" si="44"/>
        <v>0</v>
      </c>
      <c r="L320" s="6">
        <v>1</v>
      </c>
      <c r="M320" s="6" t="str">
        <f t="shared" si="45"/>
        <v>Partly cloudy</v>
      </c>
      <c r="N320" s="8">
        <v>0.2</v>
      </c>
      <c r="O320" s="8">
        <v>0.2576</v>
      </c>
      <c r="P320" s="8">
        <v>0.47</v>
      </c>
      <c r="Q320" s="8">
        <v>0</v>
      </c>
      <c r="R320" s="6">
        <v>5</v>
      </c>
      <c r="S320" s="6">
        <v>134</v>
      </c>
      <c r="T320" s="6">
        <v>139</v>
      </c>
      <c r="U320" s="8">
        <f t="shared" si="46"/>
        <v>1.0335040078932463E-2</v>
      </c>
      <c r="V320" s="8" t="str">
        <f t="shared" si="47"/>
        <v>Normal</v>
      </c>
      <c r="W320" s="8">
        <f t="shared" si="48"/>
        <v>1.6832391186660201</v>
      </c>
      <c r="X320" s="8" t="str">
        <f t="shared" si="49"/>
        <v>Normal</v>
      </c>
    </row>
    <row r="321" spans="1:24" x14ac:dyDescent="0.25">
      <c r="A321" s="6">
        <v>320</v>
      </c>
      <c r="B321" s="7">
        <v>40557</v>
      </c>
      <c r="C321" s="6">
        <v>1</v>
      </c>
      <c r="D321" s="6" t="str">
        <f t="shared" si="40"/>
        <v>january</v>
      </c>
      <c r="E321" s="6">
        <v>19</v>
      </c>
      <c r="F321" s="6" t="str">
        <f t="shared" si="41"/>
        <v>Evening</v>
      </c>
      <c r="G321" s="6" t="b">
        <v>0</v>
      </c>
      <c r="H321" s="6">
        <f t="shared" si="42"/>
        <v>0</v>
      </c>
      <c r="I321" s="6">
        <v>5</v>
      </c>
      <c r="J321" s="6" t="str">
        <f t="shared" si="43"/>
        <v>Friday</v>
      </c>
      <c r="K321" s="6">
        <f t="shared" si="44"/>
        <v>0</v>
      </c>
      <c r="L321" s="6">
        <v>1</v>
      </c>
      <c r="M321" s="6" t="str">
        <f t="shared" si="45"/>
        <v>Partly cloudy</v>
      </c>
      <c r="N321" s="8">
        <v>0.16</v>
      </c>
      <c r="O321" s="8">
        <v>0.19700000000000001</v>
      </c>
      <c r="P321" s="8">
        <v>0.59</v>
      </c>
      <c r="Q321" s="8">
        <v>8.9599999999999999E-2</v>
      </c>
      <c r="R321" s="6">
        <v>3</v>
      </c>
      <c r="S321" s="6">
        <v>89</v>
      </c>
      <c r="T321" s="6">
        <v>92</v>
      </c>
      <c r="U321" s="8">
        <f t="shared" si="46"/>
        <v>-0.25131154419783963</v>
      </c>
      <c r="V321" s="8" t="str">
        <f t="shared" si="47"/>
        <v>Normal</v>
      </c>
      <c r="W321" s="8">
        <f t="shared" si="48"/>
        <v>0.74366359067600685</v>
      </c>
      <c r="X321" s="8" t="str">
        <f t="shared" si="49"/>
        <v>Normal</v>
      </c>
    </row>
    <row r="322" spans="1:24" x14ac:dyDescent="0.25">
      <c r="A322" s="6">
        <v>321</v>
      </c>
      <c r="B322" s="7">
        <v>40557</v>
      </c>
      <c r="C322" s="6">
        <v>1</v>
      </c>
      <c r="D322" s="6" t="str">
        <f t="shared" ref="D322:D385" si="50">IF(C322=1,"january",IF(C322=2,"february"))</f>
        <v>january</v>
      </c>
      <c r="E322" s="6">
        <v>20</v>
      </c>
      <c r="F322" s="6" t="str">
        <f t="shared" ref="F322:F385" si="51">IF(AND(E322&gt;=5,E322&lt;8),"Early Morning", IF(AND(E322&gt;=8,E322&lt;12),"Morning", IF(AND(E322&gt;=12,E322&lt;17),"Afternoon", IF(AND(E322&gt;=17,E322&lt;21),"Evening","Night"))))</f>
        <v>Evening</v>
      </c>
      <c r="G322" s="6" t="b">
        <v>0</v>
      </c>
      <c r="H322" s="6">
        <f t="shared" ref="H322:H385" si="52">IF(G322=FALSE,0,IF(G322=TRUE,1))</f>
        <v>0</v>
      </c>
      <c r="I322" s="6">
        <v>5</v>
      </c>
      <c r="J322" s="6" t="str">
        <f t="shared" ref="J322:J385" si="53">TEXT(B322,"dddd")</f>
        <v>Friday</v>
      </c>
      <c r="K322" s="6">
        <f t="shared" ref="K322:K385" si="54">IF(OR(J322="Saturday",J322="Sunday"),1,0)</f>
        <v>0</v>
      </c>
      <c r="L322" s="6">
        <v>1</v>
      </c>
      <c r="M322" s="6" t="str">
        <f t="shared" ref="M322:M385" si="55">IF(L322=0,"clear sky",IF(L322=1,"Partly cloudy",IF(L322=2,"Cloudy",IF(L322=3,"Light rain",IF(L322=4,"Heavy rain")))))</f>
        <v>Partly cloudy</v>
      </c>
      <c r="N322" s="8">
        <v>0.18</v>
      </c>
      <c r="O322" s="8">
        <v>0.2424</v>
      </c>
      <c r="P322" s="8">
        <v>0.59</v>
      </c>
      <c r="Q322" s="8">
        <v>0</v>
      </c>
      <c r="R322" s="6">
        <v>0</v>
      </c>
      <c r="S322" s="6">
        <v>68</v>
      </c>
      <c r="T322" s="6">
        <v>68</v>
      </c>
      <c r="U322" s="8">
        <f t="shared" ref="U322:U385" si="56">(R322-$AA$7)/$AA$9</f>
        <v>-0.64378142061299781</v>
      </c>
      <c r="V322" s="8" t="str">
        <f t="shared" ref="V322:V385" si="57">IF(ABS(U322)&gt;2,"Peak","Normal")</f>
        <v>Normal</v>
      </c>
      <c r="W322" s="8">
        <f t="shared" ref="W322:W385" si="58">(S322-$AA$11)/$AA$13</f>
        <v>0.30519501094733387</v>
      </c>
      <c r="X322" s="8" t="str">
        <f t="shared" ref="X322:X385" si="59">IF(ABS(W322)&gt;2,"Peak","Normal")</f>
        <v>Normal</v>
      </c>
    </row>
    <row r="323" spans="1:24" x14ac:dyDescent="0.25">
      <c r="A323" s="6">
        <v>322</v>
      </c>
      <c r="B323" s="7">
        <v>40557</v>
      </c>
      <c r="C323" s="6">
        <v>1</v>
      </c>
      <c r="D323" s="6" t="str">
        <f t="shared" si="50"/>
        <v>january</v>
      </c>
      <c r="E323" s="6">
        <v>21</v>
      </c>
      <c r="F323" s="6" t="str">
        <f t="shared" si="51"/>
        <v>Night</v>
      </c>
      <c r="G323" s="6" t="b">
        <v>0</v>
      </c>
      <c r="H323" s="6">
        <f t="shared" si="52"/>
        <v>0</v>
      </c>
      <c r="I323" s="6">
        <v>5</v>
      </c>
      <c r="J323" s="6" t="str">
        <f t="shared" si="53"/>
        <v>Friday</v>
      </c>
      <c r="K323" s="6">
        <f t="shared" si="54"/>
        <v>0</v>
      </c>
      <c r="L323" s="6">
        <v>1</v>
      </c>
      <c r="M323" s="6" t="str">
        <f t="shared" si="55"/>
        <v>Partly cloudy</v>
      </c>
      <c r="N323" s="8">
        <v>0.16</v>
      </c>
      <c r="O323" s="8">
        <v>0.2273</v>
      </c>
      <c r="P323" s="8">
        <v>0.69</v>
      </c>
      <c r="Q323" s="8">
        <v>0</v>
      </c>
      <c r="R323" s="6">
        <v>4</v>
      </c>
      <c r="S323" s="6">
        <v>48</v>
      </c>
      <c r="T323" s="6">
        <v>52</v>
      </c>
      <c r="U323" s="8">
        <f t="shared" si="56"/>
        <v>-0.1204882520594536</v>
      </c>
      <c r="V323" s="8" t="str">
        <f t="shared" si="57"/>
        <v>Normal</v>
      </c>
      <c r="W323" s="8">
        <f t="shared" si="58"/>
        <v>-0.11239411260378322</v>
      </c>
      <c r="X323" s="8" t="str">
        <f t="shared" si="59"/>
        <v>Normal</v>
      </c>
    </row>
    <row r="324" spans="1:24" x14ac:dyDescent="0.25">
      <c r="A324" s="6">
        <v>323</v>
      </c>
      <c r="B324" s="7">
        <v>40557</v>
      </c>
      <c r="C324" s="6">
        <v>1</v>
      </c>
      <c r="D324" s="6" t="str">
        <f t="shared" si="50"/>
        <v>january</v>
      </c>
      <c r="E324" s="6">
        <v>22</v>
      </c>
      <c r="F324" s="6" t="str">
        <f t="shared" si="51"/>
        <v>Night</v>
      </c>
      <c r="G324" s="6" t="b">
        <v>0</v>
      </c>
      <c r="H324" s="6">
        <f t="shared" si="52"/>
        <v>0</v>
      </c>
      <c r="I324" s="6">
        <v>5</v>
      </c>
      <c r="J324" s="6" t="str">
        <f t="shared" si="53"/>
        <v>Friday</v>
      </c>
      <c r="K324" s="6">
        <f t="shared" si="54"/>
        <v>0</v>
      </c>
      <c r="L324" s="6">
        <v>2</v>
      </c>
      <c r="M324" s="6" t="str">
        <f t="shared" si="55"/>
        <v>Cloudy</v>
      </c>
      <c r="N324" s="8">
        <v>0.16</v>
      </c>
      <c r="O324" s="8">
        <v>0.2273</v>
      </c>
      <c r="P324" s="8">
        <v>0.69</v>
      </c>
      <c r="Q324" s="8">
        <v>0</v>
      </c>
      <c r="R324" s="6">
        <v>2</v>
      </c>
      <c r="S324" s="6">
        <v>34</v>
      </c>
      <c r="T324" s="6">
        <v>36</v>
      </c>
      <c r="U324" s="8">
        <f t="shared" si="56"/>
        <v>-0.38213483633622569</v>
      </c>
      <c r="V324" s="8" t="str">
        <f t="shared" si="57"/>
        <v>Normal</v>
      </c>
      <c r="W324" s="8">
        <f t="shared" si="58"/>
        <v>-0.40470649908956519</v>
      </c>
      <c r="X324" s="8" t="str">
        <f t="shared" si="59"/>
        <v>Normal</v>
      </c>
    </row>
    <row r="325" spans="1:24" x14ac:dyDescent="0.25">
      <c r="A325" s="6">
        <v>324</v>
      </c>
      <c r="B325" s="7">
        <v>40557</v>
      </c>
      <c r="C325" s="6">
        <v>1</v>
      </c>
      <c r="D325" s="6" t="str">
        <f t="shared" si="50"/>
        <v>january</v>
      </c>
      <c r="E325" s="6">
        <v>23</v>
      </c>
      <c r="F325" s="6" t="str">
        <f t="shared" si="51"/>
        <v>Night</v>
      </c>
      <c r="G325" s="6" t="b">
        <v>0</v>
      </c>
      <c r="H325" s="6">
        <f t="shared" si="52"/>
        <v>0</v>
      </c>
      <c r="I325" s="6">
        <v>5</v>
      </c>
      <c r="J325" s="6" t="str">
        <f t="shared" si="53"/>
        <v>Friday</v>
      </c>
      <c r="K325" s="6">
        <f t="shared" si="54"/>
        <v>0</v>
      </c>
      <c r="L325" s="6">
        <v>2</v>
      </c>
      <c r="M325" s="6" t="str">
        <f t="shared" si="55"/>
        <v>Cloudy</v>
      </c>
      <c r="N325" s="8">
        <v>0.18</v>
      </c>
      <c r="O325" s="8">
        <v>0.2424</v>
      </c>
      <c r="P325" s="8">
        <v>0.55000000000000004</v>
      </c>
      <c r="Q325" s="8">
        <v>0</v>
      </c>
      <c r="R325" s="6">
        <v>1</v>
      </c>
      <c r="S325" s="6">
        <v>26</v>
      </c>
      <c r="T325" s="6">
        <v>27</v>
      </c>
      <c r="U325" s="8">
        <f t="shared" si="56"/>
        <v>-0.51295812847461175</v>
      </c>
      <c r="V325" s="8" t="str">
        <f t="shared" si="57"/>
        <v>Normal</v>
      </c>
      <c r="W325" s="8">
        <f t="shared" si="58"/>
        <v>-0.57174214851001204</v>
      </c>
      <c r="X325" s="8" t="str">
        <f t="shared" si="59"/>
        <v>Normal</v>
      </c>
    </row>
    <row r="326" spans="1:24" x14ac:dyDescent="0.25">
      <c r="A326" s="6">
        <v>325</v>
      </c>
      <c r="B326" s="7">
        <v>40558</v>
      </c>
      <c r="C326" s="6">
        <v>1</v>
      </c>
      <c r="D326" s="6" t="str">
        <f t="shared" si="50"/>
        <v>january</v>
      </c>
      <c r="E326" s="6">
        <v>0</v>
      </c>
      <c r="F326" s="6" t="str">
        <f t="shared" si="51"/>
        <v>Night</v>
      </c>
      <c r="G326" s="6" t="b">
        <v>0</v>
      </c>
      <c r="H326" s="6">
        <f t="shared" si="52"/>
        <v>0</v>
      </c>
      <c r="I326" s="6">
        <v>6</v>
      </c>
      <c r="J326" s="6" t="str">
        <f t="shared" si="53"/>
        <v>Saturday</v>
      </c>
      <c r="K326" s="6">
        <f t="shared" si="54"/>
        <v>1</v>
      </c>
      <c r="L326" s="6">
        <v>1</v>
      </c>
      <c r="M326" s="6" t="str">
        <f t="shared" si="55"/>
        <v>Partly cloudy</v>
      </c>
      <c r="N326" s="8">
        <v>0.18</v>
      </c>
      <c r="O326" s="8">
        <v>0.2424</v>
      </c>
      <c r="P326" s="8">
        <v>0.55000000000000004</v>
      </c>
      <c r="Q326" s="8">
        <v>0</v>
      </c>
      <c r="R326" s="6">
        <v>3</v>
      </c>
      <c r="S326" s="6">
        <v>25</v>
      </c>
      <c r="T326" s="6">
        <v>28</v>
      </c>
      <c r="U326" s="8">
        <f t="shared" si="56"/>
        <v>-0.25131154419783963</v>
      </c>
      <c r="V326" s="8" t="str">
        <f t="shared" si="57"/>
        <v>Normal</v>
      </c>
      <c r="W326" s="8">
        <f t="shared" si="58"/>
        <v>-0.59262160468756786</v>
      </c>
      <c r="X326" s="8" t="str">
        <f t="shared" si="59"/>
        <v>Normal</v>
      </c>
    </row>
    <row r="327" spans="1:24" x14ac:dyDescent="0.25">
      <c r="A327" s="6">
        <v>326</v>
      </c>
      <c r="B327" s="7">
        <v>40558</v>
      </c>
      <c r="C327" s="6">
        <v>1</v>
      </c>
      <c r="D327" s="6" t="str">
        <f t="shared" si="50"/>
        <v>january</v>
      </c>
      <c r="E327" s="6">
        <v>1</v>
      </c>
      <c r="F327" s="6" t="str">
        <f t="shared" si="51"/>
        <v>Night</v>
      </c>
      <c r="G327" s="6" t="b">
        <v>0</v>
      </c>
      <c r="H327" s="6">
        <f t="shared" si="52"/>
        <v>0</v>
      </c>
      <c r="I327" s="6">
        <v>6</v>
      </c>
      <c r="J327" s="6" t="str">
        <f t="shared" si="53"/>
        <v>Saturday</v>
      </c>
      <c r="K327" s="6">
        <f t="shared" si="54"/>
        <v>1</v>
      </c>
      <c r="L327" s="6">
        <v>2</v>
      </c>
      <c r="M327" s="6" t="str">
        <f t="shared" si="55"/>
        <v>Cloudy</v>
      </c>
      <c r="N327" s="8">
        <v>0.16</v>
      </c>
      <c r="O327" s="8">
        <v>0.19700000000000001</v>
      </c>
      <c r="P327" s="8">
        <v>0.59</v>
      </c>
      <c r="Q327" s="8">
        <v>8.9599999999999999E-2</v>
      </c>
      <c r="R327" s="6">
        <v>2</v>
      </c>
      <c r="S327" s="6">
        <v>18</v>
      </c>
      <c r="T327" s="6">
        <v>20</v>
      </c>
      <c r="U327" s="8">
        <f t="shared" si="56"/>
        <v>-0.38213483633622569</v>
      </c>
      <c r="V327" s="8" t="str">
        <f t="shared" si="57"/>
        <v>Normal</v>
      </c>
      <c r="W327" s="8">
        <f t="shared" si="58"/>
        <v>-0.73877779793045883</v>
      </c>
      <c r="X327" s="8" t="str">
        <f t="shared" si="59"/>
        <v>Normal</v>
      </c>
    </row>
    <row r="328" spans="1:24" x14ac:dyDescent="0.25">
      <c r="A328" s="6">
        <v>327</v>
      </c>
      <c r="B328" s="7">
        <v>40558</v>
      </c>
      <c r="C328" s="6">
        <v>1</v>
      </c>
      <c r="D328" s="6" t="str">
        <f t="shared" si="50"/>
        <v>january</v>
      </c>
      <c r="E328" s="6">
        <v>2</v>
      </c>
      <c r="F328" s="6" t="str">
        <f t="shared" si="51"/>
        <v>Night</v>
      </c>
      <c r="G328" s="6" t="b">
        <v>0</v>
      </c>
      <c r="H328" s="6">
        <f t="shared" si="52"/>
        <v>0</v>
      </c>
      <c r="I328" s="6">
        <v>6</v>
      </c>
      <c r="J328" s="6" t="str">
        <f t="shared" si="53"/>
        <v>Saturday</v>
      </c>
      <c r="K328" s="6">
        <f t="shared" si="54"/>
        <v>1</v>
      </c>
      <c r="L328" s="6">
        <v>2</v>
      </c>
      <c r="M328" s="6" t="str">
        <f t="shared" si="55"/>
        <v>Cloudy</v>
      </c>
      <c r="N328" s="8">
        <v>0.16</v>
      </c>
      <c r="O328" s="8">
        <v>0.19700000000000001</v>
      </c>
      <c r="P328" s="8">
        <v>0.59</v>
      </c>
      <c r="Q328" s="8">
        <v>8.9599999999999999E-2</v>
      </c>
      <c r="R328" s="6">
        <v>0</v>
      </c>
      <c r="S328" s="6">
        <v>12</v>
      </c>
      <c r="T328" s="6">
        <v>12</v>
      </c>
      <c r="U328" s="8">
        <f t="shared" si="56"/>
        <v>-0.64378142061299781</v>
      </c>
      <c r="V328" s="8" t="str">
        <f t="shared" si="57"/>
        <v>Normal</v>
      </c>
      <c r="W328" s="8">
        <f t="shared" si="58"/>
        <v>-0.86405453499579399</v>
      </c>
      <c r="X328" s="8" t="str">
        <f t="shared" si="59"/>
        <v>Normal</v>
      </c>
    </row>
    <row r="329" spans="1:24" x14ac:dyDescent="0.25">
      <c r="A329" s="6">
        <v>328</v>
      </c>
      <c r="B329" s="7">
        <v>40558</v>
      </c>
      <c r="C329" s="6">
        <v>1</v>
      </c>
      <c r="D329" s="6" t="str">
        <f t="shared" si="50"/>
        <v>january</v>
      </c>
      <c r="E329" s="6">
        <v>3</v>
      </c>
      <c r="F329" s="6" t="str">
        <f t="shared" si="51"/>
        <v>Night</v>
      </c>
      <c r="G329" s="6" t="b">
        <v>0</v>
      </c>
      <c r="H329" s="6">
        <f t="shared" si="52"/>
        <v>0</v>
      </c>
      <c r="I329" s="6">
        <v>6</v>
      </c>
      <c r="J329" s="6" t="str">
        <f t="shared" si="53"/>
        <v>Saturday</v>
      </c>
      <c r="K329" s="6">
        <f t="shared" si="54"/>
        <v>1</v>
      </c>
      <c r="L329" s="6">
        <v>2</v>
      </c>
      <c r="M329" s="6" t="str">
        <f t="shared" si="55"/>
        <v>Cloudy</v>
      </c>
      <c r="N329" s="8">
        <v>0.16</v>
      </c>
      <c r="O329" s="8">
        <v>0.2273</v>
      </c>
      <c r="P329" s="8">
        <v>0.59</v>
      </c>
      <c r="Q329" s="8">
        <v>0</v>
      </c>
      <c r="R329" s="6">
        <v>1</v>
      </c>
      <c r="S329" s="6">
        <v>7</v>
      </c>
      <c r="T329" s="6">
        <v>8</v>
      </c>
      <c r="U329" s="8">
        <f t="shared" si="56"/>
        <v>-0.51295812847461175</v>
      </c>
      <c r="V329" s="8" t="str">
        <f t="shared" si="57"/>
        <v>Normal</v>
      </c>
      <c r="W329" s="8">
        <f t="shared" si="58"/>
        <v>-0.96845181588357321</v>
      </c>
      <c r="X329" s="8" t="str">
        <f t="shared" si="59"/>
        <v>Normal</v>
      </c>
    </row>
    <row r="330" spans="1:24" x14ac:dyDescent="0.25">
      <c r="A330" s="6">
        <v>329</v>
      </c>
      <c r="B330" s="7">
        <v>40558</v>
      </c>
      <c r="C330" s="6">
        <v>1</v>
      </c>
      <c r="D330" s="6" t="str">
        <f t="shared" si="50"/>
        <v>january</v>
      </c>
      <c r="E330" s="6">
        <v>4</v>
      </c>
      <c r="F330" s="6" t="str">
        <f t="shared" si="51"/>
        <v>Night</v>
      </c>
      <c r="G330" s="6" t="b">
        <v>0</v>
      </c>
      <c r="H330" s="6">
        <f t="shared" si="52"/>
        <v>0</v>
      </c>
      <c r="I330" s="6">
        <v>6</v>
      </c>
      <c r="J330" s="6" t="str">
        <f t="shared" si="53"/>
        <v>Saturday</v>
      </c>
      <c r="K330" s="6">
        <f t="shared" si="54"/>
        <v>1</v>
      </c>
      <c r="L330" s="6">
        <v>2</v>
      </c>
      <c r="M330" s="6" t="str">
        <f t="shared" si="55"/>
        <v>Cloudy</v>
      </c>
      <c r="N330" s="8">
        <v>0.16</v>
      </c>
      <c r="O330" s="8">
        <v>0.2273</v>
      </c>
      <c r="P330" s="8">
        <v>0.59</v>
      </c>
      <c r="Q330" s="8">
        <v>0</v>
      </c>
      <c r="R330" s="6">
        <v>0</v>
      </c>
      <c r="S330" s="6">
        <v>5</v>
      </c>
      <c r="T330" s="6">
        <v>5</v>
      </c>
      <c r="U330" s="8">
        <f t="shared" si="56"/>
        <v>-0.64378142061299781</v>
      </c>
      <c r="V330" s="8" t="str">
        <f t="shared" si="57"/>
        <v>Normal</v>
      </c>
      <c r="W330" s="8">
        <f t="shared" si="58"/>
        <v>-1.010210728238685</v>
      </c>
      <c r="X330" s="8" t="str">
        <f t="shared" si="59"/>
        <v>Normal</v>
      </c>
    </row>
    <row r="331" spans="1:24" x14ac:dyDescent="0.25">
      <c r="A331" s="6">
        <v>330</v>
      </c>
      <c r="B331" s="7">
        <v>40558</v>
      </c>
      <c r="C331" s="6">
        <v>1</v>
      </c>
      <c r="D331" s="6" t="str">
        <f t="shared" si="50"/>
        <v>january</v>
      </c>
      <c r="E331" s="6">
        <v>5</v>
      </c>
      <c r="F331" s="6" t="str">
        <f t="shared" si="51"/>
        <v>Early Morning</v>
      </c>
      <c r="G331" s="6" t="b">
        <v>0</v>
      </c>
      <c r="H331" s="6">
        <f t="shared" si="52"/>
        <v>0</v>
      </c>
      <c r="I331" s="6">
        <v>6</v>
      </c>
      <c r="J331" s="6" t="str">
        <f t="shared" si="53"/>
        <v>Saturday</v>
      </c>
      <c r="K331" s="6">
        <f t="shared" si="54"/>
        <v>1</v>
      </c>
      <c r="L331" s="6">
        <v>1</v>
      </c>
      <c r="M331" s="6" t="str">
        <f t="shared" si="55"/>
        <v>Partly cloudy</v>
      </c>
      <c r="N331" s="8">
        <v>0.16</v>
      </c>
      <c r="O331" s="8">
        <v>0.2273</v>
      </c>
      <c r="P331" s="8">
        <v>0.59</v>
      </c>
      <c r="Q331" s="8">
        <v>0</v>
      </c>
      <c r="R331" s="6">
        <v>0</v>
      </c>
      <c r="S331" s="6">
        <v>1</v>
      </c>
      <c r="T331" s="6">
        <v>1</v>
      </c>
      <c r="U331" s="8">
        <f t="shared" si="56"/>
        <v>-0.64378142061299781</v>
      </c>
      <c r="V331" s="8" t="str">
        <f t="shared" si="57"/>
        <v>Normal</v>
      </c>
      <c r="W331" s="8">
        <f t="shared" si="58"/>
        <v>-1.0937285529489083</v>
      </c>
      <c r="X331" s="8" t="str">
        <f t="shared" si="59"/>
        <v>Normal</v>
      </c>
    </row>
    <row r="332" spans="1:24" x14ac:dyDescent="0.25">
      <c r="A332" s="6">
        <v>331</v>
      </c>
      <c r="B332" s="7">
        <v>40558</v>
      </c>
      <c r="C332" s="6">
        <v>1</v>
      </c>
      <c r="D332" s="6" t="str">
        <f t="shared" si="50"/>
        <v>january</v>
      </c>
      <c r="E332" s="6">
        <v>6</v>
      </c>
      <c r="F332" s="6" t="str">
        <f t="shared" si="51"/>
        <v>Early Morning</v>
      </c>
      <c r="G332" s="6" t="b">
        <v>0</v>
      </c>
      <c r="H332" s="6">
        <f t="shared" si="52"/>
        <v>0</v>
      </c>
      <c r="I332" s="6">
        <v>6</v>
      </c>
      <c r="J332" s="6" t="str">
        <f t="shared" si="53"/>
        <v>Saturday</v>
      </c>
      <c r="K332" s="6">
        <f t="shared" si="54"/>
        <v>1</v>
      </c>
      <c r="L332" s="6">
        <v>1</v>
      </c>
      <c r="M332" s="6" t="str">
        <f t="shared" si="55"/>
        <v>Partly cloudy</v>
      </c>
      <c r="N332" s="8">
        <v>0.14000000000000001</v>
      </c>
      <c r="O332" s="8">
        <v>0.16669999999999999</v>
      </c>
      <c r="P332" s="8">
        <v>0.63</v>
      </c>
      <c r="Q332" s="8">
        <v>0.1045</v>
      </c>
      <c r="R332" s="6">
        <v>1</v>
      </c>
      <c r="S332" s="6">
        <v>2</v>
      </c>
      <c r="T332" s="6">
        <v>3</v>
      </c>
      <c r="U332" s="8">
        <f t="shared" si="56"/>
        <v>-0.51295812847461175</v>
      </c>
      <c r="V332" s="8" t="str">
        <f t="shared" si="57"/>
        <v>Normal</v>
      </c>
      <c r="W332" s="8">
        <f t="shared" si="58"/>
        <v>-1.0728490967713524</v>
      </c>
      <c r="X332" s="8" t="str">
        <f t="shared" si="59"/>
        <v>Normal</v>
      </c>
    </row>
    <row r="333" spans="1:24" x14ac:dyDescent="0.25">
      <c r="A333" s="6">
        <v>332</v>
      </c>
      <c r="B333" s="7">
        <v>40558</v>
      </c>
      <c r="C333" s="6">
        <v>1</v>
      </c>
      <c r="D333" s="6" t="str">
        <f t="shared" si="50"/>
        <v>january</v>
      </c>
      <c r="E333" s="6">
        <v>7</v>
      </c>
      <c r="F333" s="6" t="str">
        <f t="shared" si="51"/>
        <v>Early Morning</v>
      </c>
      <c r="G333" s="6" t="b">
        <v>0</v>
      </c>
      <c r="H333" s="6">
        <f t="shared" si="52"/>
        <v>0</v>
      </c>
      <c r="I333" s="6">
        <v>6</v>
      </c>
      <c r="J333" s="6" t="str">
        <f t="shared" si="53"/>
        <v>Saturday</v>
      </c>
      <c r="K333" s="6">
        <f t="shared" si="54"/>
        <v>1</v>
      </c>
      <c r="L333" s="6">
        <v>1</v>
      </c>
      <c r="M333" s="6" t="str">
        <f t="shared" si="55"/>
        <v>Partly cloudy</v>
      </c>
      <c r="N333" s="8">
        <v>0.14000000000000001</v>
      </c>
      <c r="O333" s="8">
        <v>0.21210000000000001</v>
      </c>
      <c r="P333" s="8">
        <v>0.63</v>
      </c>
      <c r="Q333" s="8">
        <v>0</v>
      </c>
      <c r="R333" s="6">
        <v>1</v>
      </c>
      <c r="S333" s="6">
        <v>9</v>
      </c>
      <c r="T333" s="6">
        <v>10</v>
      </c>
      <c r="U333" s="8">
        <f t="shared" si="56"/>
        <v>-0.51295812847461175</v>
      </c>
      <c r="V333" s="8" t="str">
        <f t="shared" si="57"/>
        <v>Normal</v>
      </c>
      <c r="W333" s="8">
        <f t="shared" si="58"/>
        <v>-0.92669290352846156</v>
      </c>
      <c r="X333" s="8" t="str">
        <f t="shared" si="59"/>
        <v>Normal</v>
      </c>
    </row>
    <row r="334" spans="1:24" x14ac:dyDescent="0.25">
      <c r="A334" s="6">
        <v>333</v>
      </c>
      <c r="B334" s="7">
        <v>40558</v>
      </c>
      <c r="C334" s="6">
        <v>1</v>
      </c>
      <c r="D334" s="6" t="str">
        <f t="shared" si="50"/>
        <v>january</v>
      </c>
      <c r="E334" s="6">
        <v>8</v>
      </c>
      <c r="F334" s="6" t="str">
        <f t="shared" si="51"/>
        <v>Morning</v>
      </c>
      <c r="G334" s="6" t="b">
        <v>0</v>
      </c>
      <c r="H334" s="6">
        <f t="shared" si="52"/>
        <v>0</v>
      </c>
      <c r="I334" s="6">
        <v>6</v>
      </c>
      <c r="J334" s="6" t="str">
        <f t="shared" si="53"/>
        <v>Saturday</v>
      </c>
      <c r="K334" s="6">
        <f t="shared" si="54"/>
        <v>1</v>
      </c>
      <c r="L334" s="6">
        <v>1</v>
      </c>
      <c r="M334" s="6" t="str">
        <f t="shared" si="55"/>
        <v>Partly cloudy</v>
      </c>
      <c r="N334" s="8">
        <v>0.14000000000000001</v>
      </c>
      <c r="O334" s="8">
        <v>0.1515</v>
      </c>
      <c r="P334" s="8">
        <v>0.63</v>
      </c>
      <c r="Q334" s="8">
        <v>0.1343</v>
      </c>
      <c r="R334" s="6">
        <v>1</v>
      </c>
      <c r="S334" s="6">
        <v>22</v>
      </c>
      <c r="T334" s="6">
        <v>23</v>
      </c>
      <c r="U334" s="8">
        <f t="shared" si="56"/>
        <v>-0.51295812847461175</v>
      </c>
      <c r="V334" s="8" t="str">
        <f t="shared" si="57"/>
        <v>Normal</v>
      </c>
      <c r="W334" s="8">
        <f t="shared" si="58"/>
        <v>-0.65525997322023544</v>
      </c>
      <c r="X334" s="8" t="str">
        <f t="shared" si="59"/>
        <v>Normal</v>
      </c>
    </row>
    <row r="335" spans="1:24" x14ac:dyDescent="0.25">
      <c r="A335" s="6">
        <v>334</v>
      </c>
      <c r="B335" s="7">
        <v>40558</v>
      </c>
      <c r="C335" s="6">
        <v>1</v>
      </c>
      <c r="D335" s="6" t="str">
        <f t="shared" si="50"/>
        <v>january</v>
      </c>
      <c r="E335" s="6">
        <v>9</v>
      </c>
      <c r="F335" s="6" t="str">
        <f t="shared" si="51"/>
        <v>Morning</v>
      </c>
      <c r="G335" s="6" t="b">
        <v>0</v>
      </c>
      <c r="H335" s="6">
        <f t="shared" si="52"/>
        <v>0</v>
      </c>
      <c r="I335" s="6">
        <v>6</v>
      </c>
      <c r="J335" s="6" t="str">
        <f t="shared" si="53"/>
        <v>Saturday</v>
      </c>
      <c r="K335" s="6">
        <f t="shared" si="54"/>
        <v>1</v>
      </c>
      <c r="L335" s="6">
        <v>1</v>
      </c>
      <c r="M335" s="6" t="str">
        <f t="shared" si="55"/>
        <v>Partly cloudy</v>
      </c>
      <c r="N335" s="8">
        <v>0.16</v>
      </c>
      <c r="O335" s="8">
        <v>0.18179999999999999</v>
      </c>
      <c r="P335" s="8">
        <v>0.64</v>
      </c>
      <c r="Q335" s="8">
        <v>0.1343</v>
      </c>
      <c r="R335" s="6">
        <v>2</v>
      </c>
      <c r="S335" s="6">
        <v>31</v>
      </c>
      <c r="T335" s="6">
        <v>33</v>
      </c>
      <c r="U335" s="8">
        <f t="shared" si="56"/>
        <v>-0.38213483633622569</v>
      </c>
      <c r="V335" s="8" t="str">
        <f t="shared" si="57"/>
        <v>Normal</v>
      </c>
      <c r="W335" s="8">
        <f t="shared" si="58"/>
        <v>-0.46734486762223271</v>
      </c>
      <c r="X335" s="8" t="str">
        <f t="shared" si="59"/>
        <v>Normal</v>
      </c>
    </row>
    <row r="336" spans="1:24" x14ac:dyDescent="0.25">
      <c r="A336" s="6">
        <v>335</v>
      </c>
      <c r="B336" s="7">
        <v>40558</v>
      </c>
      <c r="C336" s="6">
        <v>1</v>
      </c>
      <c r="D336" s="6" t="str">
        <f t="shared" si="50"/>
        <v>january</v>
      </c>
      <c r="E336" s="6">
        <v>10</v>
      </c>
      <c r="F336" s="6" t="str">
        <f t="shared" si="51"/>
        <v>Morning</v>
      </c>
      <c r="G336" s="6" t="b">
        <v>0</v>
      </c>
      <c r="H336" s="6">
        <f t="shared" si="52"/>
        <v>0</v>
      </c>
      <c r="I336" s="6">
        <v>6</v>
      </c>
      <c r="J336" s="6" t="str">
        <f t="shared" si="53"/>
        <v>Saturday</v>
      </c>
      <c r="K336" s="6">
        <f t="shared" si="54"/>
        <v>1</v>
      </c>
      <c r="L336" s="6">
        <v>1</v>
      </c>
      <c r="M336" s="6" t="str">
        <f t="shared" si="55"/>
        <v>Partly cloudy</v>
      </c>
      <c r="N336" s="8">
        <v>0.18</v>
      </c>
      <c r="O336" s="8">
        <v>0.19700000000000001</v>
      </c>
      <c r="P336" s="8">
        <v>0.59</v>
      </c>
      <c r="Q336" s="8">
        <v>0.16420000000000001</v>
      </c>
      <c r="R336" s="6">
        <v>2</v>
      </c>
      <c r="S336" s="6">
        <v>57</v>
      </c>
      <c r="T336" s="6">
        <v>59</v>
      </c>
      <c r="U336" s="8">
        <f t="shared" si="56"/>
        <v>-0.38213483633622569</v>
      </c>
      <c r="V336" s="8" t="str">
        <f t="shared" si="57"/>
        <v>Normal</v>
      </c>
      <c r="W336" s="8">
        <f t="shared" si="58"/>
        <v>7.5520992994219466E-2</v>
      </c>
      <c r="X336" s="8" t="str">
        <f t="shared" si="59"/>
        <v>Normal</v>
      </c>
    </row>
    <row r="337" spans="1:24" x14ac:dyDescent="0.25">
      <c r="A337" s="6">
        <v>336</v>
      </c>
      <c r="B337" s="7">
        <v>40558</v>
      </c>
      <c r="C337" s="6">
        <v>1</v>
      </c>
      <c r="D337" s="6" t="str">
        <f t="shared" si="50"/>
        <v>january</v>
      </c>
      <c r="E337" s="6">
        <v>11</v>
      </c>
      <c r="F337" s="6" t="str">
        <f t="shared" si="51"/>
        <v>Morning</v>
      </c>
      <c r="G337" s="6" t="b">
        <v>0</v>
      </c>
      <c r="H337" s="6">
        <f t="shared" si="52"/>
        <v>0</v>
      </c>
      <c r="I337" s="6">
        <v>6</v>
      </c>
      <c r="J337" s="6" t="str">
        <f t="shared" si="53"/>
        <v>Saturday</v>
      </c>
      <c r="K337" s="6">
        <f t="shared" si="54"/>
        <v>1</v>
      </c>
      <c r="L337" s="6">
        <v>1</v>
      </c>
      <c r="M337" s="6" t="str">
        <f t="shared" si="55"/>
        <v>Partly cloudy</v>
      </c>
      <c r="N337" s="8">
        <v>0.2</v>
      </c>
      <c r="O337" s="8">
        <v>0.19700000000000001</v>
      </c>
      <c r="P337" s="8">
        <v>0.55000000000000004</v>
      </c>
      <c r="Q337" s="8">
        <v>0.22389999999999999</v>
      </c>
      <c r="R337" s="6">
        <v>18</v>
      </c>
      <c r="S337" s="6">
        <v>54</v>
      </c>
      <c r="T337" s="6">
        <v>72</v>
      </c>
      <c r="U337" s="8">
        <f t="shared" si="56"/>
        <v>1.7110378378779514</v>
      </c>
      <c r="V337" s="8" t="str">
        <f t="shared" si="57"/>
        <v>Normal</v>
      </c>
      <c r="W337" s="8">
        <f t="shared" si="58"/>
        <v>1.2882624461551907E-2</v>
      </c>
      <c r="X337" s="8" t="str">
        <f t="shared" si="59"/>
        <v>Normal</v>
      </c>
    </row>
    <row r="338" spans="1:24" x14ac:dyDescent="0.25">
      <c r="A338" s="6">
        <v>337</v>
      </c>
      <c r="B338" s="7">
        <v>40558</v>
      </c>
      <c r="C338" s="6">
        <v>1</v>
      </c>
      <c r="D338" s="6" t="str">
        <f t="shared" si="50"/>
        <v>january</v>
      </c>
      <c r="E338" s="6">
        <v>12</v>
      </c>
      <c r="F338" s="6" t="str">
        <f t="shared" si="51"/>
        <v>Afternoon</v>
      </c>
      <c r="G338" s="6" t="b">
        <v>0</v>
      </c>
      <c r="H338" s="6">
        <f t="shared" si="52"/>
        <v>0</v>
      </c>
      <c r="I338" s="6">
        <v>6</v>
      </c>
      <c r="J338" s="6" t="str">
        <f t="shared" si="53"/>
        <v>Saturday</v>
      </c>
      <c r="K338" s="6">
        <f t="shared" si="54"/>
        <v>1</v>
      </c>
      <c r="L338" s="6">
        <v>1</v>
      </c>
      <c r="M338" s="6" t="str">
        <f t="shared" si="55"/>
        <v>Partly cloudy</v>
      </c>
      <c r="N338" s="8">
        <v>0.24</v>
      </c>
      <c r="O338" s="8">
        <v>0.2273</v>
      </c>
      <c r="P338" s="8">
        <v>0.48</v>
      </c>
      <c r="Q338" s="8">
        <v>0.22389999999999999</v>
      </c>
      <c r="R338" s="6">
        <v>15</v>
      </c>
      <c r="S338" s="6">
        <v>74</v>
      </c>
      <c r="T338" s="6">
        <v>89</v>
      </c>
      <c r="U338" s="8">
        <f t="shared" si="56"/>
        <v>1.3185679614627932</v>
      </c>
      <c r="V338" s="8" t="str">
        <f t="shared" si="57"/>
        <v>Normal</v>
      </c>
      <c r="W338" s="8">
        <f t="shared" si="58"/>
        <v>0.43047174801266896</v>
      </c>
      <c r="X338" s="8" t="str">
        <f t="shared" si="59"/>
        <v>Normal</v>
      </c>
    </row>
    <row r="339" spans="1:24" x14ac:dyDescent="0.25">
      <c r="A339" s="6">
        <v>338</v>
      </c>
      <c r="B339" s="7">
        <v>40558</v>
      </c>
      <c r="C339" s="6">
        <v>1</v>
      </c>
      <c r="D339" s="6" t="str">
        <f t="shared" si="50"/>
        <v>january</v>
      </c>
      <c r="E339" s="6">
        <v>13</v>
      </c>
      <c r="F339" s="6" t="str">
        <f t="shared" si="51"/>
        <v>Afternoon</v>
      </c>
      <c r="G339" s="6" t="b">
        <v>0</v>
      </c>
      <c r="H339" s="6">
        <f t="shared" si="52"/>
        <v>0</v>
      </c>
      <c r="I339" s="6">
        <v>6</v>
      </c>
      <c r="J339" s="6" t="str">
        <f t="shared" si="53"/>
        <v>Saturday</v>
      </c>
      <c r="K339" s="6">
        <f t="shared" si="54"/>
        <v>1</v>
      </c>
      <c r="L339" s="6">
        <v>1</v>
      </c>
      <c r="M339" s="6" t="str">
        <f t="shared" si="55"/>
        <v>Partly cloudy</v>
      </c>
      <c r="N339" s="8">
        <v>0.28000000000000003</v>
      </c>
      <c r="O339" s="8">
        <v>0.2576</v>
      </c>
      <c r="P339" s="8">
        <v>0.38</v>
      </c>
      <c r="Q339" s="8">
        <v>0.29849999999999999</v>
      </c>
      <c r="R339" s="6">
        <v>21</v>
      </c>
      <c r="S339" s="6">
        <v>80</v>
      </c>
      <c r="T339" s="6">
        <v>101</v>
      </c>
      <c r="U339" s="8">
        <f t="shared" si="56"/>
        <v>2.1035077142931096</v>
      </c>
      <c r="V339" s="8" t="str">
        <f t="shared" si="57"/>
        <v>Peak</v>
      </c>
      <c r="W339" s="8">
        <f t="shared" si="58"/>
        <v>0.55574848507800412</v>
      </c>
      <c r="X339" s="8" t="str">
        <f t="shared" si="59"/>
        <v>Normal</v>
      </c>
    </row>
    <row r="340" spans="1:24" x14ac:dyDescent="0.25">
      <c r="A340" s="6">
        <v>339</v>
      </c>
      <c r="B340" s="7">
        <v>40558</v>
      </c>
      <c r="C340" s="6">
        <v>1</v>
      </c>
      <c r="D340" s="6" t="str">
        <f t="shared" si="50"/>
        <v>january</v>
      </c>
      <c r="E340" s="6">
        <v>14</v>
      </c>
      <c r="F340" s="6" t="str">
        <f t="shared" si="51"/>
        <v>Afternoon</v>
      </c>
      <c r="G340" s="6" t="b">
        <v>0</v>
      </c>
      <c r="H340" s="6">
        <f t="shared" si="52"/>
        <v>0</v>
      </c>
      <c r="I340" s="6">
        <v>6</v>
      </c>
      <c r="J340" s="6" t="str">
        <f t="shared" si="53"/>
        <v>Saturday</v>
      </c>
      <c r="K340" s="6">
        <f t="shared" si="54"/>
        <v>1</v>
      </c>
      <c r="L340" s="6">
        <v>1</v>
      </c>
      <c r="M340" s="6" t="str">
        <f t="shared" si="55"/>
        <v>Partly cloudy</v>
      </c>
      <c r="N340" s="8">
        <v>0.3</v>
      </c>
      <c r="O340" s="8">
        <v>0.28789999999999999</v>
      </c>
      <c r="P340" s="8">
        <v>0.39</v>
      </c>
      <c r="Q340" s="8">
        <v>0.28360000000000002</v>
      </c>
      <c r="R340" s="6">
        <v>26</v>
      </c>
      <c r="S340" s="6">
        <v>92</v>
      </c>
      <c r="T340" s="6">
        <v>118</v>
      </c>
      <c r="U340" s="8">
        <f t="shared" si="56"/>
        <v>2.7576241749850396</v>
      </c>
      <c r="V340" s="8" t="str">
        <f t="shared" si="57"/>
        <v>Peak</v>
      </c>
      <c r="W340" s="8">
        <f t="shared" si="58"/>
        <v>0.80630195920867431</v>
      </c>
      <c r="X340" s="8" t="str">
        <f t="shared" si="59"/>
        <v>Normal</v>
      </c>
    </row>
    <row r="341" spans="1:24" x14ac:dyDescent="0.25">
      <c r="A341" s="6">
        <v>340</v>
      </c>
      <c r="B341" s="7">
        <v>40558</v>
      </c>
      <c r="C341" s="6">
        <v>1</v>
      </c>
      <c r="D341" s="6" t="str">
        <f t="shared" si="50"/>
        <v>january</v>
      </c>
      <c r="E341" s="6">
        <v>15</v>
      </c>
      <c r="F341" s="6" t="str">
        <f t="shared" si="51"/>
        <v>Afternoon</v>
      </c>
      <c r="G341" s="6" t="b">
        <v>0</v>
      </c>
      <c r="H341" s="6">
        <f t="shared" si="52"/>
        <v>0</v>
      </c>
      <c r="I341" s="6">
        <v>6</v>
      </c>
      <c r="J341" s="6" t="str">
        <f t="shared" si="53"/>
        <v>Saturday</v>
      </c>
      <c r="K341" s="6">
        <f t="shared" si="54"/>
        <v>1</v>
      </c>
      <c r="L341" s="6">
        <v>2</v>
      </c>
      <c r="M341" s="6" t="str">
        <f t="shared" si="55"/>
        <v>Cloudy</v>
      </c>
      <c r="N341" s="8">
        <v>0.32</v>
      </c>
      <c r="O341" s="8">
        <v>0.31819999999999998</v>
      </c>
      <c r="P341" s="8">
        <v>0.36</v>
      </c>
      <c r="Q341" s="8">
        <v>0.19400000000000001</v>
      </c>
      <c r="R341" s="6">
        <v>21</v>
      </c>
      <c r="S341" s="6">
        <v>108</v>
      </c>
      <c r="T341" s="6">
        <v>129</v>
      </c>
      <c r="U341" s="8">
        <f t="shared" si="56"/>
        <v>2.1035077142931096</v>
      </c>
      <c r="V341" s="8" t="str">
        <f t="shared" si="57"/>
        <v>Peak</v>
      </c>
      <c r="W341" s="8">
        <f t="shared" si="58"/>
        <v>1.140373258049568</v>
      </c>
      <c r="X341" s="8" t="str">
        <f t="shared" si="59"/>
        <v>Normal</v>
      </c>
    </row>
    <row r="342" spans="1:24" x14ac:dyDescent="0.25">
      <c r="A342" s="6">
        <v>341</v>
      </c>
      <c r="B342" s="7">
        <v>40558</v>
      </c>
      <c r="C342" s="6">
        <v>1</v>
      </c>
      <c r="D342" s="6" t="str">
        <f t="shared" si="50"/>
        <v>january</v>
      </c>
      <c r="E342" s="6">
        <v>16</v>
      </c>
      <c r="F342" s="6" t="str">
        <f t="shared" si="51"/>
        <v>Afternoon</v>
      </c>
      <c r="G342" s="6" t="b">
        <v>0</v>
      </c>
      <c r="H342" s="6">
        <f t="shared" si="52"/>
        <v>0</v>
      </c>
      <c r="I342" s="6">
        <v>6</v>
      </c>
      <c r="J342" s="6" t="str">
        <f t="shared" si="53"/>
        <v>Saturday</v>
      </c>
      <c r="K342" s="6">
        <f t="shared" si="54"/>
        <v>1</v>
      </c>
      <c r="L342" s="6">
        <v>2</v>
      </c>
      <c r="M342" s="6" t="str">
        <f t="shared" si="55"/>
        <v>Cloudy</v>
      </c>
      <c r="N342" s="8">
        <v>0.34</v>
      </c>
      <c r="O342" s="8">
        <v>0.33329999999999999</v>
      </c>
      <c r="P342" s="8">
        <v>0.34</v>
      </c>
      <c r="Q342" s="8">
        <v>0.19400000000000001</v>
      </c>
      <c r="R342" s="6">
        <v>33</v>
      </c>
      <c r="S342" s="6">
        <v>95</v>
      </c>
      <c r="T342" s="6">
        <v>128</v>
      </c>
      <c r="U342" s="8">
        <f t="shared" si="56"/>
        <v>3.6733872199537423</v>
      </c>
      <c r="V342" s="8" t="str">
        <f t="shared" si="57"/>
        <v>Peak</v>
      </c>
      <c r="W342" s="8">
        <f t="shared" si="58"/>
        <v>0.86894032774134189</v>
      </c>
      <c r="X342" s="8" t="str">
        <f t="shared" si="59"/>
        <v>Normal</v>
      </c>
    </row>
    <row r="343" spans="1:24" x14ac:dyDescent="0.25">
      <c r="A343" s="6">
        <v>342</v>
      </c>
      <c r="B343" s="7">
        <v>40558</v>
      </c>
      <c r="C343" s="6">
        <v>1</v>
      </c>
      <c r="D343" s="6" t="str">
        <f t="shared" si="50"/>
        <v>january</v>
      </c>
      <c r="E343" s="6">
        <v>17</v>
      </c>
      <c r="F343" s="6" t="str">
        <f t="shared" si="51"/>
        <v>Evening</v>
      </c>
      <c r="G343" s="6" t="b">
        <v>0</v>
      </c>
      <c r="H343" s="6">
        <f t="shared" si="52"/>
        <v>0</v>
      </c>
      <c r="I343" s="6">
        <v>6</v>
      </c>
      <c r="J343" s="6" t="str">
        <f t="shared" si="53"/>
        <v>Saturday</v>
      </c>
      <c r="K343" s="6">
        <f t="shared" si="54"/>
        <v>1</v>
      </c>
      <c r="L343" s="6">
        <v>2</v>
      </c>
      <c r="M343" s="6" t="str">
        <f t="shared" si="55"/>
        <v>Cloudy</v>
      </c>
      <c r="N343" s="8">
        <v>0.32</v>
      </c>
      <c r="O343" s="8">
        <v>0.30299999999999999</v>
      </c>
      <c r="P343" s="8">
        <v>0.36</v>
      </c>
      <c r="Q343" s="8">
        <v>0.28360000000000002</v>
      </c>
      <c r="R343" s="6">
        <v>29</v>
      </c>
      <c r="S343" s="6">
        <v>54</v>
      </c>
      <c r="T343" s="6">
        <v>83</v>
      </c>
      <c r="U343" s="8">
        <f t="shared" si="56"/>
        <v>3.150094051400198</v>
      </c>
      <c r="V343" s="8" t="str">
        <f t="shared" si="57"/>
        <v>Peak</v>
      </c>
      <c r="W343" s="8">
        <f t="shared" si="58"/>
        <v>1.2882624461551907E-2</v>
      </c>
      <c r="X343" s="8" t="str">
        <f t="shared" si="59"/>
        <v>Normal</v>
      </c>
    </row>
    <row r="344" spans="1:24" x14ac:dyDescent="0.25">
      <c r="A344" s="6">
        <v>343</v>
      </c>
      <c r="B344" s="7">
        <v>40558</v>
      </c>
      <c r="C344" s="6">
        <v>1</v>
      </c>
      <c r="D344" s="6" t="str">
        <f t="shared" si="50"/>
        <v>january</v>
      </c>
      <c r="E344" s="6">
        <v>18</v>
      </c>
      <c r="F344" s="6" t="str">
        <f t="shared" si="51"/>
        <v>Evening</v>
      </c>
      <c r="G344" s="6" t="b">
        <v>0</v>
      </c>
      <c r="H344" s="6">
        <f t="shared" si="52"/>
        <v>0</v>
      </c>
      <c r="I344" s="6">
        <v>6</v>
      </c>
      <c r="J344" s="6" t="str">
        <f t="shared" si="53"/>
        <v>Saturday</v>
      </c>
      <c r="K344" s="6">
        <f t="shared" si="54"/>
        <v>1</v>
      </c>
      <c r="L344" s="6">
        <v>2</v>
      </c>
      <c r="M344" s="6" t="str">
        <f t="shared" si="55"/>
        <v>Cloudy</v>
      </c>
      <c r="N344" s="8">
        <v>0.3</v>
      </c>
      <c r="O344" s="8">
        <v>0.28789999999999999</v>
      </c>
      <c r="P344" s="8">
        <v>0.45</v>
      </c>
      <c r="Q344" s="8">
        <v>0.25369999999999998</v>
      </c>
      <c r="R344" s="6">
        <v>15</v>
      </c>
      <c r="S344" s="6">
        <v>69</v>
      </c>
      <c r="T344" s="6">
        <v>84</v>
      </c>
      <c r="U344" s="8">
        <f t="shared" si="56"/>
        <v>1.3185679614627932</v>
      </c>
      <c r="V344" s="8" t="str">
        <f t="shared" si="57"/>
        <v>Normal</v>
      </c>
      <c r="W344" s="8">
        <f t="shared" si="58"/>
        <v>0.32607446712488969</v>
      </c>
      <c r="X344" s="8" t="str">
        <f t="shared" si="59"/>
        <v>Normal</v>
      </c>
    </row>
    <row r="345" spans="1:24" x14ac:dyDescent="0.25">
      <c r="A345" s="6">
        <v>344</v>
      </c>
      <c r="B345" s="7">
        <v>40558</v>
      </c>
      <c r="C345" s="6">
        <v>1</v>
      </c>
      <c r="D345" s="6" t="str">
        <f t="shared" si="50"/>
        <v>january</v>
      </c>
      <c r="E345" s="6">
        <v>19</v>
      </c>
      <c r="F345" s="6" t="str">
        <f t="shared" si="51"/>
        <v>Evening</v>
      </c>
      <c r="G345" s="6" t="b">
        <v>0</v>
      </c>
      <c r="H345" s="6">
        <f t="shared" si="52"/>
        <v>0</v>
      </c>
      <c r="I345" s="6">
        <v>6</v>
      </c>
      <c r="J345" s="6" t="str">
        <f t="shared" si="53"/>
        <v>Saturday</v>
      </c>
      <c r="K345" s="6">
        <f t="shared" si="54"/>
        <v>1</v>
      </c>
      <c r="L345" s="6">
        <v>2</v>
      </c>
      <c r="M345" s="6" t="str">
        <f t="shared" si="55"/>
        <v>Cloudy</v>
      </c>
      <c r="N345" s="8">
        <v>0.32</v>
      </c>
      <c r="O345" s="8">
        <v>0.30299999999999999</v>
      </c>
      <c r="P345" s="8">
        <v>0.39</v>
      </c>
      <c r="Q345" s="8">
        <v>0.25369999999999998</v>
      </c>
      <c r="R345" s="6">
        <v>14</v>
      </c>
      <c r="S345" s="6">
        <v>60</v>
      </c>
      <c r="T345" s="6">
        <v>74</v>
      </c>
      <c r="U345" s="8">
        <f t="shared" si="56"/>
        <v>1.1877446693244071</v>
      </c>
      <c r="V345" s="8" t="str">
        <f t="shared" si="57"/>
        <v>Normal</v>
      </c>
      <c r="W345" s="8">
        <f t="shared" si="58"/>
        <v>0.13815936152688704</v>
      </c>
      <c r="X345" s="8" t="str">
        <f t="shared" si="59"/>
        <v>Normal</v>
      </c>
    </row>
    <row r="346" spans="1:24" x14ac:dyDescent="0.25">
      <c r="A346" s="6">
        <v>345</v>
      </c>
      <c r="B346" s="7">
        <v>40558</v>
      </c>
      <c r="C346" s="6">
        <v>1</v>
      </c>
      <c r="D346" s="6" t="str">
        <f t="shared" si="50"/>
        <v>january</v>
      </c>
      <c r="E346" s="6">
        <v>20</v>
      </c>
      <c r="F346" s="6" t="str">
        <f t="shared" si="51"/>
        <v>Evening</v>
      </c>
      <c r="G346" s="6" t="b">
        <v>0</v>
      </c>
      <c r="H346" s="6">
        <f t="shared" si="52"/>
        <v>0</v>
      </c>
      <c r="I346" s="6">
        <v>6</v>
      </c>
      <c r="J346" s="6" t="str">
        <f t="shared" si="53"/>
        <v>Saturday</v>
      </c>
      <c r="K346" s="6">
        <f t="shared" si="54"/>
        <v>1</v>
      </c>
      <c r="L346" s="6">
        <v>2</v>
      </c>
      <c r="M346" s="6" t="str">
        <f t="shared" si="55"/>
        <v>Cloudy</v>
      </c>
      <c r="N346" s="8">
        <v>0.32</v>
      </c>
      <c r="O346" s="8">
        <v>0.30299999999999999</v>
      </c>
      <c r="P346" s="8">
        <v>0.39</v>
      </c>
      <c r="Q346" s="8">
        <v>0.25369999999999998</v>
      </c>
      <c r="R346" s="6">
        <v>6</v>
      </c>
      <c r="S346" s="6">
        <v>35</v>
      </c>
      <c r="T346" s="6">
        <v>41</v>
      </c>
      <c r="U346" s="8">
        <f t="shared" si="56"/>
        <v>0.14115833221731852</v>
      </c>
      <c r="V346" s="8" t="str">
        <f t="shared" si="57"/>
        <v>Normal</v>
      </c>
      <c r="W346" s="8">
        <f t="shared" si="58"/>
        <v>-0.38382704291200931</v>
      </c>
      <c r="X346" s="8" t="str">
        <f t="shared" si="59"/>
        <v>Normal</v>
      </c>
    </row>
    <row r="347" spans="1:24" x14ac:dyDescent="0.25">
      <c r="A347" s="6">
        <v>346</v>
      </c>
      <c r="B347" s="7">
        <v>40558</v>
      </c>
      <c r="C347" s="6">
        <v>1</v>
      </c>
      <c r="D347" s="6" t="str">
        <f t="shared" si="50"/>
        <v>january</v>
      </c>
      <c r="E347" s="6">
        <v>21</v>
      </c>
      <c r="F347" s="6" t="str">
        <f t="shared" si="51"/>
        <v>Night</v>
      </c>
      <c r="G347" s="6" t="b">
        <v>0</v>
      </c>
      <c r="H347" s="6">
        <f t="shared" si="52"/>
        <v>0</v>
      </c>
      <c r="I347" s="6">
        <v>6</v>
      </c>
      <c r="J347" s="6" t="str">
        <f t="shared" si="53"/>
        <v>Saturday</v>
      </c>
      <c r="K347" s="6">
        <f t="shared" si="54"/>
        <v>1</v>
      </c>
      <c r="L347" s="6">
        <v>2</v>
      </c>
      <c r="M347" s="6" t="str">
        <f t="shared" si="55"/>
        <v>Cloudy</v>
      </c>
      <c r="N347" s="8">
        <v>0.32</v>
      </c>
      <c r="O347" s="8">
        <v>0.30299999999999999</v>
      </c>
      <c r="P347" s="8">
        <v>0.39</v>
      </c>
      <c r="Q347" s="8">
        <v>0.22389999999999999</v>
      </c>
      <c r="R347" s="6">
        <v>6</v>
      </c>
      <c r="S347" s="6">
        <v>51</v>
      </c>
      <c r="T347" s="6">
        <v>57</v>
      </c>
      <c r="U347" s="8">
        <f t="shared" si="56"/>
        <v>0.14115833221731852</v>
      </c>
      <c r="V347" s="8" t="str">
        <f t="shared" si="57"/>
        <v>Normal</v>
      </c>
      <c r="W347" s="8">
        <f t="shared" si="58"/>
        <v>-4.9755744071115653E-2</v>
      </c>
      <c r="X347" s="8" t="str">
        <f t="shared" si="59"/>
        <v>Normal</v>
      </c>
    </row>
    <row r="348" spans="1:24" x14ac:dyDescent="0.25">
      <c r="A348" s="6">
        <v>347</v>
      </c>
      <c r="B348" s="7">
        <v>40558</v>
      </c>
      <c r="C348" s="6">
        <v>1</v>
      </c>
      <c r="D348" s="6" t="str">
        <f t="shared" si="50"/>
        <v>january</v>
      </c>
      <c r="E348" s="6">
        <v>22</v>
      </c>
      <c r="F348" s="6" t="str">
        <f t="shared" si="51"/>
        <v>Night</v>
      </c>
      <c r="G348" s="6" t="b">
        <v>0</v>
      </c>
      <c r="H348" s="6">
        <f t="shared" si="52"/>
        <v>0</v>
      </c>
      <c r="I348" s="6">
        <v>6</v>
      </c>
      <c r="J348" s="6" t="str">
        <f t="shared" si="53"/>
        <v>Saturday</v>
      </c>
      <c r="K348" s="6">
        <f t="shared" si="54"/>
        <v>1</v>
      </c>
      <c r="L348" s="6">
        <v>2</v>
      </c>
      <c r="M348" s="6" t="str">
        <f t="shared" si="55"/>
        <v>Cloudy</v>
      </c>
      <c r="N348" s="8">
        <v>0.3</v>
      </c>
      <c r="O348" s="8">
        <v>0.31819999999999998</v>
      </c>
      <c r="P348" s="8">
        <v>0.42</v>
      </c>
      <c r="Q348" s="8">
        <v>0.1045</v>
      </c>
      <c r="R348" s="6">
        <v>0</v>
      </c>
      <c r="S348" s="6">
        <v>26</v>
      </c>
      <c r="T348" s="6">
        <v>26</v>
      </c>
      <c r="U348" s="8">
        <f t="shared" si="56"/>
        <v>-0.64378142061299781</v>
      </c>
      <c r="V348" s="8" t="str">
        <f t="shared" si="57"/>
        <v>Normal</v>
      </c>
      <c r="W348" s="8">
        <f t="shared" si="58"/>
        <v>-0.57174214851001204</v>
      </c>
      <c r="X348" s="8" t="str">
        <f t="shared" si="59"/>
        <v>Normal</v>
      </c>
    </row>
    <row r="349" spans="1:24" x14ac:dyDescent="0.25">
      <c r="A349" s="6">
        <v>348</v>
      </c>
      <c r="B349" s="7">
        <v>40558</v>
      </c>
      <c r="C349" s="6">
        <v>1</v>
      </c>
      <c r="D349" s="6" t="str">
        <f t="shared" si="50"/>
        <v>january</v>
      </c>
      <c r="E349" s="6">
        <v>23</v>
      </c>
      <c r="F349" s="6" t="str">
        <f t="shared" si="51"/>
        <v>Night</v>
      </c>
      <c r="G349" s="6" t="b">
        <v>0</v>
      </c>
      <c r="H349" s="6">
        <f t="shared" si="52"/>
        <v>0</v>
      </c>
      <c r="I349" s="6">
        <v>6</v>
      </c>
      <c r="J349" s="6" t="str">
        <f t="shared" si="53"/>
        <v>Saturday</v>
      </c>
      <c r="K349" s="6">
        <f t="shared" si="54"/>
        <v>1</v>
      </c>
      <c r="L349" s="6">
        <v>1</v>
      </c>
      <c r="M349" s="6" t="str">
        <f t="shared" si="55"/>
        <v>Partly cloudy</v>
      </c>
      <c r="N349" s="8">
        <v>0.3</v>
      </c>
      <c r="O349" s="8">
        <v>0.28789999999999999</v>
      </c>
      <c r="P349" s="8">
        <v>0.45</v>
      </c>
      <c r="Q349" s="8">
        <v>0.28360000000000002</v>
      </c>
      <c r="R349" s="6">
        <v>5</v>
      </c>
      <c r="S349" s="6">
        <v>39</v>
      </c>
      <c r="T349" s="6">
        <v>44</v>
      </c>
      <c r="U349" s="8">
        <f t="shared" si="56"/>
        <v>1.0335040078932463E-2</v>
      </c>
      <c r="V349" s="8" t="str">
        <f t="shared" si="57"/>
        <v>Normal</v>
      </c>
      <c r="W349" s="8">
        <f t="shared" si="58"/>
        <v>-0.30030921820178591</v>
      </c>
      <c r="X349" s="8" t="str">
        <f t="shared" si="59"/>
        <v>Normal</v>
      </c>
    </row>
    <row r="350" spans="1:24" x14ac:dyDescent="0.25">
      <c r="A350" s="6">
        <v>349</v>
      </c>
      <c r="B350" s="7">
        <v>40559</v>
      </c>
      <c r="C350" s="6">
        <v>1</v>
      </c>
      <c r="D350" s="6" t="str">
        <f t="shared" si="50"/>
        <v>january</v>
      </c>
      <c r="E350" s="6">
        <v>0</v>
      </c>
      <c r="F350" s="6" t="str">
        <f t="shared" si="51"/>
        <v>Night</v>
      </c>
      <c r="G350" s="6" t="b">
        <v>0</v>
      </c>
      <c r="H350" s="6">
        <f t="shared" si="52"/>
        <v>0</v>
      </c>
      <c r="I350" s="6">
        <v>0</v>
      </c>
      <c r="J350" s="6" t="str">
        <f t="shared" si="53"/>
        <v>Sunday</v>
      </c>
      <c r="K350" s="6">
        <f t="shared" si="54"/>
        <v>1</v>
      </c>
      <c r="L350" s="6">
        <v>1</v>
      </c>
      <c r="M350" s="6" t="str">
        <f t="shared" si="55"/>
        <v>Partly cloudy</v>
      </c>
      <c r="N350" s="8">
        <v>0.26</v>
      </c>
      <c r="O350" s="8">
        <v>0.30299999999999999</v>
      </c>
      <c r="P350" s="8">
        <v>0.56000000000000005</v>
      </c>
      <c r="Q350" s="8">
        <v>0</v>
      </c>
      <c r="R350" s="6">
        <v>6</v>
      </c>
      <c r="S350" s="6">
        <v>33</v>
      </c>
      <c r="T350" s="6">
        <v>39</v>
      </c>
      <c r="U350" s="8">
        <f t="shared" si="56"/>
        <v>0.14115833221731852</v>
      </c>
      <c r="V350" s="8" t="str">
        <f t="shared" si="57"/>
        <v>Normal</v>
      </c>
      <c r="W350" s="8">
        <f t="shared" si="58"/>
        <v>-0.42558595526712101</v>
      </c>
      <c r="X350" s="8" t="str">
        <f t="shared" si="59"/>
        <v>Normal</v>
      </c>
    </row>
    <row r="351" spans="1:24" x14ac:dyDescent="0.25">
      <c r="A351" s="6">
        <v>350</v>
      </c>
      <c r="B351" s="7">
        <v>40559</v>
      </c>
      <c r="C351" s="6">
        <v>1</v>
      </c>
      <c r="D351" s="6" t="str">
        <f t="shared" si="50"/>
        <v>january</v>
      </c>
      <c r="E351" s="6">
        <v>1</v>
      </c>
      <c r="F351" s="6" t="str">
        <f t="shared" si="51"/>
        <v>Night</v>
      </c>
      <c r="G351" s="6" t="b">
        <v>0</v>
      </c>
      <c r="H351" s="6">
        <f t="shared" si="52"/>
        <v>0</v>
      </c>
      <c r="I351" s="6">
        <v>0</v>
      </c>
      <c r="J351" s="6" t="str">
        <f t="shared" si="53"/>
        <v>Sunday</v>
      </c>
      <c r="K351" s="6">
        <f t="shared" si="54"/>
        <v>1</v>
      </c>
      <c r="L351" s="6">
        <v>1</v>
      </c>
      <c r="M351" s="6" t="str">
        <f t="shared" si="55"/>
        <v>Partly cloudy</v>
      </c>
      <c r="N351" s="8">
        <v>0.26</v>
      </c>
      <c r="O351" s="8">
        <v>0.2727</v>
      </c>
      <c r="P351" s="8">
        <v>0.56000000000000005</v>
      </c>
      <c r="Q351" s="8">
        <v>0.1343</v>
      </c>
      <c r="R351" s="6">
        <v>4</v>
      </c>
      <c r="S351" s="6">
        <v>19</v>
      </c>
      <c r="T351" s="6">
        <v>23</v>
      </c>
      <c r="U351" s="8">
        <f t="shared" si="56"/>
        <v>-0.1204882520594536</v>
      </c>
      <c r="V351" s="8" t="str">
        <f t="shared" si="57"/>
        <v>Normal</v>
      </c>
      <c r="W351" s="8">
        <f t="shared" si="58"/>
        <v>-0.71789834175290301</v>
      </c>
      <c r="X351" s="8" t="str">
        <f t="shared" si="59"/>
        <v>Normal</v>
      </c>
    </row>
    <row r="352" spans="1:24" x14ac:dyDescent="0.25">
      <c r="A352" s="6">
        <v>351</v>
      </c>
      <c r="B352" s="7">
        <v>40559</v>
      </c>
      <c r="C352" s="6">
        <v>1</v>
      </c>
      <c r="D352" s="6" t="str">
        <f t="shared" si="50"/>
        <v>january</v>
      </c>
      <c r="E352" s="6">
        <v>2</v>
      </c>
      <c r="F352" s="6" t="str">
        <f t="shared" si="51"/>
        <v>Night</v>
      </c>
      <c r="G352" s="6" t="b">
        <v>0</v>
      </c>
      <c r="H352" s="6">
        <f t="shared" si="52"/>
        <v>0</v>
      </c>
      <c r="I352" s="6">
        <v>0</v>
      </c>
      <c r="J352" s="6" t="str">
        <f t="shared" si="53"/>
        <v>Sunday</v>
      </c>
      <c r="K352" s="6">
        <f t="shared" si="54"/>
        <v>1</v>
      </c>
      <c r="L352" s="6">
        <v>1</v>
      </c>
      <c r="M352" s="6" t="str">
        <f t="shared" si="55"/>
        <v>Partly cloudy</v>
      </c>
      <c r="N352" s="8">
        <v>0.26</v>
      </c>
      <c r="O352" s="8">
        <v>0.28789999999999999</v>
      </c>
      <c r="P352" s="8">
        <v>0.56000000000000005</v>
      </c>
      <c r="Q352" s="8">
        <v>8.9599999999999999E-2</v>
      </c>
      <c r="R352" s="6">
        <v>3</v>
      </c>
      <c r="S352" s="6">
        <v>13</v>
      </c>
      <c r="T352" s="6">
        <v>16</v>
      </c>
      <c r="U352" s="8">
        <f t="shared" si="56"/>
        <v>-0.25131154419783963</v>
      </c>
      <c r="V352" s="8" t="str">
        <f t="shared" si="57"/>
        <v>Normal</v>
      </c>
      <c r="W352" s="8">
        <f t="shared" si="58"/>
        <v>-0.84317507881823806</v>
      </c>
      <c r="X352" s="8" t="str">
        <f t="shared" si="59"/>
        <v>Normal</v>
      </c>
    </row>
    <row r="353" spans="1:24" x14ac:dyDescent="0.25">
      <c r="A353" s="6">
        <v>352</v>
      </c>
      <c r="B353" s="7">
        <v>40559</v>
      </c>
      <c r="C353" s="6">
        <v>1</v>
      </c>
      <c r="D353" s="6" t="str">
        <f t="shared" si="50"/>
        <v>january</v>
      </c>
      <c r="E353" s="6">
        <v>3</v>
      </c>
      <c r="F353" s="6" t="str">
        <f t="shared" si="51"/>
        <v>Night</v>
      </c>
      <c r="G353" s="6" t="b">
        <v>0</v>
      </c>
      <c r="H353" s="6">
        <f t="shared" si="52"/>
        <v>0</v>
      </c>
      <c r="I353" s="6">
        <v>0</v>
      </c>
      <c r="J353" s="6" t="str">
        <f t="shared" si="53"/>
        <v>Sunday</v>
      </c>
      <c r="K353" s="6">
        <f t="shared" si="54"/>
        <v>1</v>
      </c>
      <c r="L353" s="6">
        <v>1</v>
      </c>
      <c r="M353" s="6" t="str">
        <f t="shared" si="55"/>
        <v>Partly cloudy</v>
      </c>
      <c r="N353" s="8">
        <v>0.22</v>
      </c>
      <c r="O353" s="8">
        <v>0.2727</v>
      </c>
      <c r="P353" s="8">
        <v>0.69</v>
      </c>
      <c r="Q353" s="8">
        <v>0</v>
      </c>
      <c r="R353" s="6">
        <v>9</v>
      </c>
      <c r="S353" s="6">
        <v>6</v>
      </c>
      <c r="T353" s="6">
        <v>15</v>
      </c>
      <c r="U353" s="8">
        <f t="shared" si="56"/>
        <v>0.53362820863247673</v>
      </c>
      <c r="V353" s="8" t="str">
        <f t="shared" si="57"/>
        <v>Normal</v>
      </c>
      <c r="W353" s="8">
        <f t="shared" si="58"/>
        <v>-0.98933127206112903</v>
      </c>
      <c r="X353" s="8" t="str">
        <f t="shared" si="59"/>
        <v>Normal</v>
      </c>
    </row>
    <row r="354" spans="1:24" x14ac:dyDescent="0.25">
      <c r="A354" s="6">
        <v>353</v>
      </c>
      <c r="B354" s="7">
        <v>40559</v>
      </c>
      <c r="C354" s="6">
        <v>1</v>
      </c>
      <c r="D354" s="6" t="str">
        <f t="shared" si="50"/>
        <v>january</v>
      </c>
      <c r="E354" s="6">
        <v>4</v>
      </c>
      <c r="F354" s="6" t="str">
        <f t="shared" si="51"/>
        <v>Night</v>
      </c>
      <c r="G354" s="6" t="b">
        <v>0</v>
      </c>
      <c r="H354" s="6">
        <f t="shared" si="52"/>
        <v>0</v>
      </c>
      <c r="I354" s="6">
        <v>0</v>
      </c>
      <c r="J354" s="6" t="str">
        <f t="shared" si="53"/>
        <v>Sunday</v>
      </c>
      <c r="K354" s="6">
        <f t="shared" si="54"/>
        <v>1</v>
      </c>
      <c r="L354" s="6">
        <v>1</v>
      </c>
      <c r="M354" s="6" t="str">
        <f t="shared" si="55"/>
        <v>Partly cloudy</v>
      </c>
      <c r="N354" s="8">
        <v>0.26</v>
      </c>
      <c r="O354" s="8">
        <v>0.2576</v>
      </c>
      <c r="P354" s="8">
        <v>0.56000000000000005</v>
      </c>
      <c r="Q354" s="8">
        <v>0.16420000000000001</v>
      </c>
      <c r="R354" s="6">
        <v>0</v>
      </c>
      <c r="S354" s="6">
        <v>1</v>
      </c>
      <c r="T354" s="6">
        <v>1</v>
      </c>
      <c r="U354" s="8">
        <f t="shared" si="56"/>
        <v>-0.64378142061299781</v>
      </c>
      <c r="V354" s="8" t="str">
        <f t="shared" si="57"/>
        <v>Normal</v>
      </c>
      <c r="W354" s="8">
        <f t="shared" si="58"/>
        <v>-1.0937285529489083</v>
      </c>
      <c r="X354" s="8" t="str">
        <f t="shared" si="59"/>
        <v>Normal</v>
      </c>
    </row>
    <row r="355" spans="1:24" x14ac:dyDescent="0.25">
      <c r="A355" s="6">
        <v>354</v>
      </c>
      <c r="B355" s="7">
        <v>40559</v>
      </c>
      <c r="C355" s="6">
        <v>1</v>
      </c>
      <c r="D355" s="6" t="str">
        <f t="shared" si="50"/>
        <v>january</v>
      </c>
      <c r="E355" s="6">
        <v>5</v>
      </c>
      <c r="F355" s="6" t="str">
        <f t="shared" si="51"/>
        <v>Early Morning</v>
      </c>
      <c r="G355" s="6" t="b">
        <v>0</v>
      </c>
      <c r="H355" s="6">
        <f t="shared" si="52"/>
        <v>0</v>
      </c>
      <c r="I355" s="6">
        <v>0</v>
      </c>
      <c r="J355" s="6" t="str">
        <f t="shared" si="53"/>
        <v>Sunday</v>
      </c>
      <c r="K355" s="6">
        <f t="shared" si="54"/>
        <v>1</v>
      </c>
      <c r="L355" s="6">
        <v>2</v>
      </c>
      <c r="M355" s="6" t="str">
        <f t="shared" si="55"/>
        <v>Cloudy</v>
      </c>
      <c r="N355" s="8">
        <v>0.26</v>
      </c>
      <c r="O355" s="8">
        <v>0.2576</v>
      </c>
      <c r="P355" s="8">
        <v>0.56000000000000005</v>
      </c>
      <c r="Q355" s="8">
        <v>0.16420000000000001</v>
      </c>
      <c r="R355" s="6">
        <v>1</v>
      </c>
      <c r="S355" s="6">
        <v>1</v>
      </c>
      <c r="T355" s="6">
        <v>2</v>
      </c>
      <c r="U355" s="8">
        <f t="shared" si="56"/>
        <v>-0.51295812847461175</v>
      </c>
      <c r="V355" s="8" t="str">
        <f t="shared" si="57"/>
        <v>Normal</v>
      </c>
      <c r="W355" s="8">
        <f t="shared" si="58"/>
        <v>-1.0937285529489083</v>
      </c>
      <c r="X355" s="8" t="str">
        <f t="shared" si="59"/>
        <v>Normal</v>
      </c>
    </row>
    <row r="356" spans="1:24" x14ac:dyDescent="0.25">
      <c r="A356" s="6">
        <v>355</v>
      </c>
      <c r="B356" s="7">
        <v>40559</v>
      </c>
      <c r="C356" s="6">
        <v>1</v>
      </c>
      <c r="D356" s="6" t="str">
        <f t="shared" si="50"/>
        <v>january</v>
      </c>
      <c r="E356" s="6">
        <v>6</v>
      </c>
      <c r="F356" s="6" t="str">
        <f t="shared" si="51"/>
        <v>Early Morning</v>
      </c>
      <c r="G356" s="6" t="b">
        <v>0</v>
      </c>
      <c r="H356" s="6">
        <f t="shared" si="52"/>
        <v>0</v>
      </c>
      <c r="I356" s="6">
        <v>0</v>
      </c>
      <c r="J356" s="6" t="str">
        <f t="shared" si="53"/>
        <v>Sunday</v>
      </c>
      <c r="K356" s="6">
        <f t="shared" si="54"/>
        <v>1</v>
      </c>
      <c r="L356" s="6">
        <v>2</v>
      </c>
      <c r="M356" s="6" t="str">
        <f t="shared" si="55"/>
        <v>Cloudy</v>
      </c>
      <c r="N356" s="8">
        <v>0.26</v>
      </c>
      <c r="O356" s="8">
        <v>0.2576</v>
      </c>
      <c r="P356" s="8">
        <v>0.56000000000000005</v>
      </c>
      <c r="Q356" s="8">
        <v>0.16420000000000001</v>
      </c>
      <c r="R356" s="6">
        <v>0</v>
      </c>
      <c r="S356" s="6">
        <v>1</v>
      </c>
      <c r="T356" s="6">
        <v>1</v>
      </c>
      <c r="U356" s="8">
        <f t="shared" si="56"/>
        <v>-0.64378142061299781</v>
      </c>
      <c r="V356" s="8" t="str">
        <f t="shared" si="57"/>
        <v>Normal</v>
      </c>
      <c r="W356" s="8">
        <f t="shared" si="58"/>
        <v>-1.0937285529489083</v>
      </c>
      <c r="X356" s="8" t="str">
        <f t="shared" si="59"/>
        <v>Normal</v>
      </c>
    </row>
    <row r="357" spans="1:24" x14ac:dyDescent="0.25">
      <c r="A357" s="6">
        <v>356</v>
      </c>
      <c r="B357" s="7">
        <v>40559</v>
      </c>
      <c r="C357" s="6">
        <v>1</v>
      </c>
      <c r="D357" s="6" t="str">
        <f t="shared" si="50"/>
        <v>january</v>
      </c>
      <c r="E357" s="6">
        <v>7</v>
      </c>
      <c r="F357" s="6" t="str">
        <f t="shared" si="51"/>
        <v>Early Morning</v>
      </c>
      <c r="G357" s="6" t="b">
        <v>0</v>
      </c>
      <c r="H357" s="6">
        <f t="shared" si="52"/>
        <v>0</v>
      </c>
      <c r="I357" s="6">
        <v>0</v>
      </c>
      <c r="J357" s="6" t="str">
        <f t="shared" si="53"/>
        <v>Sunday</v>
      </c>
      <c r="K357" s="6">
        <f t="shared" si="54"/>
        <v>1</v>
      </c>
      <c r="L357" s="6">
        <v>2</v>
      </c>
      <c r="M357" s="6" t="str">
        <f t="shared" si="55"/>
        <v>Cloudy</v>
      </c>
      <c r="N357" s="8">
        <v>0.24</v>
      </c>
      <c r="O357" s="8">
        <v>0.21210000000000001</v>
      </c>
      <c r="P357" s="8">
        <v>0.56000000000000005</v>
      </c>
      <c r="Q357" s="8">
        <v>0.29849999999999999</v>
      </c>
      <c r="R357" s="6">
        <v>0</v>
      </c>
      <c r="S357" s="6">
        <v>3</v>
      </c>
      <c r="T357" s="6">
        <v>3</v>
      </c>
      <c r="U357" s="8">
        <f t="shared" si="56"/>
        <v>-0.64378142061299781</v>
      </c>
      <c r="V357" s="8" t="str">
        <f t="shared" si="57"/>
        <v>Normal</v>
      </c>
      <c r="W357" s="8">
        <f t="shared" si="58"/>
        <v>-1.0519696405937966</v>
      </c>
      <c r="X357" s="8" t="str">
        <f t="shared" si="59"/>
        <v>Normal</v>
      </c>
    </row>
    <row r="358" spans="1:24" x14ac:dyDescent="0.25">
      <c r="A358" s="6">
        <v>357</v>
      </c>
      <c r="B358" s="7">
        <v>40559</v>
      </c>
      <c r="C358" s="6">
        <v>1</v>
      </c>
      <c r="D358" s="6" t="str">
        <f t="shared" si="50"/>
        <v>january</v>
      </c>
      <c r="E358" s="6">
        <v>8</v>
      </c>
      <c r="F358" s="6" t="str">
        <f t="shared" si="51"/>
        <v>Morning</v>
      </c>
      <c r="G358" s="6" t="b">
        <v>0</v>
      </c>
      <c r="H358" s="6">
        <f t="shared" si="52"/>
        <v>0</v>
      </c>
      <c r="I358" s="6">
        <v>0</v>
      </c>
      <c r="J358" s="6" t="str">
        <f t="shared" si="53"/>
        <v>Sunday</v>
      </c>
      <c r="K358" s="6">
        <f t="shared" si="54"/>
        <v>1</v>
      </c>
      <c r="L358" s="6">
        <v>1</v>
      </c>
      <c r="M358" s="6" t="str">
        <f t="shared" si="55"/>
        <v>Partly cloudy</v>
      </c>
      <c r="N358" s="8">
        <v>0.22</v>
      </c>
      <c r="O358" s="8">
        <v>0.21210000000000001</v>
      </c>
      <c r="P358" s="8">
        <v>0.55000000000000004</v>
      </c>
      <c r="Q358" s="8">
        <v>0.28360000000000002</v>
      </c>
      <c r="R358" s="6">
        <v>0</v>
      </c>
      <c r="S358" s="6">
        <v>18</v>
      </c>
      <c r="T358" s="6">
        <v>18</v>
      </c>
      <c r="U358" s="8">
        <f t="shared" si="56"/>
        <v>-0.64378142061299781</v>
      </c>
      <c r="V358" s="8" t="str">
        <f t="shared" si="57"/>
        <v>Normal</v>
      </c>
      <c r="W358" s="8">
        <f t="shared" si="58"/>
        <v>-0.73877779793045883</v>
      </c>
      <c r="X358" s="8" t="str">
        <f t="shared" si="59"/>
        <v>Normal</v>
      </c>
    </row>
    <row r="359" spans="1:24" x14ac:dyDescent="0.25">
      <c r="A359" s="6">
        <v>358</v>
      </c>
      <c r="B359" s="7">
        <v>40559</v>
      </c>
      <c r="C359" s="6">
        <v>1</v>
      </c>
      <c r="D359" s="6" t="str">
        <f t="shared" si="50"/>
        <v>january</v>
      </c>
      <c r="E359" s="6">
        <v>9</v>
      </c>
      <c r="F359" s="6" t="str">
        <f t="shared" si="51"/>
        <v>Morning</v>
      </c>
      <c r="G359" s="6" t="b">
        <v>0</v>
      </c>
      <c r="H359" s="6">
        <f t="shared" si="52"/>
        <v>0</v>
      </c>
      <c r="I359" s="6">
        <v>0</v>
      </c>
      <c r="J359" s="6" t="str">
        <f t="shared" si="53"/>
        <v>Sunday</v>
      </c>
      <c r="K359" s="6">
        <f t="shared" si="54"/>
        <v>1</v>
      </c>
      <c r="L359" s="6">
        <v>1</v>
      </c>
      <c r="M359" s="6" t="str">
        <f t="shared" si="55"/>
        <v>Partly cloudy</v>
      </c>
      <c r="N359" s="8">
        <v>0.22</v>
      </c>
      <c r="O359" s="8">
        <v>0.21210000000000001</v>
      </c>
      <c r="P359" s="8">
        <v>0.51</v>
      </c>
      <c r="Q359" s="8">
        <v>0.25369999999999998</v>
      </c>
      <c r="R359" s="6">
        <v>3</v>
      </c>
      <c r="S359" s="6">
        <v>29</v>
      </c>
      <c r="T359" s="6">
        <v>32</v>
      </c>
      <c r="U359" s="8">
        <f t="shared" si="56"/>
        <v>-0.25131154419783963</v>
      </c>
      <c r="V359" s="8" t="str">
        <f t="shared" si="57"/>
        <v>Normal</v>
      </c>
      <c r="W359" s="8">
        <f t="shared" si="58"/>
        <v>-0.50910377997734446</v>
      </c>
      <c r="X359" s="8" t="str">
        <f t="shared" si="59"/>
        <v>Normal</v>
      </c>
    </row>
    <row r="360" spans="1:24" x14ac:dyDescent="0.25">
      <c r="A360" s="6">
        <v>359</v>
      </c>
      <c r="B360" s="7">
        <v>40559</v>
      </c>
      <c r="C360" s="6">
        <v>1</v>
      </c>
      <c r="D360" s="6" t="str">
        <f t="shared" si="50"/>
        <v>january</v>
      </c>
      <c r="E360" s="6">
        <v>10</v>
      </c>
      <c r="F360" s="6" t="str">
        <f t="shared" si="51"/>
        <v>Morning</v>
      </c>
      <c r="G360" s="6" t="b">
        <v>0</v>
      </c>
      <c r="H360" s="6">
        <f t="shared" si="52"/>
        <v>0</v>
      </c>
      <c r="I360" s="6">
        <v>0</v>
      </c>
      <c r="J360" s="6" t="str">
        <f t="shared" si="53"/>
        <v>Sunday</v>
      </c>
      <c r="K360" s="6">
        <f t="shared" si="54"/>
        <v>1</v>
      </c>
      <c r="L360" s="6">
        <v>1</v>
      </c>
      <c r="M360" s="6" t="str">
        <f t="shared" si="55"/>
        <v>Partly cloudy</v>
      </c>
      <c r="N360" s="8">
        <v>0.22</v>
      </c>
      <c r="O360" s="8">
        <v>0.21210000000000001</v>
      </c>
      <c r="P360" s="8">
        <v>0.51</v>
      </c>
      <c r="Q360" s="8">
        <v>0.28360000000000002</v>
      </c>
      <c r="R360" s="6">
        <v>8</v>
      </c>
      <c r="S360" s="6">
        <v>71</v>
      </c>
      <c r="T360" s="6">
        <v>79</v>
      </c>
      <c r="U360" s="8">
        <f t="shared" si="56"/>
        <v>0.40280491649409061</v>
      </c>
      <c r="V360" s="8" t="str">
        <f t="shared" si="57"/>
        <v>Normal</v>
      </c>
      <c r="W360" s="8">
        <f t="shared" si="58"/>
        <v>0.36783337948000144</v>
      </c>
      <c r="X360" s="8" t="str">
        <f t="shared" si="59"/>
        <v>Normal</v>
      </c>
    </row>
    <row r="361" spans="1:24" x14ac:dyDescent="0.25">
      <c r="A361" s="6">
        <v>360</v>
      </c>
      <c r="B361" s="7">
        <v>40559</v>
      </c>
      <c r="C361" s="6">
        <v>1</v>
      </c>
      <c r="D361" s="6" t="str">
        <f t="shared" si="50"/>
        <v>january</v>
      </c>
      <c r="E361" s="6">
        <v>11</v>
      </c>
      <c r="F361" s="6" t="str">
        <f t="shared" si="51"/>
        <v>Morning</v>
      </c>
      <c r="G361" s="6" t="b">
        <v>0</v>
      </c>
      <c r="H361" s="6">
        <f t="shared" si="52"/>
        <v>0</v>
      </c>
      <c r="I361" s="6">
        <v>0</v>
      </c>
      <c r="J361" s="6" t="str">
        <f t="shared" si="53"/>
        <v>Sunday</v>
      </c>
      <c r="K361" s="6">
        <f t="shared" si="54"/>
        <v>1</v>
      </c>
      <c r="L361" s="6">
        <v>1</v>
      </c>
      <c r="M361" s="6" t="str">
        <f t="shared" si="55"/>
        <v>Partly cloudy</v>
      </c>
      <c r="N361" s="8">
        <v>0.24</v>
      </c>
      <c r="O361" s="8">
        <v>0.2273</v>
      </c>
      <c r="P361" s="8">
        <v>0.44</v>
      </c>
      <c r="Q361" s="8">
        <v>0.25369999999999998</v>
      </c>
      <c r="R361" s="6">
        <v>23</v>
      </c>
      <c r="S361" s="6">
        <v>70</v>
      </c>
      <c r="T361" s="6">
        <v>93</v>
      </c>
      <c r="U361" s="8">
        <f t="shared" si="56"/>
        <v>2.3651542985698817</v>
      </c>
      <c r="V361" s="8" t="str">
        <f t="shared" si="57"/>
        <v>Peak</v>
      </c>
      <c r="W361" s="8">
        <f t="shared" si="58"/>
        <v>0.34695392330244557</v>
      </c>
      <c r="X361" s="8" t="str">
        <f t="shared" si="59"/>
        <v>Normal</v>
      </c>
    </row>
    <row r="362" spans="1:24" x14ac:dyDescent="0.25">
      <c r="A362" s="6">
        <v>361</v>
      </c>
      <c r="B362" s="7">
        <v>40559</v>
      </c>
      <c r="C362" s="6">
        <v>1</v>
      </c>
      <c r="D362" s="6" t="str">
        <f t="shared" si="50"/>
        <v>january</v>
      </c>
      <c r="E362" s="6">
        <v>12</v>
      </c>
      <c r="F362" s="6" t="str">
        <f t="shared" si="51"/>
        <v>Afternoon</v>
      </c>
      <c r="G362" s="6" t="b">
        <v>0</v>
      </c>
      <c r="H362" s="6">
        <f t="shared" si="52"/>
        <v>0</v>
      </c>
      <c r="I362" s="6">
        <v>0</v>
      </c>
      <c r="J362" s="6" t="str">
        <f t="shared" si="53"/>
        <v>Sunday</v>
      </c>
      <c r="K362" s="6">
        <f t="shared" si="54"/>
        <v>1</v>
      </c>
      <c r="L362" s="6">
        <v>1</v>
      </c>
      <c r="M362" s="6" t="str">
        <f t="shared" si="55"/>
        <v>Partly cloudy</v>
      </c>
      <c r="N362" s="8">
        <v>0.24</v>
      </c>
      <c r="O362" s="8">
        <v>0.21210000000000001</v>
      </c>
      <c r="P362" s="8">
        <v>0.41</v>
      </c>
      <c r="Q362" s="8">
        <v>0.28360000000000002</v>
      </c>
      <c r="R362" s="6">
        <v>29</v>
      </c>
      <c r="S362" s="6">
        <v>75</v>
      </c>
      <c r="T362" s="6">
        <v>104</v>
      </c>
      <c r="U362" s="8">
        <f t="shared" si="56"/>
        <v>3.150094051400198</v>
      </c>
      <c r="V362" s="8" t="str">
        <f t="shared" si="57"/>
        <v>Peak</v>
      </c>
      <c r="W362" s="8">
        <f t="shared" si="58"/>
        <v>0.45135120419022484</v>
      </c>
      <c r="X362" s="8" t="str">
        <f t="shared" si="59"/>
        <v>Normal</v>
      </c>
    </row>
    <row r="363" spans="1:24" x14ac:dyDescent="0.25">
      <c r="A363" s="6">
        <v>362</v>
      </c>
      <c r="B363" s="7">
        <v>40559</v>
      </c>
      <c r="C363" s="6">
        <v>1</v>
      </c>
      <c r="D363" s="6" t="str">
        <f t="shared" si="50"/>
        <v>january</v>
      </c>
      <c r="E363" s="6">
        <v>13</v>
      </c>
      <c r="F363" s="6" t="str">
        <f t="shared" si="51"/>
        <v>Afternoon</v>
      </c>
      <c r="G363" s="6" t="b">
        <v>0</v>
      </c>
      <c r="H363" s="6">
        <f t="shared" si="52"/>
        <v>0</v>
      </c>
      <c r="I363" s="6">
        <v>0</v>
      </c>
      <c r="J363" s="6" t="str">
        <f t="shared" si="53"/>
        <v>Sunday</v>
      </c>
      <c r="K363" s="6">
        <f t="shared" si="54"/>
        <v>1</v>
      </c>
      <c r="L363" s="6">
        <v>1</v>
      </c>
      <c r="M363" s="6" t="str">
        <f t="shared" si="55"/>
        <v>Partly cloudy</v>
      </c>
      <c r="N363" s="8">
        <v>0.26</v>
      </c>
      <c r="O363" s="8">
        <v>0.2273</v>
      </c>
      <c r="P363" s="8">
        <v>0.35</v>
      </c>
      <c r="Q363" s="8">
        <v>0.29849999999999999</v>
      </c>
      <c r="R363" s="6">
        <v>23</v>
      </c>
      <c r="S363" s="6">
        <v>95</v>
      </c>
      <c r="T363" s="6">
        <v>118</v>
      </c>
      <c r="U363" s="8">
        <f t="shared" si="56"/>
        <v>2.3651542985698817</v>
      </c>
      <c r="V363" s="8" t="str">
        <f t="shared" si="57"/>
        <v>Peak</v>
      </c>
      <c r="W363" s="8">
        <f t="shared" si="58"/>
        <v>0.86894032774134189</v>
      </c>
      <c r="X363" s="8" t="str">
        <f t="shared" si="59"/>
        <v>Normal</v>
      </c>
    </row>
    <row r="364" spans="1:24" x14ac:dyDescent="0.25">
      <c r="A364" s="6">
        <v>363</v>
      </c>
      <c r="B364" s="7">
        <v>40559</v>
      </c>
      <c r="C364" s="6">
        <v>1</v>
      </c>
      <c r="D364" s="6" t="str">
        <f t="shared" si="50"/>
        <v>january</v>
      </c>
      <c r="E364" s="6">
        <v>14</v>
      </c>
      <c r="F364" s="6" t="str">
        <f t="shared" si="51"/>
        <v>Afternoon</v>
      </c>
      <c r="G364" s="6" t="b">
        <v>0</v>
      </c>
      <c r="H364" s="6">
        <f t="shared" si="52"/>
        <v>0</v>
      </c>
      <c r="I364" s="6">
        <v>0</v>
      </c>
      <c r="J364" s="6" t="str">
        <f t="shared" si="53"/>
        <v>Sunday</v>
      </c>
      <c r="K364" s="6">
        <f t="shared" si="54"/>
        <v>1</v>
      </c>
      <c r="L364" s="6">
        <v>1</v>
      </c>
      <c r="M364" s="6" t="str">
        <f t="shared" si="55"/>
        <v>Partly cloudy</v>
      </c>
      <c r="N364" s="8">
        <v>0.28000000000000003</v>
      </c>
      <c r="O364" s="8">
        <v>0.2727</v>
      </c>
      <c r="P364" s="8">
        <v>0.36</v>
      </c>
      <c r="Q364" s="8">
        <v>0.25369999999999998</v>
      </c>
      <c r="R364" s="6">
        <v>22</v>
      </c>
      <c r="S364" s="6">
        <v>69</v>
      </c>
      <c r="T364" s="6">
        <v>91</v>
      </c>
      <c r="U364" s="8">
        <f t="shared" si="56"/>
        <v>2.2343310064314954</v>
      </c>
      <c r="V364" s="8" t="str">
        <f t="shared" si="57"/>
        <v>Peak</v>
      </c>
      <c r="W364" s="8">
        <f t="shared" si="58"/>
        <v>0.32607446712488969</v>
      </c>
      <c r="X364" s="8" t="str">
        <f t="shared" si="59"/>
        <v>Normal</v>
      </c>
    </row>
    <row r="365" spans="1:24" x14ac:dyDescent="0.25">
      <c r="A365" s="6">
        <v>364</v>
      </c>
      <c r="B365" s="7">
        <v>40559</v>
      </c>
      <c r="C365" s="6">
        <v>1</v>
      </c>
      <c r="D365" s="6" t="str">
        <f t="shared" si="50"/>
        <v>january</v>
      </c>
      <c r="E365" s="6">
        <v>15</v>
      </c>
      <c r="F365" s="6" t="str">
        <f t="shared" si="51"/>
        <v>Afternoon</v>
      </c>
      <c r="G365" s="6" t="b">
        <v>0</v>
      </c>
      <c r="H365" s="6">
        <f t="shared" si="52"/>
        <v>0</v>
      </c>
      <c r="I365" s="6">
        <v>0</v>
      </c>
      <c r="J365" s="6" t="str">
        <f t="shared" si="53"/>
        <v>Sunday</v>
      </c>
      <c r="K365" s="6">
        <f t="shared" si="54"/>
        <v>1</v>
      </c>
      <c r="L365" s="6">
        <v>1</v>
      </c>
      <c r="M365" s="6" t="str">
        <f t="shared" si="55"/>
        <v>Partly cloudy</v>
      </c>
      <c r="N365" s="8">
        <v>0.26</v>
      </c>
      <c r="O365" s="8">
        <v>0.2424</v>
      </c>
      <c r="P365" s="8">
        <v>0.38</v>
      </c>
      <c r="Q365" s="8">
        <v>0.25369999999999998</v>
      </c>
      <c r="R365" s="6">
        <v>35</v>
      </c>
      <c r="S365" s="6">
        <v>78</v>
      </c>
      <c r="T365" s="6">
        <v>113</v>
      </c>
      <c r="U365" s="8">
        <f t="shared" si="56"/>
        <v>3.9350338042305144</v>
      </c>
      <c r="V365" s="8" t="str">
        <f t="shared" si="57"/>
        <v>Peak</v>
      </c>
      <c r="W365" s="8">
        <f t="shared" si="58"/>
        <v>0.51398957272289236</v>
      </c>
      <c r="X365" s="8" t="str">
        <f t="shared" si="59"/>
        <v>Normal</v>
      </c>
    </row>
    <row r="366" spans="1:24" x14ac:dyDescent="0.25">
      <c r="A366" s="6">
        <v>365</v>
      </c>
      <c r="B366" s="7">
        <v>40559</v>
      </c>
      <c r="C366" s="6">
        <v>1</v>
      </c>
      <c r="D366" s="6" t="str">
        <f t="shared" si="50"/>
        <v>january</v>
      </c>
      <c r="E366" s="6">
        <v>16</v>
      </c>
      <c r="F366" s="6" t="str">
        <f t="shared" si="51"/>
        <v>Afternoon</v>
      </c>
      <c r="G366" s="6" t="b">
        <v>0</v>
      </c>
      <c r="H366" s="6">
        <f t="shared" si="52"/>
        <v>0</v>
      </c>
      <c r="I366" s="6">
        <v>0</v>
      </c>
      <c r="J366" s="6" t="str">
        <f t="shared" si="53"/>
        <v>Sunday</v>
      </c>
      <c r="K366" s="6">
        <f t="shared" si="54"/>
        <v>1</v>
      </c>
      <c r="L366" s="6">
        <v>1</v>
      </c>
      <c r="M366" s="6" t="str">
        <f t="shared" si="55"/>
        <v>Partly cloudy</v>
      </c>
      <c r="N366" s="8">
        <v>0.24</v>
      </c>
      <c r="O366" s="8">
        <v>0.2273</v>
      </c>
      <c r="P366" s="8">
        <v>0.38</v>
      </c>
      <c r="Q366" s="8">
        <v>0.22389999999999999</v>
      </c>
      <c r="R366" s="6">
        <v>22</v>
      </c>
      <c r="S366" s="6">
        <v>77</v>
      </c>
      <c r="T366" s="6">
        <v>99</v>
      </c>
      <c r="U366" s="8">
        <f t="shared" si="56"/>
        <v>2.2343310064314954</v>
      </c>
      <c r="V366" s="8" t="str">
        <f t="shared" si="57"/>
        <v>Peak</v>
      </c>
      <c r="W366" s="8">
        <f t="shared" si="58"/>
        <v>0.49311011654533654</v>
      </c>
      <c r="X366" s="8" t="str">
        <f t="shared" si="59"/>
        <v>Normal</v>
      </c>
    </row>
    <row r="367" spans="1:24" x14ac:dyDescent="0.25">
      <c r="A367" s="6">
        <v>366</v>
      </c>
      <c r="B367" s="7">
        <v>40559</v>
      </c>
      <c r="C367" s="6">
        <v>1</v>
      </c>
      <c r="D367" s="6" t="str">
        <f t="shared" si="50"/>
        <v>january</v>
      </c>
      <c r="E367" s="6">
        <v>17</v>
      </c>
      <c r="F367" s="6" t="str">
        <f t="shared" si="51"/>
        <v>Evening</v>
      </c>
      <c r="G367" s="6" t="b">
        <v>0</v>
      </c>
      <c r="H367" s="6">
        <f t="shared" si="52"/>
        <v>0</v>
      </c>
      <c r="I367" s="6">
        <v>0</v>
      </c>
      <c r="J367" s="6" t="str">
        <f t="shared" si="53"/>
        <v>Sunday</v>
      </c>
      <c r="K367" s="6">
        <f t="shared" si="54"/>
        <v>1</v>
      </c>
      <c r="L367" s="6">
        <v>1</v>
      </c>
      <c r="M367" s="6" t="str">
        <f t="shared" si="55"/>
        <v>Partly cloudy</v>
      </c>
      <c r="N367" s="8">
        <v>0.22</v>
      </c>
      <c r="O367" s="8">
        <v>0.21210000000000001</v>
      </c>
      <c r="P367" s="8">
        <v>0.37</v>
      </c>
      <c r="Q367" s="8">
        <v>0.25369999999999998</v>
      </c>
      <c r="R367" s="6">
        <v>23</v>
      </c>
      <c r="S367" s="6">
        <v>82</v>
      </c>
      <c r="T367" s="6">
        <v>105</v>
      </c>
      <c r="U367" s="8">
        <f t="shared" si="56"/>
        <v>2.3651542985698817</v>
      </c>
      <c r="V367" s="8" t="str">
        <f t="shared" si="57"/>
        <v>Peak</v>
      </c>
      <c r="W367" s="8">
        <f t="shared" si="58"/>
        <v>0.59750739743311576</v>
      </c>
      <c r="X367" s="8" t="str">
        <f t="shared" si="59"/>
        <v>Normal</v>
      </c>
    </row>
    <row r="368" spans="1:24" x14ac:dyDescent="0.25">
      <c r="A368" s="6">
        <v>367</v>
      </c>
      <c r="B368" s="7">
        <v>40559</v>
      </c>
      <c r="C368" s="6">
        <v>1</v>
      </c>
      <c r="D368" s="6" t="str">
        <f t="shared" si="50"/>
        <v>january</v>
      </c>
      <c r="E368" s="6">
        <v>18</v>
      </c>
      <c r="F368" s="6" t="str">
        <f t="shared" si="51"/>
        <v>Evening</v>
      </c>
      <c r="G368" s="6" t="b">
        <v>0</v>
      </c>
      <c r="H368" s="6">
        <f t="shared" si="52"/>
        <v>0</v>
      </c>
      <c r="I368" s="6">
        <v>0</v>
      </c>
      <c r="J368" s="6" t="str">
        <f t="shared" si="53"/>
        <v>Sunday</v>
      </c>
      <c r="K368" s="6">
        <f t="shared" si="54"/>
        <v>1</v>
      </c>
      <c r="L368" s="6">
        <v>1</v>
      </c>
      <c r="M368" s="6" t="str">
        <f t="shared" si="55"/>
        <v>Partly cloudy</v>
      </c>
      <c r="N368" s="8">
        <v>0.2</v>
      </c>
      <c r="O368" s="8">
        <v>0.21210000000000001</v>
      </c>
      <c r="P368" s="8">
        <v>0.4</v>
      </c>
      <c r="Q368" s="8">
        <v>0.16420000000000001</v>
      </c>
      <c r="R368" s="6">
        <v>11</v>
      </c>
      <c r="S368" s="6">
        <v>56</v>
      </c>
      <c r="T368" s="6">
        <v>67</v>
      </c>
      <c r="U368" s="8">
        <f t="shared" si="56"/>
        <v>0.79527479290924885</v>
      </c>
      <c r="V368" s="8" t="str">
        <f t="shared" si="57"/>
        <v>Normal</v>
      </c>
      <c r="W368" s="8">
        <f t="shared" si="58"/>
        <v>5.4641536816663616E-2</v>
      </c>
      <c r="X368" s="8" t="str">
        <f t="shared" si="59"/>
        <v>Normal</v>
      </c>
    </row>
    <row r="369" spans="1:24" x14ac:dyDescent="0.25">
      <c r="A369" s="6">
        <v>368</v>
      </c>
      <c r="B369" s="7">
        <v>40559</v>
      </c>
      <c r="C369" s="6">
        <v>1</v>
      </c>
      <c r="D369" s="6" t="str">
        <f t="shared" si="50"/>
        <v>january</v>
      </c>
      <c r="E369" s="6">
        <v>19</v>
      </c>
      <c r="F369" s="6" t="str">
        <f t="shared" si="51"/>
        <v>Evening</v>
      </c>
      <c r="G369" s="6" t="b">
        <v>0</v>
      </c>
      <c r="H369" s="6">
        <f t="shared" si="52"/>
        <v>0</v>
      </c>
      <c r="I369" s="6">
        <v>0</v>
      </c>
      <c r="J369" s="6" t="str">
        <f t="shared" si="53"/>
        <v>Sunday</v>
      </c>
      <c r="K369" s="6">
        <f t="shared" si="54"/>
        <v>1</v>
      </c>
      <c r="L369" s="6">
        <v>1</v>
      </c>
      <c r="M369" s="6" t="str">
        <f t="shared" si="55"/>
        <v>Partly cloudy</v>
      </c>
      <c r="N369" s="8">
        <v>0.18</v>
      </c>
      <c r="O369" s="8">
        <v>0.19700000000000001</v>
      </c>
      <c r="P369" s="8">
        <v>0.47</v>
      </c>
      <c r="Q369" s="8">
        <v>0.1343</v>
      </c>
      <c r="R369" s="6">
        <v>14</v>
      </c>
      <c r="S369" s="6">
        <v>47</v>
      </c>
      <c r="T369" s="6">
        <v>61</v>
      </c>
      <c r="U369" s="8">
        <f t="shared" si="56"/>
        <v>1.1877446693244071</v>
      </c>
      <c r="V369" s="8" t="str">
        <f t="shared" si="57"/>
        <v>Normal</v>
      </c>
      <c r="W369" s="8">
        <f t="shared" si="58"/>
        <v>-0.13327356878133906</v>
      </c>
      <c r="X369" s="8" t="str">
        <f t="shared" si="59"/>
        <v>Normal</v>
      </c>
    </row>
    <row r="370" spans="1:24" x14ac:dyDescent="0.25">
      <c r="A370" s="6">
        <v>369</v>
      </c>
      <c r="B370" s="7">
        <v>40559</v>
      </c>
      <c r="C370" s="6">
        <v>1</v>
      </c>
      <c r="D370" s="6" t="str">
        <f t="shared" si="50"/>
        <v>january</v>
      </c>
      <c r="E370" s="6">
        <v>20</v>
      </c>
      <c r="F370" s="6" t="str">
        <f t="shared" si="51"/>
        <v>Evening</v>
      </c>
      <c r="G370" s="6" t="b">
        <v>0</v>
      </c>
      <c r="H370" s="6">
        <f t="shared" si="52"/>
        <v>0</v>
      </c>
      <c r="I370" s="6">
        <v>0</v>
      </c>
      <c r="J370" s="6" t="str">
        <f t="shared" si="53"/>
        <v>Sunday</v>
      </c>
      <c r="K370" s="6">
        <f t="shared" si="54"/>
        <v>1</v>
      </c>
      <c r="L370" s="6">
        <v>1</v>
      </c>
      <c r="M370" s="6" t="str">
        <f t="shared" si="55"/>
        <v>Partly cloudy</v>
      </c>
      <c r="N370" s="8">
        <v>0.18</v>
      </c>
      <c r="O370" s="8">
        <v>0.19700000000000001</v>
      </c>
      <c r="P370" s="8">
        <v>0.47</v>
      </c>
      <c r="Q370" s="8">
        <v>0.16420000000000001</v>
      </c>
      <c r="R370" s="6">
        <v>7</v>
      </c>
      <c r="S370" s="6">
        <v>50</v>
      </c>
      <c r="T370" s="6">
        <v>57</v>
      </c>
      <c r="U370" s="8">
        <f t="shared" si="56"/>
        <v>0.27198162435570455</v>
      </c>
      <c r="V370" s="8" t="str">
        <f t="shared" si="57"/>
        <v>Normal</v>
      </c>
      <c r="W370" s="8">
        <f t="shared" si="58"/>
        <v>-7.0635200248671509E-2</v>
      </c>
      <c r="X370" s="8" t="str">
        <f t="shared" si="59"/>
        <v>Normal</v>
      </c>
    </row>
    <row r="371" spans="1:24" x14ac:dyDescent="0.25">
      <c r="A371" s="6">
        <v>370</v>
      </c>
      <c r="B371" s="7">
        <v>40559</v>
      </c>
      <c r="C371" s="6">
        <v>1</v>
      </c>
      <c r="D371" s="6" t="str">
        <f t="shared" si="50"/>
        <v>january</v>
      </c>
      <c r="E371" s="6">
        <v>21</v>
      </c>
      <c r="F371" s="6" t="str">
        <f t="shared" si="51"/>
        <v>Night</v>
      </c>
      <c r="G371" s="6" t="b">
        <v>0</v>
      </c>
      <c r="H371" s="6">
        <f t="shared" si="52"/>
        <v>0</v>
      </c>
      <c r="I371" s="6">
        <v>0</v>
      </c>
      <c r="J371" s="6" t="str">
        <f t="shared" si="53"/>
        <v>Sunday</v>
      </c>
      <c r="K371" s="6">
        <f t="shared" si="54"/>
        <v>1</v>
      </c>
      <c r="L371" s="6">
        <v>1</v>
      </c>
      <c r="M371" s="6" t="str">
        <f t="shared" si="55"/>
        <v>Partly cloudy</v>
      </c>
      <c r="N371" s="8">
        <v>0.18</v>
      </c>
      <c r="O371" s="8">
        <v>0.19700000000000001</v>
      </c>
      <c r="P371" s="8">
        <v>0.51</v>
      </c>
      <c r="Q371" s="8">
        <v>0.16420000000000001</v>
      </c>
      <c r="R371" s="6">
        <v>6</v>
      </c>
      <c r="S371" s="6">
        <v>22</v>
      </c>
      <c r="T371" s="6">
        <v>28</v>
      </c>
      <c r="U371" s="8">
        <f t="shared" si="56"/>
        <v>0.14115833221731852</v>
      </c>
      <c r="V371" s="8" t="str">
        <f t="shared" si="57"/>
        <v>Normal</v>
      </c>
      <c r="W371" s="8">
        <f t="shared" si="58"/>
        <v>-0.65525997322023544</v>
      </c>
      <c r="X371" s="8" t="str">
        <f t="shared" si="59"/>
        <v>Normal</v>
      </c>
    </row>
    <row r="372" spans="1:24" x14ac:dyDescent="0.25">
      <c r="A372" s="6">
        <v>371</v>
      </c>
      <c r="B372" s="7">
        <v>40559</v>
      </c>
      <c r="C372" s="6">
        <v>1</v>
      </c>
      <c r="D372" s="6" t="str">
        <f t="shared" si="50"/>
        <v>january</v>
      </c>
      <c r="E372" s="6">
        <v>22</v>
      </c>
      <c r="F372" s="6" t="str">
        <f t="shared" si="51"/>
        <v>Night</v>
      </c>
      <c r="G372" s="6" t="b">
        <v>0</v>
      </c>
      <c r="H372" s="6">
        <f t="shared" si="52"/>
        <v>0</v>
      </c>
      <c r="I372" s="6">
        <v>0</v>
      </c>
      <c r="J372" s="6" t="str">
        <f t="shared" si="53"/>
        <v>Sunday</v>
      </c>
      <c r="K372" s="6">
        <f t="shared" si="54"/>
        <v>1</v>
      </c>
      <c r="L372" s="6">
        <v>2</v>
      </c>
      <c r="M372" s="6" t="str">
        <f t="shared" si="55"/>
        <v>Cloudy</v>
      </c>
      <c r="N372" s="8">
        <v>0.2</v>
      </c>
      <c r="O372" s="8">
        <v>0.21210000000000001</v>
      </c>
      <c r="P372" s="8">
        <v>0.49</v>
      </c>
      <c r="Q372" s="8">
        <v>0.1343</v>
      </c>
      <c r="R372" s="6">
        <v>2</v>
      </c>
      <c r="S372" s="6">
        <v>19</v>
      </c>
      <c r="T372" s="6">
        <v>21</v>
      </c>
      <c r="U372" s="8">
        <f t="shared" si="56"/>
        <v>-0.38213483633622569</v>
      </c>
      <c r="V372" s="8" t="str">
        <f t="shared" si="57"/>
        <v>Normal</v>
      </c>
      <c r="W372" s="8">
        <f t="shared" si="58"/>
        <v>-0.71789834175290301</v>
      </c>
      <c r="X372" s="8" t="str">
        <f t="shared" si="59"/>
        <v>Normal</v>
      </c>
    </row>
    <row r="373" spans="1:24" x14ac:dyDescent="0.25">
      <c r="A373" s="6">
        <v>372</v>
      </c>
      <c r="B373" s="7">
        <v>40559</v>
      </c>
      <c r="C373" s="6">
        <v>1</v>
      </c>
      <c r="D373" s="6" t="str">
        <f t="shared" si="50"/>
        <v>january</v>
      </c>
      <c r="E373" s="6">
        <v>23</v>
      </c>
      <c r="F373" s="6" t="str">
        <f t="shared" si="51"/>
        <v>Night</v>
      </c>
      <c r="G373" s="6" t="b">
        <v>0</v>
      </c>
      <c r="H373" s="6">
        <f t="shared" si="52"/>
        <v>0</v>
      </c>
      <c r="I373" s="6">
        <v>0</v>
      </c>
      <c r="J373" s="6" t="str">
        <f t="shared" si="53"/>
        <v>Sunday</v>
      </c>
      <c r="K373" s="6">
        <f t="shared" si="54"/>
        <v>1</v>
      </c>
      <c r="L373" s="6">
        <v>2</v>
      </c>
      <c r="M373" s="6" t="str">
        <f t="shared" si="55"/>
        <v>Cloudy</v>
      </c>
      <c r="N373" s="8">
        <v>0.2</v>
      </c>
      <c r="O373" s="8">
        <v>0.2273</v>
      </c>
      <c r="P373" s="8">
        <v>0.4</v>
      </c>
      <c r="Q373" s="8">
        <v>0.1045</v>
      </c>
      <c r="R373" s="6">
        <v>0</v>
      </c>
      <c r="S373" s="6">
        <v>18</v>
      </c>
      <c r="T373" s="6">
        <v>18</v>
      </c>
      <c r="U373" s="8">
        <f t="shared" si="56"/>
        <v>-0.64378142061299781</v>
      </c>
      <c r="V373" s="8" t="str">
        <f t="shared" si="57"/>
        <v>Normal</v>
      </c>
      <c r="W373" s="8">
        <f t="shared" si="58"/>
        <v>-0.73877779793045883</v>
      </c>
      <c r="X373" s="8" t="str">
        <f t="shared" si="59"/>
        <v>Normal</v>
      </c>
    </row>
    <row r="374" spans="1:24" x14ac:dyDescent="0.25">
      <c r="A374" s="6">
        <v>373</v>
      </c>
      <c r="B374" s="7">
        <v>40560</v>
      </c>
      <c r="C374" s="6">
        <v>1</v>
      </c>
      <c r="D374" s="6" t="str">
        <f t="shared" si="50"/>
        <v>january</v>
      </c>
      <c r="E374" s="6">
        <v>0</v>
      </c>
      <c r="F374" s="6" t="str">
        <f t="shared" si="51"/>
        <v>Night</v>
      </c>
      <c r="G374" s="6" t="b">
        <v>1</v>
      </c>
      <c r="H374" s="6">
        <f t="shared" si="52"/>
        <v>1</v>
      </c>
      <c r="I374" s="6">
        <v>1</v>
      </c>
      <c r="J374" s="6" t="str">
        <f t="shared" si="53"/>
        <v>Monday</v>
      </c>
      <c r="K374" s="6">
        <f t="shared" si="54"/>
        <v>0</v>
      </c>
      <c r="L374" s="6">
        <v>2</v>
      </c>
      <c r="M374" s="6" t="str">
        <f t="shared" si="55"/>
        <v>Cloudy</v>
      </c>
      <c r="N374" s="8">
        <v>0.2</v>
      </c>
      <c r="O374" s="8">
        <v>0.19700000000000001</v>
      </c>
      <c r="P374" s="8">
        <v>0.47</v>
      </c>
      <c r="Q374" s="8">
        <v>0.22389999999999999</v>
      </c>
      <c r="R374" s="6">
        <v>1</v>
      </c>
      <c r="S374" s="6">
        <v>16</v>
      </c>
      <c r="T374" s="6">
        <v>17</v>
      </c>
      <c r="U374" s="8">
        <f t="shared" si="56"/>
        <v>-0.51295812847461175</v>
      </c>
      <c r="V374" s="8" t="str">
        <f t="shared" si="57"/>
        <v>Normal</v>
      </c>
      <c r="W374" s="8">
        <f t="shared" si="58"/>
        <v>-0.78053671028557059</v>
      </c>
      <c r="X374" s="8" t="str">
        <f t="shared" si="59"/>
        <v>Normal</v>
      </c>
    </row>
    <row r="375" spans="1:24" x14ac:dyDescent="0.25">
      <c r="A375" s="6">
        <v>374</v>
      </c>
      <c r="B375" s="7">
        <v>40560</v>
      </c>
      <c r="C375" s="6">
        <v>1</v>
      </c>
      <c r="D375" s="6" t="str">
        <f t="shared" si="50"/>
        <v>january</v>
      </c>
      <c r="E375" s="6">
        <v>1</v>
      </c>
      <c r="F375" s="6" t="str">
        <f t="shared" si="51"/>
        <v>Night</v>
      </c>
      <c r="G375" s="6" t="b">
        <v>1</v>
      </c>
      <c r="H375" s="6">
        <f t="shared" si="52"/>
        <v>1</v>
      </c>
      <c r="I375" s="6">
        <v>1</v>
      </c>
      <c r="J375" s="6" t="str">
        <f t="shared" si="53"/>
        <v>Monday</v>
      </c>
      <c r="K375" s="6">
        <f t="shared" si="54"/>
        <v>0</v>
      </c>
      <c r="L375" s="6">
        <v>2</v>
      </c>
      <c r="M375" s="6" t="str">
        <f t="shared" si="55"/>
        <v>Cloudy</v>
      </c>
      <c r="N375" s="8">
        <v>0.2</v>
      </c>
      <c r="O375" s="8">
        <v>0.19700000000000001</v>
      </c>
      <c r="P375" s="8">
        <v>0.44</v>
      </c>
      <c r="Q375" s="8">
        <v>0.19400000000000001</v>
      </c>
      <c r="R375" s="6">
        <v>1</v>
      </c>
      <c r="S375" s="6">
        <v>15</v>
      </c>
      <c r="T375" s="6">
        <v>16</v>
      </c>
      <c r="U375" s="8">
        <f t="shared" si="56"/>
        <v>-0.51295812847461175</v>
      </c>
      <c r="V375" s="8" t="str">
        <f t="shared" si="57"/>
        <v>Normal</v>
      </c>
      <c r="W375" s="8">
        <f t="shared" si="58"/>
        <v>-0.80141616646312641</v>
      </c>
      <c r="X375" s="8" t="str">
        <f t="shared" si="59"/>
        <v>Normal</v>
      </c>
    </row>
    <row r="376" spans="1:24" x14ac:dyDescent="0.25">
      <c r="A376" s="6">
        <v>375</v>
      </c>
      <c r="B376" s="7">
        <v>40560</v>
      </c>
      <c r="C376" s="6">
        <v>1</v>
      </c>
      <c r="D376" s="6" t="str">
        <f t="shared" si="50"/>
        <v>january</v>
      </c>
      <c r="E376" s="6">
        <v>2</v>
      </c>
      <c r="F376" s="6" t="str">
        <f t="shared" si="51"/>
        <v>Night</v>
      </c>
      <c r="G376" s="6" t="b">
        <v>1</v>
      </c>
      <c r="H376" s="6">
        <f t="shared" si="52"/>
        <v>1</v>
      </c>
      <c r="I376" s="6">
        <v>1</v>
      </c>
      <c r="J376" s="6" t="str">
        <f t="shared" si="53"/>
        <v>Monday</v>
      </c>
      <c r="K376" s="6">
        <f t="shared" si="54"/>
        <v>0</v>
      </c>
      <c r="L376" s="6">
        <v>2</v>
      </c>
      <c r="M376" s="6" t="str">
        <f t="shared" si="55"/>
        <v>Cloudy</v>
      </c>
      <c r="N376" s="8">
        <v>0.18</v>
      </c>
      <c r="O376" s="8">
        <v>0.16669999999999999</v>
      </c>
      <c r="P376" s="8">
        <v>0.43</v>
      </c>
      <c r="Q376" s="8">
        <v>0.25369999999999998</v>
      </c>
      <c r="R376" s="6">
        <v>0</v>
      </c>
      <c r="S376" s="6">
        <v>8</v>
      </c>
      <c r="T376" s="6">
        <v>8</v>
      </c>
      <c r="U376" s="8">
        <f t="shared" si="56"/>
        <v>-0.64378142061299781</v>
      </c>
      <c r="V376" s="8" t="str">
        <f t="shared" si="57"/>
        <v>Normal</v>
      </c>
      <c r="W376" s="8">
        <f t="shared" si="58"/>
        <v>-0.94757235970601739</v>
      </c>
      <c r="X376" s="8" t="str">
        <f t="shared" si="59"/>
        <v>Normal</v>
      </c>
    </row>
    <row r="377" spans="1:24" x14ac:dyDescent="0.25">
      <c r="A377" s="6">
        <v>376</v>
      </c>
      <c r="B377" s="7">
        <v>40560</v>
      </c>
      <c r="C377" s="6">
        <v>1</v>
      </c>
      <c r="D377" s="6" t="str">
        <f t="shared" si="50"/>
        <v>january</v>
      </c>
      <c r="E377" s="6">
        <v>3</v>
      </c>
      <c r="F377" s="6" t="str">
        <f t="shared" si="51"/>
        <v>Night</v>
      </c>
      <c r="G377" s="6" t="b">
        <v>1</v>
      </c>
      <c r="H377" s="6">
        <f t="shared" si="52"/>
        <v>1</v>
      </c>
      <c r="I377" s="6">
        <v>1</v>
      </c>
      <c r="J377" s="6" t="str">
        <f t="shared" si="53"/>
        <v>Monday</v>
      </c>
      <c r="K377" s="6">
        <f t="shared" si="54"/>
        <v>0</v>
      </c>
      <c r="L377" s="6">
        <v>2</v>
      </c>
      <c r="M377" s="6" t="str">
        <f t="shared" si="55"/>
        <v>Cloudy</v>
      </c>
      <c r="N377" s="8">
        <v>0.18</v>
      </c>
      <c r="O377" s="8">
        <v>0.18179999999999999</v>
      </c>
      <c r="P377" s="8">
        <v>0.43</v>
      </c>
      <c r="Q377" s="8">
        <v>0.19400000000000001</v>
      </c>
      <c r="R377" s="6">
        <v>0</v>
      </c>
      <c r="S377" s="6">
        <v>2</v>
      </c>
      <c r="T377" s="6">
        <v>2</v>
      </c>
      <c r="U377" s="8">
        <f t="shared" si="56"/>
        <v>-0.64378142061299781</v>
      </c>
      <c r="V377" s="8" t="str">
        <f t="shared" si="57"/>
        <v>Normal</v>
      </c>
      <c r="W377" s="8">
        <f t="shared" si="58"/>
        <v>-1.0728490967713524</v>
      </c>
      <c r="X377" s="8" t="str">
        <f t="shared" si="59"/>
        <v>Normal</v>
      </c>
    </row>
    <row r="378" spans="1:24" x14ac:dyDescent="0.25">
      <c r="A378" s="6">
        <v>377</v>
      </c>
      <c r="B378" s="7">
        <v>40560</v>
      </c>
      <c r="C378" s="6">
        <v>1</v>
      </c>
      <c r="D378" s="6" t="str">
        <f t="shared" si="50"/>
        <v>january</v>
      </c>
      <c r="E378" s="6">
        <v>4</v>
      </c>
      <c r="F378" s="6" t="str">
        <f t="shared" si="51"/>
        <v>Night</v>
      </c>
      <c r="G378" s="6" t="b">
        <v>1</v>
      </c>
      <c r="H378" s="6">
        <f t="shared" si="52"/>
        <v>1</v>
      </c>
      <c r="I378" s="6">
        <v>1</v>
      </c>
      <c r="J378" s="6" t="str">
        <f t="shared" si="53"/>
        <v>Monday</v>
      </c>
      <c r="K378" s="6">
        <f t="shared" si="54"/>
        <v>0</v>
      </c>
      <c r="L378" s="6">
        <v>2</v>
      </c>
      <c r="M378" s="6" t="str">
        <f t="shared" si="55"/>
        <v>Cloudy</v>
      </c>
      <c r="N378" s="8">
        <v>0.18</v>
      </c>
      <c r="O378" s="8">
        <v>0.19700000000000001</v>
      </c>
      <c r="P378" s="8">
        <v>0.43</v>
      </c>
      <c r="Q378" s="8">
        <v>0.1343</v>
      </c>
      <c r="R378" s="6">
        <v>1</v>
      </c>
      <c r="S378" s="6">
        <v>2</v>
      </c>
      <c r="T378" s="6">
        <v>3</v>
      </c>
      <c r="U378" s="8">
        <f t="shared" si="56"/>
        <v>-0.51295812847461175</v>
      </c>
      <c r="V378" s="8" t="str">
        <f t="shared" si="57"/>
        <v>Normal</v>
      </c>
      <c r="W378" s="8">
        <f t="shared" si="58"/>
        <v>-1.0728490967713524</v>
      </c>
      <c r="X378" s="8" t="str">
        <f t="shared" si="59"/>
        <v>Normal</v>
      </c>
    </row>
    <row r="379" spans="1:24" x14ac:dyDescent="0.25">
      <c r="A379" s="6">
        <v>378</v>
      </c>
      <c r="B379" s="7">
        <v>40560</v>
      </c>
      <c r="C379" s="6">
        <v>1</v>
      </c>
      <c r="D379" s="6" t="str">
        <f t="shared" si="50"/>
        <v>january</v>
      </c>
      <c r="E379" s="6">
        <v>5</v>
      </c>
      <c r="F379" s="6" t="str">
        <f t="shared" si="51"/>
        <v>Early Morning</v>
      </c>
      <c r="G379" s="6" t="b">
        <v>1</v>
      </c>
      <c r="H379" s="6">
        <f t="shared" si="52"/>
        <v>1</v>
      </c>
      <c r="I379" s="6">
        <v>1</v>
      </c>
      <c r="J379" s="6" t="str">
        <f t="shared" si="53"/>
        <v>Monday</v>
      </c>
      <c r="K379" s="6">
        <f t="shared" si="54"/>
        <v>0</v>
      </c>
      <c r="L379" s="6">
        <v>2</v>
      </c>
      <c r="M379" s="6" t="str">
        <f t="shared" si="55"/>
        <v>Cloudy</v>
      </c>
      <c r="N379" s="8">
        <v>0.18</v>
      </c>
      <c r="O379" s="8">
        <v>0.19700000000000001</v>
      </c>
      <c r="P379" s="8">
        <v>0.43</v>
      </c>
      <c r="Q379" s="8">
        <v>0.16420000000000001</v>
      </c>
      <c r="R379" s="6">
        <v>0</v>
      </c>
      <c r="S379" s="6">
        <v>1</v>
      </c>
      <c r="T379" s="6">
        <v>1</v>
      </c>
      <c r="U379" s="8">
        <f t="shared" si="56"/>
        <v>-0.64378142061299781</v>
      </c>
      <c r="V379" s="8" t="str">
        <f t="shared" si="57"/>
        <v>Normal</v>
      </c>
      <c r="W379" s="8">
        <f t="shared" si="58"/>
        <v>-1.0937285529489083</v>
      </c>
      <c r="X379" s="8" t="str">
        <f t="shared" si="59"/>
        <v>Normal</v>
      </c>
    </row>
    <row r="380" spans="1:24" x14ac:dyDescent="0.25">
      <c r="A380" s="6">
        <v>379</v>
      </c>
      <c r="B380" s="7">
        <v>40560</v>
      </c>
      <c r="C380" s="6">
        <v>1</v>
      </c>
      <c r="D380" s="6" t="str">
        <f t="shared" si="50"/>
        <v>january</v>
      </c>
      <c r="E380" s="6">
        <v>6</v>
      </c>
      <c r="F380" s="6" t="str">
        <f t="shared" si="51"/>
        <v>Early Morning</v>
      </c>
      <c r="G380" s="6" t="b">
        <v>1</v>
      </c>
      <c r="H380" s="6">
        <f t="shared" si="52"/>
        <v>1</v>
      </c>
      <c r="I380" s="6">
        <v>1</v>
      </c>
      <c r="J380" s="6" t="str">
        <f t="shared" si="53"/>
        <v>Monday</v>
      </c>
      <c r="K380" s="6">
        <f t="shared" si="54"/>
        <v>0</v>
      </c>
      <c r="L380" s="6">
        <v>2</v>
      </c>
      <c r="M380" s="6" t="str">
        <f t="shared" si="55"/>
        <v>Cloudy</v>
      </c>
      <c r="N380" s="8">
        <v>0.18</v>
      </c>
      <c r="O380" s="8">
        <v>0.18179999999999999</v>
      </c>
      <c r="P380" s="8">
        <v>0.43</v>
      </c>
      <c r="Q380" s="8">
        <v>0.19400000000000001</v>
      </c>
      <c r="R380" s="6">
        <v>0</v>
      </c>
      <c r="S380" s="6">
        <v>5</v>
      </c>
      <c r="T380" s="6">
        <v>5</v>
      </c>
      <c r="U380" s="8">
        <f t="shared" si="56"/>
        <v>-0.64378142061299781</v>
      </c>
      <c r="V380" s="8" t="str">
        <f t="shared" si="57"/>
        <v>Normal</v>
      </c>
      <c r="W380" s="8">
        <f t="shared" si="58"/>
        <v>-1.010210728238685</v>
      </c>
      <c r="X380" s="8" t="str">
        <f t="shared" si="59"/>
        <v>Normal</v>
      </c>
    </row>
    <row r="381" spans="1:24" x14ac:dyDescent="0.25">
      <c r="A381" s="6">
        <v>380</v>
      </c>
      <c r="B381" s="7">
        <v>40560</v>
      </c>
      <c r="C381" s="6">
        <v>1</v>
      </c>
      <c r="D381" s="6" t="str">
        <f t="shared" si="50"/>
        <v>january</v>
      </c>
      <c r="E381" s="6">
        <v>7</v>
      </c>
      <c r="F381" s="6" t="str">
        <f t="shared" si="51"/>
        <v>Early Morning</v>
      </c>
      <c r="G381" s="6" t="b">
        <v>1</v>
      </c>
      <c r="H381" s="6">
        <f t="shared" si="52"/>
        <v>1</v>
      </c>
      <c r="I381" s="6">
        <v>1</v>
      </c>
      <c r="J381" s="6" t="str">
        <f t="shared" si="53"/>
        <v>Monday</v>
      </c>
      <c r="K381" s="6">
        <f t="shared" si="54"/>
        <v>0</v>
      </c>
      <c r="L381" s="6">
        <v>2</v>
      </c>
      <c r="M381" s="6" t="str">
        <f t="shared" si="55"/>
        <v>Cloudy</v>
      </c>
      <c r="N381" s="8">
        <v>0.16</v>
      </c>
      <c r="O381" s="8">
        <v>0.18179999999999999</v>
      </c>
      <c r="P381" s="8">
        <v>0.5</v>
      </c>
      <c r="Q381" s="8">
        <v>0.1343</v>
      </c>
      <c r="R381" s="6">
        <v>4</v>
      </c>
      <c r="S381" s="6">
        <v>9</v>
      </c>
      <c r="T381" s="6">
        <v>13</v>
      </c>
      <c r="U381" s="8">
        <f t="shared" si="56"/>
        <v>-0.1204882520594536</v>
      </c>
      <c r="V381" s="8" t="str">
        <f t="shared" si="57"/>
        <v>Normal</v>
      </c>
      <c r="W381" s="8">
        <f t="shared" si="58"/>
        <v>-0.92669290352846156</v>
      </c>
      <c r="X381" s="8" t="str">
        <f t="shared" si="59"/>
        <v>Normal</v>
      </c>
    </row>
    <row r="382" spans="1:24" x14ac:dyDescent="0.25">
      <c r="A382" s="6">
        <v>381</v>
      </c>
      <c r="B382" s="7">
        <v>40560</v>
      </c>
      <c r="C382" s="6">
        <v>1</v>
      </c>
      <c r="D382" s="6" t="str">
        <f t="shared" si="50"/>
        <v>january</v>
      </c>
      <c r="E382" s="6">
        <v>8</v>
      </c>
      <c r="F382" s="6" t="str">
        <f t="shared" si="51"/>
        <v>Morning</v>
      </c>
      <c r="G382" s="6" t="b">
        <v>1</v>
      </c>
      <c r="H382" s="6">
        <f t="shared" si="52"/>
        <v>1</v>
      </c>
      <c r="I382" s="6">
        <v>1</v>
      </c>
      <c r="J382" s="6" t="str">
        <f t="shared" si="53"/>
        <v>Monday</v>
      </c>
      <c r="K382" s="6">
        <f t="shared" si="54"/>
        <v>0</v>
      </c>
      <c r="L382" s="6">
        <v>2</v>
      </c>
      <c r="M382" s="6" t="str">
        <f t="shared" si="55"/>
        <v>Cloudy</v>
      </c>
      <c r="N382" s="8">
        <v>0.16</v>
      </c>
      <c r="O382" s="8">
        <v>0.1515</v>
      </c>
      <c r="P382" s="8">
        <v>0.47</v>
      </c>
      <c r="Q382" s="8">
        <v>0.22389999999999999</v>
      </c>
      <c r="R382" s="6">
        <v>3</v>
      </c>
      <c r="S382" s="6">
        <v>30</v>
      </c>
      <c r="T382" s="6">
        <v>33</v>
      </c>
      <c r="U382" s="8">
        <f t="shared" si="56"/>
        <v>-0.25131154419783963</v>
      </c>
      <c r="V382" s="8" t="str">
        <f t="shared" si="57"/>
        <v>Normal</v>
      </c>
      <c r="W382" s="8">
        <f t="shared" si="58"/>
        <v>-0.48822432379978858</v>
      </c>
      <c r="X382" s="8" t="str">
        <f t="shared" si="59"/>
        <v>Normal</v>
      </c>
    </row>
    <row r="383" spans="1:24" x14ac:dyDescent="0.25">
      <c r="A383" s="6">
        <v>382</v>
      </c>
      <c r="B383" s="7">
        <v>40560</v>
      </c>
      <c r="C383" s="6">
        <v>1</v>
      </c>
      <c r="D383" s="6" t="str">
        <f t="shared" si="50"/>
        <v>january</v>
      </c>
      <c r="E383" s="6">
        <v>9</v>
      </c>
      <c r="F383" s="6" t="str">
        <f t="shared" si="51"/>
        <v>Morning</v>
      </c>
      <c r="G383" s="6" t="b">
        <v>1</v>
      </c>
      <c r="H383" s="6">
        <f t="shared" si="52"/>
        <v>1</v>
      </c>
      <c r="I383" s="6">
        <v>1</v>
      </c>
      <c r="J383" s="6" t="str">
        <f t="shared" si="53"/>
        <v>Monday</v>
      </c>
      <c r="K383" s="6">
        <f t="shared" si="54"/>
        <v>0</v>
      </c>
      <c r="L383" s="6">
        <v>2</v>
      </c>
      <c r="M383" s="6" t="str">
        <f t="shared" si="55"/>
        <v>Cloudy</v>
      </c>
      <c r="N383" s="8">
        <v>0.16</v>
      </c>
      <c r="O383" s="8">
        <v>0.1515</v>
      </c>
      <c r="P383" s="8">
        <v>0.47</v>
      </c>
      <c r="Q383" s="8">
        <v>0.22389999999999999</v>
      </c>
      <c r="R383" s="6">
        <v>8</v>
      </c>
      <c r="S383" s="6">
        <v>39</v>
      </c>
      <c r="T383" s="6">
        <v>47</v>
      </c>
      <c r="U383" s="8">
        <f t="shared" si="56"/>
        <v>0.40280491649409061</v>
      </c>
      <c r="V383" s="8" t="str">
        <f t="shared" si="57"/>
        <v>Normal</v>
      </c>
      <c r="W383" s="8">
        <f t="shared" si="58"/>
        <v>-0.30030921820178591</v>
      </c>
      <c r="X383" s="8" t="str">
        <f t="shared" si="59"/>
        <v>Normal</v>
      </c>
    </row>
    <row r="384" spans="1:24" x14ac:dyDescent="0.25">
      <c r="A384" s="6">
        <v>383</v>
      </c>
      <c r="B384" s="7">
        <v>40560</v>
      </c>
      <c r="C384" s="6">
        <v>1</v>
      </c>
      <c r="D384" s="6" t="str">
        <f t="shared" si="50"/>
        <v>january</v>
      </c>
      <c r="E384" s="6">
        <v>10</v>
      </c>
      <c r="F384" s="6" t="str">
        <f t="shared" si="51"/>
        <v>Morning</v>
      </c>
      <c r="G384" s="6" t="b">
        <v>1</v>
      </c>
      <c r="H384" s="6">
        <f t="shared" si="52"/>
        <v>1</v>
      </c>
      <c r="I384" s="6">
        <v>1</v>
      </c>
      <c r="J384" s="6" t="str">
        <f t="shared" si="53"/>
        <v>Monday</v>
      </c>
      <c r="K384" s="6">
        <f t="shared" si="54"/>
        <v>0</v>
      </c>
      <c r="L384" s="6">
        <v>2</v>
      </c>
      <c r="M384" s="6" t="str">
        <f t="shared" si="55"/>
        <v>Cloudy</v>
      </c>
      <c r="N384" s="8">
        <v>0.16</v>
      </c>
      <c r="O384" s="8">
        <v>0.1515</v>
      </c>
      <c r="P384" s="8">
        <v>0.5</v>
      </c>
      <c r="Q384" s="8">
        <v>0.25369999999999998</v>
      </c>
      <c r="R384" s="6">
        <v>7</v>
      </c>
      <c r="S384" s="6">
        <v>50</v>
      </c>
      <c r="T384" s="6">
        <v>57</v>
      </c>
      <c r="U384" s="8">
        <f t="shared" si="56"/>
        <v>0.27198162435570455</v>
      </c>
      <c r="V384" s="8" t="str">
        <f t="shared" si="57"/>
        <v>Normal</v>
      </c>
      <c r="W384" s="8">
        <f t="shared" si="58"/>
        <v>-7.0635200248671509E-2</v>
      </c>
      <c r="X384" s="8" t="str">
        <f t="shared" si="59"/>
        <v>Normal</v>
      </c>
    </row>
    <row r="385" spans="1:24" x14ac:dyDescent="0.25">
      <c r="A385" s="6">
        <v>384</v>
      </c>
      <c r="B385" s="7">
        <v>40560</v>
      </c>
      <c r="C385" s="6">
        <v>1</v>
      </c>
      <c r="D385" s="6" t="str">
        <f t="shared" si="50"/>
        <v>january</v>
      </c>
      <c r="E385" s="6">
        <v>11</v>
      </c>
      <c r="F385" s="6" t="str">
        <f t="shared" si="51"/>
        <v>Morning</v>
      </c>
      <c r="G385" s="6" t="b">
        <v>1</v>
      </c>
      <c r="H385" s="6">
        <f t="shared" si="52"/>
        <v>1</v>
      </c>
      <c r="I385" s="6">
        <v>1</v>
      </c>
      <c r="J385" s="6" t="str">
        <f t="shared" si="53"/>
        <v>Monday</v>
      </c>
      <c r="K385" s="6">
        <f t="shared" si="54"/>
        <v>0</v>
      </c>
      <c r="L385" s="6">
        <v>2</v>
      </c>
      <c r="M385" s="6" t="str">
        <f t="shared" si="55"/>
        <v>Cloudy</v>
      </c>
      <c r="N385" s="8">
        <v>0.16</v>
      </c>
      <c r="O385" s="8">
        <v>0.1515</v>
      </c>
      <c r="P385" s="8">
        <v>0.55000000000000004</v>
      </c>
      <c r="Q385" s="8">
        <v>0.19400000000000001</v>
      </c>
      <c r="R385" s="6">
        <v>9</v>
      </c>
      <c r="S385" s="6">
        <v>55</v>
      </c>
      <c r="T385" s="6">
        <v>64</v>
      </c>
      <c r="U385" s="8">
        <f t="shared" si="56"/>
        <v>0.53362820863247673</v>
      </c>
      <c r="V385" s="8" t="str">
        <f t="shared" si="57"/>
        <v>Normal</v>
      </c>
      <c r="W385" s="8">
        <f t="shared" si="58"/>
        <v>3.376208063910776E-2</v>
      </c>
      <c r="X385" s="8" t="str">
        <f t="shared" si="59"/>
        <v>Normal</v>
      </c>
    </row>
    <row r="386" spans="1:24" x14ac:dyDescent="0.25">
      <c r="A386" s="6">
        <v>385</v>
      </c>
      <c r="B386" s="7">
        <v>40560</v>
      </c>
      <c r="C386" s="6">
        <v>1</v>
      </c>
      <c r="D386" s="6" t="str">
        <f t="shared" ref="D386:D449" si="60">IF(C386=1,"january",IF(C386=2,"february"))</f>
        <v>january</v>
      </c>
      <c r="E386" s="6">
        <v>12</v>
      </c>
      <c r="F386" s="6" t="str">
        <f t="shared" ref="F386:F449" si="61">IF(AND(E386&gt;=5,E386&lt;8),"Early Morning", IF(AND(E386&gt;=8,E386&lt;12),"Morning", IF(AND(E386&gt;=12,E386&lt;17),"Afternoon", IF(AND(E386&gt;=17,E386&lt;21),"Evening","Night"))))</f>
        <v>Afternoon</v>
      </c>
      <c r="G386" s="6" t="b">
        <v>1</v>
      </c>
      <c r="H386" s="6">
        <f t="shared" ref="H386:H449" si="62">IF(G386=FALSE,0,IF(G386=TRUE,1))</f>
        <v>1</v>
      </c>
      <c r="I386" s="6">
        <v>1</v>
      </c>
      <c r="J386" s="6" t="str">
        <f t="shared" ref="J386:J449" si="63">TEXT(B386,"dddd")</f>
        <v>Monday</v>
      </c>
      <c r="K386" s="6">
        <f t="shared" ref="K386:K449" si="64">IF(OR(J386="Saturday",J386="Sunday"),1,0)</f>
        <v>0</v>
      </c>
      <c r="L386" s="6">
        <v>2</v>
      </c>
      <c r="M386" s="6" t="str">
        <f t="shared" ref="M386:M449" si="65">IF(L386=0,"clear sky",IF(L386=1,"Partly cloudy",IF(L386=2,"Cloudy",IF(L386=3,"Light rain",IF(L386=4,"Heavy rain")))))</f>
        <v>Cloudy</v>
      </c>
      <c r="N386" s="8">
        <v>0.18</v>
      </c>
      <c r="O386" s="8">
        <v>0.19700000000000001</v>
      </c>
      <c r="P386" s="8">
        <v>0.47</v>
      </c>
      <c r="Q386" s="8">
        <v>0.1343</v>
      </c>
      <c r="R386" s="6">
        <v>10</v>
      </c>
      <c r="S386" s="6">
        <v>70</v>
      </c>
      <c r="T386" s="6">
        <v>80</v>
      </c>
      <c r="U386" s="8">
        <f t="shared" ref="U386:U449" si="66">(R386-$AA$7)/$AA$9</f>
        <v>0.66445150077086279</v>
      </c>
      <c r="V386" s="8" t="str">
        <f t="shared" ref="V386:V449" si="67">IF(ABS(U386)&gt;2,"Peak","Normal")</f>
        <v>Normal</v>
      </c>
      <c r="W386" s="8">
        <f t="shared" ref="W386:W449" si="68">(S386-$AA$11)/$AA$13</f>
        <v>0.34695392330244557</v>
      </c>
      <c r="X386" s="8" t="str">
        <f t="shared" ref="X386:X449" si="69">IF(ABS(W386)&gt;2,"Peak","Normal")</f>
        <v>Normal</v>
      </c>
    </row>
    <row r="387" spans="1:24" x14ac:dyDescent="0.25">
      <c r="A387" s="6">
        <v>386</v>
      </c>
      <c r="B387" s="7">
        <v>40560</v>
      </c>
      <c r="C387" s="6">
        <v>1</v>
      </c>
      <c r="D387" s="6" t="str">
        <f t="shared" si="60"/>
        <v>january</v>
      </c>
      <c r="E387" s="6">
        <v>13</v>
      </c>
      <c r="F387" s="6" t="str">
        <f t="shared" si="61"/>
        <v>Afternoon</v>
      </c>
      <c r="G387" s="6" t="b">
        <v>1</v>
      </c>
      <c r="H387" s="6">
        <f t="shared" si="62"/>
        <v>1</v>
      </c>
      <c r="I387" s="6">
        <v>1</v>
      </c>
      <c r="J387" s="6" t="str">
        <f t="shared" si="63"/>
        <v>Monday</v>
      </c>
      <c r="K387" s="6">
        <f t="shared" si="64"/>
        <v>0</v>
      </c>
      <c r="L387" s="6">
        <v>2</v>
      </c>
      <c r="M387" s="6" t="str">
        <f t="shared" si="65"/>
        <v>Cloudy</v>
      </c>
      <c r="N387" s="8">
        <v>0.18</v>
      </c>
      <c r="O387" s="8">
        <v>0.19700000000000001</v>
      </c>
      <c r="P387" s="8">
        <v>0.47</v>
      </c>
      <c r="Q387" s="8">
        <v>0.1343</v>
      </c>
      <c r="R387" s="6">
        <v>13</v>
      </c>
      <c r="S387" s="6">
        <v>80</v>
      </c>
      <c r="T387" s="6">
        <v>93</v>
      </c>
      <c r="U387" s="8">
        <f t="shared" si="66"/>
        <v>1.0569213771860211</v>
      </c>
      <c r="V387" s="8" t="str">
        <f t="shared" si="67"/>
        <v>Normal</v>
      </c>
      <c r="W387" s="8">
        <f t="shared" si="68"/>
        <v>0.55574848507800412</v>
      </c>
      <c r="X387" s="8" t="str">
        <f t="shared" si="69"/>
        <v>Normal</v>
      </c>
    </row>
    <row r="388" spans="1:24" x14ac:dyDescent="0.25">
      <c r="A388" s="6">
        <v>387</v>
      </c>
      <c r="B388" s="7">
        <v>40560</v>
      </c>
      <c r="C388" s="6">
        <v>1</v>
      </c>
      <c r="D388" s="6" t="str">
        <f t="shared" si="60"/>
        <v>january</v>
      </c>
      <c r="E388" s="6">
        <v>14</v>
      </c>
      <c r="F388" s="6" t="str">
        <f t="shared" si="61"/>
        <v>Afternoon</v>
      </c>
      <c r="G388" s="6" t="b">
        <v>1</v>
      </c>
      <c r="H388" s="6">
        <f t="shared" si="62"/>
        <v>1</v>
      </c>
      <c r="I388" s="6">
        <v>1</v>
      </c>
      <c r="J388" s="6" t="str">
        <f t="shared" si="63"/>
        <v>Monday</v>
      </c>
      <c r="K388" s="6">
        <f t="shared" si="64"/>
        <v>0</v>
      </c>
      <c r="L388" s="6">
        <v>2</v>
      </c>
      <c r="M388" s="6" t="str">
        <f t="shared" si="65"/>
        <v>Cloudy</v>
      </c>
      <c r="N388" s="8">
        <v>0.18</v>
      </c>
      <c r="O388" s="8">
        <v>0.21210000000000001</v>
      </c>
      <c r="P388" s="8">
        <v>0.43</v>
      </c>
      <c r="Q388" s="8">
        <v>0.1045</v>
      </c>
      <c r="R388" s="6">
        <v>12</v>
      </c>
      <c r="S388" s="6">
        <v>74</v>
      </c>
      <c r="T388" s="6">
        <v>86</v>
      </c>
      <c r="U388" s="8">
        <f t="shared" si="66"/>
        <v>0.92609808504763491</v>
      </c>
      <c r="V388" s="8" t="str">
        <f t="shared" si="67"/>
        <v>Normal</v>
      </c>
      <c r="W388" s="8">
        <f t="shared" si="68"/>
        <v>0.43047174801266896</v>
      </c>
      <c r="X388" s="8" t="str">
        <f t="shared" si="69"/>
        <v>Normal</v>
      </c>
    </row>
    <row r="389" spans="1:24" x14ac:dyDescent="0.25">
      <c r="A389" s="6">
        <v>388</v>
      </c>
      <c r="B389" s="7">
        <v>40560</v>
      </c>
      <c r="C389" s="6">
        <v>1</v>
      </c>
      <c r="D389" s="6" t="str">
        <f t="shared" si="60"/>
        <v>january</v>
      </c>
      <c r="E389" s="6">
        <v>15</v>
      </c>
      <c r="F389" s="6" t="str">
        <f t="shared" si="61"/>
        <v>Afternoon</v>
      </c>
      <c r="G389" s="6" t="b">
        <v>1</v>
      </c>
      <c r="H389" s="6">
        <f t="shared" si="62"/>
        <v>1</v>
      </c>
      <c r="I389" s="6">
        <v>1</v>
      </c>
      <c r="J389" s="6" t="str">
        <f t="shared" si="63"/>
        <v>Monday</v>
      </c>
      <c r="K389" s="6">
        <f t="shared" si="64"/>
        <v>0</v>
      </c>
      <c r="L389" s="6">
        <v>2</v>
      </c>
      <c r="M389" s="6" t="str">
        <f t="shared" si="65"/>
        <v>Cloudy</v>
      </c>
      <c r="N389" s="8">
        <v>0.2</v>
      </c>
      <c r="O389" s="8">
        <v>0.21210000000000001</v>
      </c>
      <c r="P389" s="8">
        <v>0.47</v>
      </c>
      <c r="Q389" s="8">
        <v>0.16420000000000001</v>
      </c>
      <c r="R389" s="6">
        <v>21</v>
      </c>
      <c r="S389" s="6">
        <v>72</v>
      </c>
      <c r="T389" s="6">
        <v>93</v>
      </c>
      <c r="U389" s="8">
        <f t="shared" si="66"/>
        <v>2.1035077142931096</v>
      </c>
      <c r="V389" s="8" t="str">
        <f t="shared" si="67"/>
        <v>Peak</v>
      </c>
      <c r="W389" s="8">
        <f t="shared" si="68"/>
        <v>0.38871283565755727</v>
      </c>
      <c r="X389" s="8" t="str">
        <f t="shared" si="69"/>
        <v>Normal</v>
      </c>
    </row>
    <row r="390" spans="1:24" x14ac:dyDescent="0.25">
      <c r="A390" s="6">
        <v>389</v>
      </c>
      <c r="B390" s="7">
        <v>40560</v>
      </c>
      <c r="C390" s="6">
        <v>1</v>
      </c>
      <c r="D390" s="6" t="str">
        <f t="shared" si="60"/>
        <v>january</v>
      </c>
      <c r="E390" s="6">
        <v>16</v>
      </c>
      <c r="F390" s="6" t="str">
        <f t="shared" si="61"/>
        <v>Afternoon</v>
      </c>
      <c r="G390" s="6" t="b">
        <v>1</v>
      </c>
      <c r="H390" s="6">
        <f t="shared" si="62"/>
        <v>1</v>
      </c>
      <c r="I390" s="6">
        <v>1</v>
      </c>
      <c r="J390" s="6" t="str">
        <f t="shared" si="63"/>
        <v>Monday</v>
      </c>
      <c r="K390" s="6">
        <f t="shared" si="64"/>
        <v>0</v>
      </c>
      <c r="L390" s="6">
        <v>2</v>
      </c>
      <c r="M390" s="6" t="str">
        <f t="shared" si="65"/>
        <v>Cloudy</v>
      </c>
      <c r="N390" s="8">
        <v>0.2</v>
      </c>
      <c r="O390" s="8">
        <v>0.21210000000000001</v>
      </c>
      <c r="P390" s="8">
        <v>0.47</v>
      </c>
      <c r="Q390" s="8">
        <v>0.16420000000000001</v>
      </c>
      <c r="R390" s="6">
        <v>6</v>
      </c>
      <c r="S390" s="6">
        <v>76</v>
      </c>
      <c r="T390" s="6">
        <v>82</v>
      </c>
      <c r="U390" s="8">
        <f t="shared" si="66"/>
        <v>0.14115833221731852</v>
      </c>
      <c r="V390" s="8" t="str">
        <f t="shared" si="67"/>
        <v>Normal</v>
      </c>
      <c r="W390" s="8">
        <f t="shared" si="68"/>
        <v>0.47223066036778072</v>
      </c>
      <c r="X390" s="8" t="str">
        <f t="shared" si="69"/>
        <v>Normal</v>
      </c>
    </row>
    <row r="391" spans="1:24" x14ac:dyDescent="0.25">
      <c r="A391" s="6">
        <v>390</v>
      </c>
      <c r="B391" s="7">
        <v>40560</v>
      </c>
      <c r="C391" s="6">
        <v>1</v>
      </c>
      <c r="D391" s="6" t="str">
        <f t="shared" si="60"/>
        <v>january</v>
      </c>
      <c r="E391" s="6">
        <v>17</v>
      </c>
      <c r="F391" s="6" t="str">
        <f t="shared" si="61"/>
        <v>Evening</v>
      </c>
      <c r="G391" s="6" t="b">
        <v>1</v>
      </c>
      <c r="H391" s="6">
        <f t="shared" si="62"/>
        <v>1</v>
      </c>
      <c r="I391" s="6">
        <v>1</v>
      </c>
      <c r="J391" s="6" t="str">
        <f t="shared" si="63"/>
        <v>Monday</v>
      </c>
      <c r="K391" s="6">
        <f t="shared" si="64"/>
        <v>0</v>
      </c>
      <c r="L391" s="6">
        <v>1</v>
      </c>
      <c r="M391" s="6" t="str">
        <f t="shared" si="65"/>
        <v>Partly cloudy</v>
      </c>
      <c r="N391" s="8">
        <v>0.2</v>
      </c>
      <c r="O391" s="8">
        <v>0.19700000000000001</v>
      </c>
      <c r="P391" s="8">
        <v>0.51</v>
      </c>
      <c r="Q391" s="8">
        <v>0.19400000000000001</v>
      </c>
      <c r="R391" s="6">
        <v>4</v>
      </c>
      <c r="S391" s="6">
        <v>67</v>
      </c>
      <c r="T391" s="6">
        <v>71</v>
      </c>
      <c r="U391" s="8">
        <f t="shared" si="66"/>
        <v>-0.1204882520594536</v>
      </c>
      <c r="V391" s="8" t="str">
        <f t="shared" si="67"/>
        <v>Normal</v>
      </c>
      <c r="W391" s="8">
        <f t="shared" si="68"/>
        <v>0.28431555476977799</v>
      </c>
      <c r="X391" s="8" t="str">
        <f t="shared" si="69"/>
        <v>Normal</v>
      </c>
    </row>
    <row r="392" spans="1:24" x14ac:dyDescent="0.25">
      <c r="A392" s="6">
        <v>391</v>
      </c>
      <c r="B392" s="7">
        <v>40560</v>
      </c>
      <c r="C392" s="6">
        <v>1</v>
      </c>
      <c r="D392" s="6" t="str">
        <f t="shared" si="60"/>
        <v>january</v>
      </c>
      <c r="E392" s="6">
        <v>18</v>
      </c>
      <c r="F392" s="6" t="str">
        <f t="shared" si="61"/>
        <v>Evening</v>
      </c>
      <c r="G392" s="6" t="b">
        <v>1</v>
      </c>
      <c r="H392" s="6">
        <f t="shared" si="62"/>
        <v>1</v>
      </c>
      <c r="I392" s="6">
        <v>1</v>
      </c>
      <c r="J392" s="6" t="str">
        <f t="shared" si="63"/>
        <v>Monday</v>
      </c>
      <c r="K392" s="6">
        <f t="shared" si="64"/>
        <v>0</v>
      </c>
      <c r="L392" s="6">
        <v>2</v>
      </c>
      <c r="M392" s="6" t="str">
        <f t="shared" si="65"/>
        <v>Cloudy</v>
      </c>
      <c r="N392" s="8">
        <v>0.18</v>
      </c>
      <c r="O392" s="8">
        <v>0.16669999999999999</v>
      </c>
      <c r="P392" s="8">
        <v>0.55000000000000004</v>
      </c>
      <c r="Q392" s="8">
        <v>0.25369999999999998</v>
      </c>
      <c r="R392" s="6">
        <v>7</v>
      </c>
      <c r="S392" s="6">
        <v>85</v>
      </c>
      <c r="T392" s="6">
        <v>92</v>
      </c>
      <c r="U392" s="8">
        <f t="shared" si="66"/>
        <v>0.27198162435570455</v>
      </c>
      <c r="V392" s="8" t="str">
        <f t="shared" si="67"/>
        <v>Normal</v>
      </c>
      <c r="W392" s="8">
        <f t="shared" si="68"/>
        <v>0.66014576596578334</v>
      </c>
      <c r="X392" s="8" t="str">
        <f t="shared" si="69"/>
        <v>Normal</v>
      </c>
    </row>
    <row r="393" spans="1:24" x14ac:dyDescent="0.25">
      <c r="A393" s="6">
        <v>392</v>
      </c>
      <c r="B393" s="7">
        <v>40560</v>
      </c>
      <c r="C393" s="6">
        <v>1</v>
      </c>
      <c r="D393" s="6" t="str">
        <f t="shared" si="60"/>
        <v>january</v>
      </c>
      <c r="E393" s="6">
        <v>19</v>
      </c>
      <c r="F393" s="6" t="str">
        <f t="shared" si="61"/>
        <v>Evening</v>
      </c>
      <c r="G393" s="6" t="b">
        <v>1</v>
      </c>
      <c r="H393" s="6">
        <f t="shared" si="62"/>
        <v>1</v>
      </c>
      <c r="I393" s="6">
        <v>1</v>
      </c>
      <c r="J393" s="6" t="str">
        <f t="shared" si="63"/>
        <v>Monday</v>
      </c>
      <c r="K393" s="6">
        <f t="shared" si="64"/>
        <v>0</v>
      </c>
      <c r="L393" s="6">
        <v>3</v>
      </c>
      <c r="M393" s="6" t="str">
        <f t="shared" si="65"/>
        <v>Light rain</v>
      </c>
      <c r="N393" s="8">
        <v>0.18</v>
      </c>
      <c r="O393" s="8">
        <v>0.18179999999999999</v>
      </c>
      <c r="P393" s="8">
        <v>0.59</v>
      </c>
      <c r="Q393" s="8">
        <v>0.19400000000000001</v>
      </c>
      <c r="R393" s="6">
        <v>2</v>
      </c>
      <c r="S393" s="6">
        <v>58</v>
      </c>
      <c r="T393" s="6">
        <v>60</v>
      </c>
      <c r="U393" s="8">
        <f t="shared" si="66"/>
        <v>-0.38213483633622569</v>
      </c>
      <c r="V393" s="8" t="str">
        <f t="shared" si="67"/>
        <v>Normal</v>
      </c>
      <c r="W393" s="8">
        <f t="shared" si="68"/>
        <v>9.6400449171775315E-2</v>
      </c>
      <c r="X393" s="8" t="str">
        <f t="shared" si="69"/>
        <v>Normal</v>
      </c>
    </row>
    <row r="394" spans="1:24" x14ac:dyDescent="0.25">
      <c r="A394" s="6">
        <v>393</v>
      </c>
      <c r="B394" s="7">
        <v>40560</v>
      </c>
      <c r="C394" s="6">
        <v>1</v>
      </c>
      <c r="D394" s="6" t="str">
        <f t="shared" si="60"/>
        <v>january</v>
      </c>
      <c r="E394" s="6">
        <v>20</v>
      </c>
      <c r="F394" s="6" t="str">
        <f t="shared" si="61"/>
        <v>Evening</v>
      </c>
      <c r="G394" s="6" t="b">
        <v>1</v>
      </c>
      <c r="H394" s="6">
        <f t="shared" si="62"/>
        <v>1</v>
      </c>
      <c r="I394" s="6">
        <v>1</v>
      </c>
      <c r="J394" s="6" t="str">
        <f t="shared" si="63"/>
        <v>Monday</v>
      </c>
      <c r="K394" s="6">
        <f t="shared" si="64"/>
        <v>0</v>
      </c>
      <c r="L394" s="6">
        <v>3</v>
      </c>
      <c r="M394" s="6" t="str">
        <f t="shared" si="65"/>
        <v>Light rain</v>
      </c>
      <c r="N394" s="8">
        <v>0.16</v>
      </c>
      <c r="O394" s="8">
        <v>0.1515</v>
      </c>
      <c r="P394" s="8">
        <v>0.8</v>
      </c>
      <c r="Q394" s="8">
        <v>0.19400000000000001</v>
      </c>
      <c r="R394" s="6">
        <v>4</v>
      </c>
      <c r="S394" s="6">
        <v>29</v>
      </c>
      <c r="T394" s="6">
        <v>33</v>
      </c>
      <c r="U394" s="8">
        <f t="shared" si="66"/>
        <v>-0.1204882520594536</v>
      </c>
      <c r="V394" s="8" t="str">
        <f t="shared" si="67"/>
        <v>Normal</v>
      </c>
      <c r="W394" s="8">
        <f t="shared" si="68"/>
        <v>-0.50910377997734446</v>
      </c>
      <c r="X394" s="8" t="str">
        <f t="shared" si="69"/>
        <v>Normal</v>
      </c>
    </row>
    <row r="395" spans="1:24" x14ac:dyDescent="0.25">
      <c r="A395" s="6">
        <v>394</v>
      </c>
      <c r="B395" s="7">
        <v>40560</v>
      </c>
      <c r="C395" s="6">
        <v>1</v>
      </c>
      <c r="D395" s="6" t="str">
        <f t="shared" si="60"/>
        <v>january</v>
      </c>
      <c r="E395" s="6">
        <v>21</v>
      </c>
      <c r="F395" s="6" t="str">
        <f t="shared" si="61"/>
        <v>Night</v>
      </c>
      <c r="G395" s="6" t="b">
        <v>1</v>
      </c>
      <c r="H395" s="6">
        <f t="shared" si="62"/>
        <v>1</v>
      </c>
      <c r="I395" s="6">
        <v>1</v>
      </c>
      <c r="J395" s="6" t="str">
        <f t="shared" si="63"/>
        <v>Monday</v>
      </c>
      <c r="K395" s="6">
        <f t="shared" si="64"/>
        <v>0</v>
      </c>
      <c r="L395" s="6">
        <v>3</v>
      </c>
      <c r="M395" s="6" t="str">
        <f t="shared" si="65"/>
        <v>Light rain</v>
      </c>
      <c r="N395" s="8">
        <v>0.16</v>
      </c>
      <c r="O395" s="8">
        <v>0.1515</v>
      </c>
      <c r="P395" s="8">
        <v>0.8</v>
      </c>
      <c r="Q395" s="8">
        <v>0.19400000000000001</v>
      </c>
      <c r="R395" s="6">
        <v>3</v>
      </c>
      <c r="S395" s="6">
        <v>24</v>
      </c>
      <c r="T395" s="6">
        <v>27</v>
      </c>
      <c r="U395" s="8">
        <f t="shared" si="66"/>
        <v>-0.25131154419783963</v>
      </c>
      <c r="V395" s="8" t="str">
        <f t="shared" si="67"/>
        <v>Normal</v>
      </c>
      <c r="W395" s="8">
        <f t="shared" si="68"/>
        <v>-0.61350106086512368</v>
      </c>
      <c r="X395" s="8" t="str">
        <f t="shared" si="69"/>
        <v>Normal</v>
      </c>
    </row>
    <row r="396" spans="1:24" x14ac:dyDescent="0.25">
      <c r="A396" s="6">
        <v>395</v>
      </c>
      <c r="B396" s="7">
        <v>40560</v>
      </c>
      <c r="C396" s="6">
        <v>1</v>
      </c>
      <c r="D396" s="6" t="str">
        <f t="shared" si="60"/>
        <v>january</v>
      </c>
      <c r="E396" s="6">
        <v>22</v>
      </c>
      <c r="F396" s="6" t="str">
        <f t="shared" si="61"/>
        <v>Night</v>
      </c>
      <c r="G396" s="6" t="b">
        <v>1</v>
      </c>
      <c r="H396" s="6">
        <f t="shared" si="62"/>
        <v>1</v>
      </c>
      <c r="I396" s="6">
        <v>1</v>
      </c>
      <c r="J396" s="6" t="str">
        <f t="shared" si="63"/>
        <v>Monday</v>
      </c>
      <c r="K396" s="6">
        <f t="shared" si="64"/>
        <v>0</v>
      </c>
      <c r="L396" s="6">
        <v>3</v>
      </c>
      <c r="M396" s="6" t="str">
        <f t="shared" si="65"/>
        <v>Light rain</v>
      </c>
      <c r="N396" s="8">
        <v>0.14000000000000001</v>
      </c>
      <c r="O396" s="8">
        <v>0.1212</v>
      </c>
      <c r="P396" s="8">
        <v>0.93</v>
      </c>
      <c r="Q396" s="8">
        <v>0.25369999999999998</v>
      </c>
      <c r="R396" s="6">
        <v>0</v>
      </c>
      <c r="S396" s="6">
        <v>13</v>
      </c>
      <c r="T396" s="6">
        <v>13</v>
      </c>
      <c r="U396" s="8">
        <f t="shared" si="66"/>
        <v>-0.64378142061299781</v>
      </c>
      <c r="V396" s="8" t="str">
        <f t="shared" si="67"/>
        <v>Normal</v>
      </c>
      <c r="W396" s="8">
        <f t="shared" si="68"/>
        <v>-0.84317507881823806</v>
      </c>
      <c r="X396" s="8" t="str">
        <f t="shared" si="69"/>
        <v>Normal</v>
      </c>
    </row>
    <row r="397" spans="1:24" x14ac:dyDescent="0.25">
      <c r="A397" s="6">
        <v>396</v>
      </c>
      <c r="B397" s="7">
        <v>40560</v>
      </c>
      <c r="C397" s="6">
        <v>1</v>
      </c>
      <c r="D397" s="6" t="str">
        <f t="shared" si="60"/>
        <v>january</v>
      </c>
      <c r="E397" s="6">
        <v>23</v>
      </c>
      <c r="F397" s="6" t="str">
        <f t="shared" si="61"/>
        <v>Night</v>
      </c>
      <c r="G397" s="6" t="b">
        <v>1</v>
      </c>
      <c r="H397" s="6">
        <f t="shared" si="62"/>
        <v>1</v>
      </c>
      <c r="I397" s="6">
        <v>1</v>
      </c>
      <c r="J397" s="6" t="str">
        <f t="shared" si="63"/>
        <v>Monday</v>
      </c>
      <c r="K397" s="6">
        <f t="shared" si="64"/>
        <v>0</v>
      </c>
      <c r="L397" s="6">
        <v>3</v>
      </c>
      <c r="M397" s="6" t="str">
        <f t="shared" si="65"/>
        <v>Light rain</v>
      </c>
      <c r="N397" s="8">
        <v>0.16</v>
      </c>
      <c r="O397" s="8">
        <v>0.13639999999999999</v>
      </c>
      <c r="P397" s="8">
        <v>0.86</v>
      </c>
      <c r="Q397" s="8">
        <v>0.28360000000000002</v>
      </c>
      <c r="R397" s="6">
        <v>1</v>
      </c>
      <c r="S397" s="6">
        <v>3</v>
      </c>
      <c r="T397" s="6">
        <v>4</v>
      </c>
      <c r="U397" s="8">
        <f t="shared" si="66"/>
        <v>-0.51295812847461175</v>
      </c>
      <c r="V397" s="8" t="str">
        <f t="shared" si="67"/>
        <v>Normal</v>
      </c>
      <c r="W397" s="8">
        <f t="shared" si="68"/>
        <v>-1.0519696405937966</v>
      </c>
      <c r="X397" s="8" t="str">
        <f t="shared" si="69"/>
        <v>Normal</v>
      </c>
    </row>
    <row r="398" spans="1:24" x14ac:dyDescent="0.25">
      <c r="A398" s="6">
        <v>397</v>
      </c>
      <c r="B398" s="7">
        <v>40561</v>
      </c>
      <c r="C398" s="6">
        <v>1</v>
      </c>
      <c r="D398" s="6" t="str">
        <f t="shared" si="60"/>
        <v>january</v>
      </c>
      <c r="E398" s="6">
        <v>12</v>
      </c>
      <c r="F398" s="6" t="str">
        <f t="shared" si="61"/>
        <v>Afternoon</v>
      </c>
      <c r="G398" s="6" t="b">
        <v>0</v>
      </c>
      <c r="H398" s="6">
        <f t="shared" si="62"/>
        <v>0</v>
      </c>
      <c r="I398" s="6">
        <v>2</v>
      </c>
      <c r="J398" s="6" t="str">
        <f t="shared" si="63"/>
        <v>Tuesday</v>
      </c>
      <c r="K398" s="6">
        <f t="shared" si="64"/>
        <v>0</v>
      </c>
      <c r="L398" s="6">
        <v>2</v>
      </c>
      <c r="M398" s="6" t="str">
        <f t="shared" si="65"/>
        <v>Cloudy</v>
      </c>
      <c r="N398" s="8">
        <v>0.2</v>
      </c>
      <c r="O398" s="8">
        <v>0.18179999999999999</v>
      </c>
      <c r="P398" s="8">
        <v>0.86</v>
      </c>
      <c r="Q398" s="8">
        <v>0.32840000000000003</v>
      </c>
      <c r="R398" s="6">
        <v>0</v>
      </c>
      <c r="S398" s="6">
        <v>3</v>
      </c>
      <c r="T398" s="6">
        <v>3</v>
      </c>
      <c r="U398" s="8">
        <f t="shared" si="66"/>
        <v>-0.64378142061299781</v>
      </c>
      <c r="V398" s="8" t="str">
        <f t="shared" si="67"/>
        <v>Normal</v>
      </c>
      <c r="W398" s="8">
        <f t="shared" si="68"/>
        <v>-1.0519696405937966</v>
      </c>
      <c r="X398" s="8" t="str">
        <f t="shared" si="69"/>
        <v>Normal</v>
      </c>
    </row>
    <row r="399" spans="1:24" x14ac:dyDescent="0.25">
      <c r="A399" s="6">
        <v>398</v>
      </c>
      <c r="B399" s="7">
        <v>40561</v>
      </c>
      <c r="C399" s="6">
        <v>1</v>
      </c>
      <c r="D399" s="6" t="str">
        <f t="shared" si="60"/>
        <v>january</v>
      </c>
      <c r="E399" s="6">
        <v>13</v>
      </c>
      <c r="F399" s="6" t="str">
        <f t="shared" si="61"/>
        <v>Afternoon</v>
      </c>
      <c r="G399" s="6" t="b">
        <v>0</v>
      </c>
      <c r="H399" s="6">
        <f t="shared" si="62"/>
        <v>0</v>
      </c>
      <c r="I399" s="6">
        <v>2</v>
      </c>
      <c r="J399" s="6" t="str">
        <f t="shared" si="63"/>
        <v>Tuesday</v>
      </c>
      <c r="K399" s="6">
        <f t="shared" si="64"/>
        <v>0</v>
      </c>
      <c r="L399" s="6">
        <v>2</v>
      </c>
      <c r="M399" s="6" t="str">
        <f t="shared" si="65"/>
        <v>Cloudy</v>
      </c>
      <c r="N399" s="8">
        <v>0.2</v>
      </c>
      <c r="O399" s="8">
        <v>0.19700000000000001</v>
      </c>
      <c r="P399" s="8">
        <v>0.86</v>
      </c>
      <c r="Q399" s="8">
        <v>0.22389999999999999</v>
      </c>
      <c r="R399" s="6">
        <v>0</v>
      </c>
      <c r="S399" s="6">
        <v>22</v>
      </c>
      <c r="T399" s="6">
        <v>22</v>
      </c>
      <c r="U399" s="8">
        <f t="shared" si="66"/>
        <v>-0.64378142061299781</v>
      </c>
      <c r="V399" s="8" t="str">
        <f t="shared" si="67"/>
        <v>Normal</v>
      </c>
      <c r="W399" s="8">
        <f t="shared" si="68"/>
        <v>-0.65525997322023544</v>
      </c>
      <c r="X399" s="8" t="str">
        <f t="shared" si="69"/>
        <v>Normal</v>
      </c>
    </row>
    <row r="400" spans="1:24" x14ac:dyDescent="0.25">
      <c r="A400" s="6">
        <v>399</v>
      </c>
      <c r="B400" s="7">
        <v>40561</v>
      </c>
      <c r="C400" s="6">
        <v>1</v>
      </c>
      <c r="D400" s="6" t="str">
        <f t="shared" si="60"/>
        <v>january</v>
      </c>
      <c r="E400" s="6">
        <v>14</v>
      </c>
      <c r="F400" s="6" t="str">
        <f t="shared" si="61"/>
        <v>Afternoon</v>
      </c>
      <c r="G400" s="6" t="b">
        <v>0</v>
      </c>
      <c r="H400" s="6">
        <f t="shared" si="62"/>
        <v>0</v>
      </c>
      <c r="I400" s="6">
        <v>2</v>
      </c>
      <c r="J400" s="6" t="str">
        <f t="shared" si="63"/>
        <v>Tuesday</v>
      </c>
      <c r="K400" s="6">
        <f t="shared" si="64"/>
        <v>0</v>
      </c>
      <c r="L400" s="6">
        <v>2</v>
      </c>
      <c r="M400" s="6" t="str">
        <f t="shared" si="65"/>
        <v>Cloudy</v>
      </c>
      <c r="N400" s="8">
        <v>0.22</v>
      </c>
      <c r="O400" s="8">
        <v>0.2273</v>
      </c>
      <c r="P400" s="8">
        <v>0.8</v>
      </c>
      <c r="Q400" s="8">
        <v>0.16420000000000001</v>
      </c>
      <c r="R400" s="6">
        <v>2</v>
      </c>
      <c r="S400" s="6">
        <v>26</v>
      </c>
      <c r="T400" s="6">
        <v>28</v>
      </c>
      <c r="U400" s="8">
        <f t="shared" si="66"/>
        <v>-0.38213483633622569</v>
      </c>
      <c r="V400" s="8" t="str">
        <f t="shared" si="67"/>
        <v>Normal</v>
      </c>
      <c r="W400" s="8">
        <f t="shared" si="68"/>
        <v>-0.57174214851001204</v>
      </c>
      <c r="X400" s="8" t="str">
        <f t="shared" si="69"/>
        <v>Normal</v>
      </c>
    </row>
    <row r="401" spans="1:24" x14ac:dyDescent="0.25">
      <c r="A401" s="6">
        <v>400</v>
      </c>
      <c r="B401" s="7">
        <v>40561</v>
      </c>
      <c r="C401" s="6">
        <v>1</v>
      </c>
      <c r="D401" s="6" t="str">
        <f t="shared" si="60"/>
        <v>january</v>
      </c>
      <c r="E401" s="6">
        <v>15</v>
      </c>
      <c r="F401" s="6" t="str">
        <f t="shared" si="61"/>
        <v>Afternoon</v>
      </c>
      <c r="G401" s="6" t="b">
        <v>0</v>
      </c>
      <c r="H401" s="6">
        <f t="shared" si="62"/>
        <v>0</v>
      </c>
      <c r="I401" s="6">
        <v>2</v>
      </c>
      <c r="J401" s="6" t="str">
        <f t="shared" si="63"/>
        <v>Tuesday</v>
      </c>
      <c r="K401" s="6">
        <f t="shared" si="64"/>
        <v>0</v>
      </c>
      <c r="L401" s="6">
        <v>2</v>
      </c>
      <c r="M401" s="6" t="str">
        <f t="shared" si="65"/>
        <v>Cloudy</v>
      </c>
      <c r="N401" s="8">
        <v>0.22</v>
      </c>
      <c r="O401" s="8">
        <v>0.2273</v>
      </c>
      <c r="P401" s="8">
        <v>0.87</v>
      </c>
      <c r="Q401" s="8">
        <v>0.16420000000000001</v>
      </c>
      <c r="R401" s="6">
        <v>3</v>
      </c>
      <c r="S401" s="6">
        <v>32</v>
      </c>
      <c r="T401" s="6">
        <v>35</v>
      </c>
      <c r="U401" s="8">
        <f t="shared" si="66"/>
        <v>-0.25131154419783963</v>
      </c>
      <c r="V401" s="8" t="str">
        <f t="shared" si="67"/>
        <v>Normal</v>
      </c>
      <c r="W401" s="8">
        <f t="shared" si="68"/>
        <v>-0.44646541144467689</v>
      </c>
      <c r="X401" s="8" t="str">
        <f t="shared" si="69"/>
        <v>Normal</v>
      </c>
    </row>
    <row r="402" spans="1:24" x14ac:dyDescent="0.25">
      <c r="A402" s="6">
        <v>401</v>
      </c>
      <c r="B402" s="7">
        <v>40561</v>
      </c>
      <c r="C402" s="6">
        <v>1</v>
      </c>
      <c r="D402" s="6" t="str">
        <f t="shared" si="60"/>
        <v>january</v>
      </c>
      <c r="E402" s="6">
        <v>16</v>
      </c>
      <c r="F402" s="6" t="str">
        <f t="shared" si="61"/>
        <v>Afternoon</v>
      </c>
      <c r="G402" s="6" t="b">
        <v>0</v>
      </c>
      <c r="H402" s="6">
        <f t="shared" si="62"/>
        <v>0</v>
      </c>
      <c r="I402" s="6">
        <v>2</v>
      </c>
      <c r="J402" s="6" t="str">
        <f t="shared" si="63"/>
        <v>Tuesday</v>
      </c>
      <c r="K402" s="6">
        <f t="shared" si="64"/>
        <v>0</v>
      </c>
      <c r="L402" s="6">
        <v>2</v>
      </c>
      <c r="M402" s="6" t="str">
        <f t="shared" si="65"/>
        <v>Cloudy</v>
      </c>
      <c r="N402" s="8">
        <v>0.22</v>
      </c>
      <c r="O402" s="8">
        <v>0.2273</v>
      </c>
      <c r="P402" s="8">
        <v>0.87</v>
      </c>
      <c r="Q402" s="8">
        <v>0.19400000000000001</v>
      </c>
      <c r="R402" s="6">
        <v>0</v>
      </c>
      <c r="S402" s="6">
        <v>61</v>
      </c>
      <c r="T402" s="6">
        <v>61</v>
      </c>
      <c r="U402" s="8">
        <f t="shared" si="66"/>
        <v>-0.64378142061299781</v>
      </c>
      <c r="V402" s="8" t="str">
        <f t="shared" si="67"/>
        <v>Normal</v>
      </c>
      <c r="W402" s="8">
        <f t="shared" si="68"/>
        <v>0.15903881770444289</v>
      </c>
      <c r="X402" s="8" t="str">
        <f t="shared" si="69"/>
        <v>Normal</v>
      </c>
    </row>
    <row r="403" spans="1:24" x14ac:dyDescent="0.25">
      <c r="A403" s="6">
        <v>402</v>
      </c>
      <c r="B403" s="7">
        <v>40561</v>
      </c>
      <c r="C403" s="6">
        <v>1</v>
      </c>
      <c r="D403" s="6" t="str">
        <f t="shared" si="60"/>
        <v>january</v>
      </c>
      <c r="E403" s="6">
        <v>17</v>
      </c>
      <c r="F403" s="6" t="str">
        <f t="shared" si="61"/>
        <v>Evening</v>
      </c>
      <c r="G403" s="6" t="b">
        <v>0</v>
      </c>
      <c r="H403" s="6">
        <f t="shared" si="62"/>
        <v>0</v>
      </c>
      <c r="I403" s="6">
        <v>2</v>
      </c>
      <c r="J403" s="6" t="str">
        <f t="shared" si="63"/>
        <v>Tuesday</v>
      </c>
      <c r="K403" s="6">
        <f t="shared" si="64"/>
        <v>0</v>
      </c>
      <c r="L403" s="6">
        <v>2</v>
      </c>
      <c r="M403" s="6" t="str">
        <f t="shared" si="65"/>
        <v>Cloudy</v>
      </c>
      <c r="N403" s="8">
        <v>0.22</v>
      </c>
      <c r="O403" s="8">
        <v>0.2273</v>
      </c>
      <c r="P403" s="8">
        <v>0.82</v>
      </c>
      <c r="Q403" s="8">
        <v>0.19400000000000001</v>
      </c>
      <c r="R403" s="6">
        <v>1</v>
      </c>
      <c r="S403" s="6">
        <v>124</v>
      </c>
      <c r="T403" s="6">
        <v>125</v>
      </c>
      <c r="U403" s="8">
        <f t="shared" si="66"/>
        <v>-0.51295812847461175</v>
      </c>
      <c r="V403" s="8" t="str">
        <f t="shared" si="67"/>
        <v>Normal</v>
      </c>
      <c r="W403" s="8">
        <f t="shared" si="68"/>
        <v>1.4744445568904616</v>
      </c>
      <c r="X403" s="8" t="str">
        <f t="shared" si="69"/>
        <v>Normal</v>
      </c>
    </row>
    <row r="404" spans="1:24" x14ac:dyDescent="0.25">
      <c r="A404" s="6">
        <v>403</v>
      </c>
      <c r="B404" s="7">
        <v>40561</v>
      </c>
      <c r="C404" s="6">
        <v>1</v>
      </c>
      <c r="D404" s="6" t="str">
        <f t="shared" si="60"/>
        <v>january</v>
      </c>
      <c r="E404" s="6">
        <v>18</v>
      </c>
      <c r="F404" s="6" t="str">
        <f t="shared" si="61"/>
        <v>Evening</v>
      </c>
      <c r="G404" s="6" t="b">
        <v>0</v>
      </c>
      <c r="H404" s="6">
        <f t="shared" si="62"/>
        <v>0</v>
      </c>
      <c r="I404" s="6">
        <v>2</v>
      </c>
      <c r="J404" s="6" t="str">
        <f t="shared" si="63"/>
        <v>Tuesday</v>
      </c>
      <c r="K404" s="6">
        <f t="shared" si="64"/>
        <v>0</v>
      </c>
      <c r="L404" s="6">
        <v>2</v>
      </c>
      <c r="M404" s="6" t="str">
        <f t="shared" si="65"/>
        <v>Cloudy</v>
      </c>
      <c r="N404" s="8">
        <v>0.22</v>
      </c>
      <c r="O404" s="8">
        <v>0.2273</v>
      </c>
      <c r="P404" s="8">
        <v>0.8</v>
      </c>
      <c r="Q404" s="8">
        <v>0.16420000000000001</v>
      </c>
      <c r="R404" s="6">
        <v>1</v>
      </c>
      <c r="S404" s="6">
        <v>132</v>
      </c>
      <c r="T404" s="6">
        <v>133</v>
      </c>
      <c r="U404" s="8">
        <f t="shared" si="66"/>
        <v>-0.51295812847461175</v>
      </c>
      <c r="V404" s="8" t="str">
        <f t="shared" si="67"/>
        <v>Normal</v>
      </c>
      <c r="W404" s="8">
        <f t="shared" si="68"/>
        <v>1.6414802063109084</v>
      </c>
      <c r="X404" s="8" t="str">
        <f t="shared" si="69"/>
        <v>Normal</v>
      </c>
    </row>
    <row r="405" spans="1:24" x14ac:dyDescent="0.25">
      <c r="A405" s="6">
        <v>404</v>
      </c>
      <c r="B405" s="7">
        <v>40561</v>
      </c>
      <c r="C405" s="6">
        <v>1</v>
      </c>
      <c r="D405" s="6" t="str">
        <f t="shared" si="60"/>
        <v>january</v>
      </c>
      <c r="E405" s="6">
        <v>19</v>
      </c>
      <c r="F405" s="6" t="str">
        <f t="shared" si="61"/>
        <v>Evening</v>
      </c>
      <c r="G405" s="6" t="b">
        <v>0</v>
      </c>
      <c r="H405" s="6">
        <f t="shared" si="62"/>
        <v>0</v>
      </c>
      <c r="I405" s="6">
        <v>2</v>
      </c>
      <c r="J405" s="6" t="str">
        <f t="shared" si="63"/>
        <v>Tuesday</v>
      </c>
      <c r="K405" s="6">
        <f t="shared" si="64"/>
        <v>0</v>
      </c>
      <c r="L405" s="6">
        <v>2</v>
      </c>
      <c r="M405" s="6" t="str">
        <f t="shared" si="65"/>
        <v>Cloudy</v>
      </c>
      <c r="N405" s="8">
        <v>0.22</v>
      </c>
      <c r="O405" s="8">
        <v>0.2273</v>
      </c>
      <c r="P405" s="8">
        <v>0.8</v>
      </c>
      <c r="Q405" s="8">
        <v>0.1343</v>
      </c>
      <c r="R405" s="6">
        <v>1</v>
      </c>
      <c r="S405" s="6">
        <v>98</v>
      </c>
      <c r="T405" s="6">
        <v>99</v>
      </c>
      <c r="U405" s="8">
        <f t="shared" si="66"/>
        <v>-0.51295812847461175</v>
      </c>
      <c r="V405" s="8" t="str">
        <f t="shared" si="67"/>
        <v>Normal</v>
      </c>
      <c r="W405" s="8">
        <f t="shared" si="68"/>
        <v>0.93157869627400947</v>
      </c>
      <c r="X405" s="8" t="str">
        <f t="shared" si="69"/>
        <v>Normal</v>
      </c>
    </row>
    <row r="406" spans="1:24" x14ac:dyDescent="0.25">
      <c r="A406" s="6">
        <v>405</v>
      </c>
      <c r="B406" s="7">
        <v>40561</v>
      </c>
      <c r="C406" s="6">
        <v>1</v>
      </c>
      <c r="D406" s="6" t="str">
        <f t="shared" si="60"/>
        <v>january</v>
      </c>
      <c r="E406" s="6">
        <v>20</v>
      </c>
      <c r="F406" s="6" t="str">
        <f t="shared" si="61"/>
        <v>Evening</v>
      </c>
      <c r="G406" s="6" t="b">
        <v>0</v>
      </c>
      <c r="H406" s="6">
        <f t="shared" si="62"/>
        <v>0</v>
      </c>
      <c r="I406" s="6">
        <v>2</v>
      </c>
      <c r="J406" s="6" t="str">
        <f t="shared" si="63"/>
        <v>Tuesday</v>
      </c>
      <c r="K406" s="6">
        <f t="shared" si="64"/>
        <v>0</v>
      </c>
      <c r="L406" s="6">
        <v>2</v>
      </c>
      <c r="M406" s="6" t="str">
        <f t="shared" si="65"/>
        <v>Cloudy</v>
      </c>
      <c r="N406" s="8">
        <v>0.22</v>
      </c>
      <c r="O406" s="8">
        <v>0.2727</v>
      </c>
      <c r="P406" s="8">
        <v>0.87</v>
      </c>
      <c r="Q406" s="8">
        <v>0</v>
      </c>
      <c r="R406" s="6">
        <v>0</v>
      </c>
      <c r="S406" s="6">
        <v>83</v>
      </c>
      <c r="T406" s="6">
        <v>83</v>
      </c>
      <c r="U406" s="8">
        <f t="shared" si="66"/>
        <v>-0.64378142061299781</v>
      </c>
      <c r="V406" s="8" t="str">
        <f t="shared" si="67"/>
        <v>Normal</v>
      </c>
      <c r="W406" s="8">
        <f t="shared" si="68"/>
        <v>0.61838685361067169</v>
      </c>
      <c r="X406" s="8" t="str">
        <f t="shared" si="69"/>
        <v>Normal</v>
      </c>
    </row>
    <row r="407" spans="1:24" x14ac:dyDescent="0.25">
      <c r="A407" s="6">
        <v>406</v>
      </c>
      <c r="B407" s="7">
        <v>40561</v>
      </c>
      <c r="C407" s="6">
        <v>1</v>
      </c>
      <c r="D407" s="6" t="str">
        <f t="shared" si="60"/>
        <v>january</v>
      </c>
      <c r="E407" s="6">
        <v>21</v>
      </c>
      <c r="F407" s="6" t="str">
        <f t="shared" si="61"/>
        <v>Night</v>
      </c>
      <c r="G407" s="6" t="b">
        <v>0</v>
      </c>
      <c r="H407" s="6">
        <f t="shared" si="62"/>
        <v>0</v>
      </c>
      <c r="I407" s="6">
        <v>2</v>
      </c>
      <c r="J407" s="6" t="str">
        <f t="shared" si="63"/>
        <v>Tuesday</v>
      </c>
      <c r="K407" s="6">
        <f t="shared" si="64"/>
        <v>0</v>
      </c>
      <c r="L407" s="6">
        <v>2</v>
      </c>
      <c r="M407" s="6" t="str">
        <f t="shared" si="65"/>
        <v>Cloudy</v>
      </c>
      <c r="N407" s="8">
        <v>0.22</v>
      </c>
      <c r="O407" s="8">
        <v>0.2424</v>
      </c>
      <c r="P407" s="8">
        <v>0.93</v>
      </c>
      <c r="Q407" s="8">
        <v>0.1045</v>
      </c>
      <c r="R407" s="6">
        <v>0</v>
      </c>
      <c r="S407" s="6">
        <v>41</v>
      </c>
      <c r="T407" s="6">
        <v>41</v>
      </c>
      <c r="U407" s="8">
        <f t="shared" si="66"/>
        <v>-0.64378142061299781</v>
      </c>
      <c r="V407" s="8" t="str">
        <f t="shared" si="67"/>
        <v>Normal</v>
      </c>
      <c r="W407" s="8">
        <f t="shared" si="68"/>
        <v>-0.25855030584667421</v>
      </c>
      <c r="X407" s="8" t="str">
        <f t="shared" si="69"/>
        <v>Normal</v>
      </c>
    </row>
    <row r="408" spans="1:24" x14ac:dyDescent="0.25">
      <c r="A408" s="6">
        <v>407</v>
      </c>
      <c r="B408" s="7">
        <v>40561</v>
      </c>
      <c r="C408" s="6">
        <v>1</v>
      </c>
      <c r="D408" s="6" t="str">
        <f t="shared" si="60"/>
        <v>january</v>
      </c>
      <c r="E408" s="6">
        <v>22</v>
      </c>
      <c r="F408" s="6" t="str">
        <f t="shared" si="61"/>
        <v>Night</v>
      </c>
      <c r="G408" s="6" t="b">
        <v>0</v>
      </c>
      <c r="H408" s="6">
        <f t="shared" si="62"/>
        <v>0</v>
      </c>
      <c r="I408" s="6">
        <v>2</v>
      </c>
      <c r="J408" s="6" t="str">
        <f t="shared" si="63"/>
        <v>Tuesday</v>
      </c>
      <c r="K408" s="6">
        <f t="shared" si="64"/>
        <v>0</v>
      </c>
      <c r="L408" s="6">
        <v>2</v>
      </c>
      <c r="M408" s="6" t="str">
        <f t="shared" si="65"/>
        <v>Cloudy</v>
      </c>
      <c r="N408" s="8">
        <v>0.22</v>
      </c>
      <c r="O408" s="8">
        <v>0.2576</v>
      </c>
      <c r="P408" s="8">
        <v>0.93</v>
      </c>
      <c r="Q408" s="8">
        <v>8.9599999999999999E-2</v>
      </c>
      <c r="R408" s="6">
        <v>0</v>
      </c>
      <c r="S408" s="6">
        <v>33</v>
      </c>
      <c r="T408" s="6">
        <v>33</v>
      </c>
      <c r="U408" s="8">
        <f t="shared" si="66"/>
        <v>-0.64378142061299781</v>
      </c>
      <c r="V408" s="8" t="str">
        <f t="shared" si="67"/>
        <v>Normal</v>
      </c>
      <c r="W408" s="8">
        <f t="shared" si="68"/>
        <v>-0.42558595526712101</v>
      </c>
      <c r="X408" s="8" t="str">
        <f t="shared" si="69"/>
        <v>Normal</v>
      </c>
    </row>
    <row r="409" spans="1:24" x14ac:dyDescent="0.25">
      <c r="A409" s="6">
        <v>408</v>
      </c>
      <c r="B409" s="7">
        <v>40561</v>
      </c>
      <c r="C409" s="6">
        <v>1</v>
      </c>
      <c r="D409" s="6" t="str">
        <f t="shared" si="60"/>
        <v>january</v>
      </c>
      <c r="E409" s="6">
        <v>23</v>
      </c>
      <c r="F409" s="6" t="str">
        <f t="shared" si="61"/>
        <v>Night</v>
      </c>
      <c r="G409" s="6" t="b">
        <v>0</v>
      </c>
      <c r="H409" s="6">
        <f t="shared" si="62"/>
        <v>0</v>
      </c>
      <c r="I409" s="6">
        <v>2</v>
      </c>
      <c r="J409" s="6" t="str">
        <f t="shared" si="63"/>
        <v>Tuesday</v>
      </c>
      <c r="K409" s="6">
        <f t="shared" si="64"/>
        <v>0</v>
      </c>
      <c r="L409" s="6">
        <v>2</v>
      </c>
      <c r="M409" s="6" t="str">
        <f t="shared" si="65"/>
        <v>Cloudy</v>
      </c>
      <c r="N409" s="8">
        <v>0.22</v>
      </c>
      <c r="O409" s="8">
        <v>0.2727</v>
      </c>
      <c r="P409" s="8">
        <v>0.93</v>
      </c>
      <c r="Q409" s="8">
        <v>0</v>
      </c>
      <c r="R409" s="6">
        <v>1</v>
      </c>
      <c r="S409" s="6">
        <v>19</v>
      </c>
      <c r="T409" s="6">
        <v>20</v>
      </c>
      <c r="U409" s="8">
        <f t="shared" si="66"/>
        <v>-0.51295812847461175</v>
      </c>
      <c r="V409" s="8" t="str">
        <f t="shared" si="67"/>
        <v>Normal</v>
      </c>
      <c r="W409" s="8">
        <f t="shared" si="68"/>
        <v>-0.71789834175290301</v>
      </c>
      <c r="X409" s="8" t="str">
        <f t="shared" si="69"/>
        <v>Normal</v>
      </c>
    </row>
    <row r="410" spans="1:24" x14ac:dyDescent="0.25">
      <c r="A410" s="6">
        <v>409</v>
      </c>
      <c r="B410" s="7">
        <v>40562</v>
      </c>
      <c r="C410" s="6">
        <v>1</v>
      </c>
      <c r="D410" s="6" t="str">
        <f t="shared" si="60"/>
        <v>january</v>
      </c>
      <c r="E410" s="6">
        <v>0</v>
      </c>
      <c r="F410" s="6" t="str">
        <f t="shared" si="61"/>
        <v>Night</v>
      </c>
      <c r="G410" s="6" t="b">
        <v>0</v>
      </c>
      <c r="H410" s="6">
        <f t="shared" si="62"/>
        <v>0</v>
      </c>
      <c r="I410" s="6">
        <v>3</v>
      </c>
      <c r="J410" s="6" t="str">
        <f t="shared" si="63"/>
        <v>Wednesday</v>
      </c>
      <c r="K410" s="6">
        <f t="shared" si="64"/>
        <v>0</v>
      </c>
      <c r="L410" s="6">
        <v>2</v>
      </c>
      <c r="M410" s="6" t="str">
        <f t="shared" si="65"/>
        <v>Cloudy</v>
      </c>
      <c r="N410" s="8">
        <v>0.22</v>
      </c>
      <c r="O410" s="8">
        <v>0.2727</v>
      </c>
      <c r="P410" s="8">
        <v>0.93</v>
      </c>
      <c r="Q410" s="8">
        <v>0</v>
      </c>
      <c r="R410" s="6">
        <v>0</v>
      </c>
      <c r="S410" s="6">
        <v>3</v>
      </c>
      <c r="T410" s="6">
        <v>3</v>
      </c>
      <c r="U410" s="8">
        <f t="shared" si="66"/>
        <v>-0.64378142061299781</v>
      </c>
      <c r="V410" s="8" t="str">
        <f t="shared" si="67"/>
        <v>Normal</v>
      </c>
      <c r="W410" s="8">
        <f t="shared" si="68"/>
        <v>-1.0519696405937966</v>
      </c>
      <c r="X410" s="8" t="str">
        <f t="shared" si="69"/>
        <v>Normal</v>
      </c>
    </row>
    <row r="411" spans="1:24" x14ac:dyDescent="0.25">
      <c r="A411" s="6">
        <v>410</v>
      </c>
      <c r="B411" s="7">
        <v>40562</v>
      </c>
      <c r="C411" s="6">
        <v>1</v>
      </c>
      <c r="D411" s="6" t="str">
        <f t="shared" si="60"/>
        <v>january</v>
      </c>
      <c r="E411" s="6">
        <v>1</v>
      </c>
      <c r="F411" s="6" t="str">
        <f t="shared" si="61"/>
        <v>Night</v>
      </c>
      <c r="G411" s="6" t="b">
        <v>0</v>
      </c>
      <c r="H411" s="6">
        <f t="shared" si="62"/>
        <v>0</v>
      </c>
      <c r="I411" s="6">
        <v>3</v>
      </c>
      <c r="J411" s="6" t="str">
        <f t="shared" si="63"/>
        <v>Wednesday</v>
      </c>
      <c r="K411" s="6">
        <f t="shared" si="64"/>
        <v>0</v>
      </c>
      <c r="L411" s="6">
        <v>3</v>
      </c>
      <c r="M411" s="6" t="str">
        <f t="shared" si="65"/>
        <v>Light rain</v>
      </c>
      <c r="N411" s="8">
        <v>0.22</v>
      </c>
      <c r="O411" s="8">
        <v>0.2273</v>
      </c>
      <c r="P411" s="8">
        <v>0.93</v>
      </c>
      <c r="Q411" s="8">
        <v>0.1343</v>
      </c>
      <c r="R411" s="6">
        <v>1</v>
      </c>
      <c r="S411" s="6">
        <v>6</v>
      </c>
      <c r="T411" s="6">
        <v>7</v>
      </c>
      <c r="U411" s="8">
        <f t="shared" si="66"/>
        <v>-0.51295812847461175</v>
      </c>
      <c r="V411" s="8" t="str">
        <f t="shared" si="67"/>
        <v>Normal</v>
      </c>
      <c r="W411" s="8">
        <f t="shared" si="68"/>
        <v>-0.98933127206112903</v>
      </c>
      <c r="X411" s="8" t="str">
        <f t="shared" si="69"/>
        <v>Normal</v>
      </c>
    </row>
    <row r="412" spans="1:24" x14ac:dyDescent="0.25">
      <c r="A412" s="6">
        <v>411</v>
      </c>
      <c r="B412" s="7">
        <v>40562</v>
      </c>
      <c r="C412" s="6">
        <v>1</v>
      </c>
      <c r="D412" s="6" t="str">
        <f t="shared" si="60"/>
        <v>january</v>
      </c>
      <c r="E412" s="6">
        <v>2</v>
      </c>
      <c r="F412" s="6" t="str">
        <f t="shared" si="61"/>
        <v>Night</v>
      </c>
      <c r="G412" s="6" t="b">
        <v>0</v>
      </c>
      <c r="H412" s="6">
        <f t="shared" si="62"/>
        <v>0</v>
      </c>
      <c r="I412" s="6">
        <v>3</v>
      </c>
      <c r="J412" s="6" t="str">
        <f t="shared" si="63"/>
        <v>Wednesday</v>
      </c>
      <c r="K412" s="6">
        <f t="shared" si="64"/>
        <v>0</v>
      </c>
      <c r="L412" s="6">
        <v>3</v>
      </c>
      <c r="M412" s="6" t="str">
        <f t="shared" si="65"/>
        <v>Light rain</v>
      </c>
      <c r="N412" s="8">
        <v>0.22</v>
      </c>
      <c r="O412" s="8">
        <v>0.2273</v>
      </c>
      <c r="P412" s="8">
        <v>0.93</v>
      </c>
      <c r="Q412" s="8">
        <v>0.1343</v>
      </c>
      <c r="R412" s="6">
        <v>0</v>
      </c>
      <c r="S412" s="6">
        <v>3</v>
      </c>
      <c r="T412" s="6">
        <v>3</v>
      </c>
      <c r="U412" s="8">
        <f t="shared" si="66"/>
        <v>-0.64378142061299781</v>
      </c>
      <c r="V412" s="8" t="str">
        <f t="shared" si="67"/>
        <v>Normal</v>
      </c>
      <c r="W412" s="8">
        <f t="shared" si="68"/>
        <v>-1.0519696405937966</v>
      </c>
      <c r="X412" s="8" t="str">
        <f t="shared" si="69"/>
        <v>Normal</v>
      </c>
    </row>
    <row r="413" spans="1:24" x14ac:dyDescent="0.25">
      <c r="A413" s="6">
        <v>412</v>
      </c>
      <c r="B413" s="7">
        <v>40562</v>
      </c>
      <c r="C413" s="6">
        <v>1</v>
      </c>
      <c r="D413" s="6" t="str">
        <f t="shared" si="60"/>
        <v>january</v>
      </c>
      <c r="E413" s="6">
        <v>4</v>
      </c>
      <c r="F413" s="6" t="str">
        <f t="shared" si="61"/>
        <v>Night</v>
      </c>
      <c r="G413" s="6" t="b">
        <v>0</v>
      </c>
      <c r="H413" s="6">
        <f t="shared" si="62"/>
        <v>0</v>
      </c>
      <c r="I413" s="6">
        <v>3</v>
      </c>
      <c r="J413" s="6" t="str">
        <f t="shared" si="63"/>
        <v>Wednesday</v>
      </c>
      <c r="K413" s="6">
        <f t="shared" si="64"/>
        <v>0</v>
      </c>
      <c r="L413" s="6">
        <v>3</v>
      </c>
      <c r="M413" s="6" t="str">
        <f t="shared" si="65"/>
        <v>Light rain</v>
      </c>
      <c r="N413" s="8">
        <v>0.22</v>
      </c>
      <c r="O413" s="8">
        <v>0.2273</v>
      </c>
      <c r="P413" s="8">
        <v>0.93</v>
      </c>
      <c r="Q413" s="8">
        <v>0.1343</v>
      </c>
      <c r="R413" s="6">
        <v>1</v>
      </c>
      <c r="S413" s="6">
        <v>1</v>
      </c>
      <c r="T413" s="6">
        <v>2</v>
      </c>
      <c r="U413" s="8">
        <f t="shared" si="66"/>
        <v>-0.51295812847461175</v>
      </c>
      <c r="V413" s="8" t="str">
        <f t="shared" si="67"/>
        <v>Normal</v>
      </c>
      <c r="W413" s="8">
        <f t="shared" si="68"/>
        <v>-1.0937285529489083</v>
      </c>
      <c r="X413" s="8" t="str">
        <f t="shared" si="69"/>
        <v>Normal</v>
      </c>
    </row>
    <row r="414" spans="1:24" x14ac:dyDescent="0.25">
      <c r="A414" s="6">
        <v>413</v>
      </c>
      <c r="B414" s="7">
        <v>40562</v>
      </c>
      <c r="C414" s="6">
        <v>1</v>
      </c>
      <c r="D414" s="6" t="str">
        <f t="shared" si="60"/>
        <v>january</v>
      </c>
      <c r="E414" s="6">
        <v>5</v>
      </c>
      <c r="F414" s="6" t="str">
        <f t="shared" si="61"/>
        <v>Early Morning</v>
      </c>
      <c r="G414" s="6" t="b">
        <v>0</v>
      </c>
      <c r="H414" s="6">
        <f t="shared" si="62"/>
        <v>0</v>
      </c>
      <c r="I414" s="6">
        <v>3</v>
      </c>
      <c r="J414" s="6" t="str">
        <f t="shared" si="63"/>
        <v>Wednesday</v>
      </c>
      <c r="K414" s="6">
        <f t="shared" si="64"/>
        <v>0</v>
      </c>
      <c r="L414" s="6">
        <v>2</v>
      </c>
      <c r="M414" s="6" t="str">
        <f t="shared" si="65"/>
        <v>Cloudy</v>
      </c>
      <c r="N414" s="8">
        <v>0.22</v>
      </c>
      <c r="O414" s="8">
        <v>0.2576</v>
      </c>
      <c r="P414" s="8">
        <v>0.93</v>
      </c>
      <c r="Q414" s="8">
        <v>8.9599999999999999E-2</v>
      </c>
      <c r="R414" s="6">
        <v>0</v>
      </c>
      <c r="S414" s="6">
        <v>7</v>
      </c>
      <c r="T414" s="6">
        <v>7</v>
      </c>
      <c r="U414" s="8">
        <f t="shared" si="66"/>
        <v>-0.64378142061299781</v>
      </c>
      <c r="V414" s="8" t="str">
        <f t="shared" si="67"/>
        <v>Normal</v>
      </c>
      <c r="W414" s="8">
        <f t="shared" si="68"/>
        <v>-0.96845181588357321</v>
      </c>
      <c r="X414" s="8" t="str">
        <f t="shared" si="69"/>
        <v>Normal</v>
      </c>
    </row>
    <row r="415" spans="1:24" x14ac:dyDescent="0.25">
      <c r="A415" s="6">
        <v>414</v>
      </c>
      <c r="B415" s="7">
        <v>40562</v>
      </c>
      <c r="C415" s="6">
        <v>1</v>
      </c>
      <c r="D415" s="6" t="str">
        <f t="shared" si="60"/>
        <v>january</v>
      </c>
      <c r="E415" s="6">
        <v>6</v>
      </c>
      <c r="F415" s="6" t="str">
        <f t="shared" si="61"/>
        <v>Early Morning</v>
      </c>
      <c r="G415" s="6" t="b">
        <v>0</v>
      </c>
      <c r="H415" s="6">
        <f t="shared" si="62"/>
        <v>0</v>
      </c>
      <c r="I415" s="6">
        <v>3</v>
      </c>
      <c r="J415" s="6" t="str">
        <f t="shared" si="63"/>
        <v>Wednesday</v>
      </c>
      <c r="K415" s="6">
        <f t="shared" si="64"/>
        <v>0</v>
      </c>
      <c r="L415" s="6">
        <v>2</v>
      </c>
      <c r="M415" s="6" t="str">
        <f t="shared" si="65"/>
        <v>Cloudy</v>
      </c>
      <c r="N415" s="8">
        <v>0.22</v>
      </c>
      <c r="O415" s="8">
        <v>0.2576</v>
      </c>
      <c r="P415" s="8">
        <v>0.93</v>
      </c>
      <c r="Q415" s="8">
        <v>8.9599999999999999E-2</v>
      </c>
      <c r="R415" s="6">
        <v>0</v>
      </c>
      <c r="S415" s="6">
        <v>32</v>
      </c>
      <c r="T415" s="6">
        <v>32</v>
      </c>
      <c r="U415" s="8">
        <f t="shared" si="66"/>
        <v>-0.64378142061299781</v>
      </c>
      <c r="V415" s="8" t="str">
        <f t="shared" si="67"/>
        <v>Normal</v>
      </c>
      <c r="W415" s="8">
        <f t="shared" si="68"/>
        <v>-0.44646541144467689</v>
      </c>
      <c r="X415" s="8" t="str">
        <f t="shared" si="69"/>
        <v>Normal</v>
      </c>
    </row>
    <row r="416" spans="1:24" x14ac:dyDescent="0.25">
      <c r="A416" s="6">
        <v>415</v>
      </c>
      <c r="B416" s="7">
        <v>40562</v>
      </c>
      <c r="C416" s="6">
        <v>1</v>
      </c>
      <c r="D416" s="6" t="str">
        <f t="shared" si="60"/>
        <v>january</v>
      </c>
      <c r="E416" s="6">
        <v>7</v>
      </c>
      <c r="F416" s="6" t="str">
        <f t="shared" si="61"/>
        <v>Early Morning</v>
      </c>
      <c r="G416" s="6" t="b">
        <v>0</v>
      </c>
      <c r="H416" s="6">
        <f t="shared" si="62"/>
        <v>0</v>
      </c>
      <c r="I416" s="6">
        <v>3</v>
      </c>
      <c r="J416" s="6" t="str">
        <f t="shared" si="63"/>
        <v>Wednesday</v>
      </c>
      <c r="K416" s="6">
        <f t="shared" si="64"/>
        <v>0</v>
      </c>
      <c r="L416" s="6">
        <v>2</v>
      </c>
      <c r="M416" s="6" t="str">
        <f t="shared" si="65"/>
        <v>Cloudy</v>
      </c>
      <c r="N416" s="8">
        <v>0.24</v>
      </c>
      <c r="O416" s="8">
        <v>0.2576</v>
      </c>
      <c r="P416" s="8">
        <v>0.92</v>
      </c>
      <c r="Q416" s="8">
        <v>0.1045</v>
      </c>
      <c r="R416" s="6">
        <v>1</v>
      </c>
      <c r="S416" s="6">
        <v>89</v>
      </c>
      <c r="T416" s="6">
        <v>90</v>
      </c>
      <c r="U416" s="8">
        <f t="shared" si="66"/>
        <v>-0.51295812847461175</v>
      </c>
      <c r="V416" s="8" t="str">
        <f t="shared" si="67"/>
        <v>Normal</v>
      </c>
      <c r="W416" s="8">
        <f t="shared" si="68"/>
        <v>0.74366359067600685</v>
      </c>
      <c r="X416" s="8" t="str">
        <f t="shared" si="69"/>
        <v>Normal</v>
      </c>
    </row>
    <row r="417" spans="1:24" x14ac:dyDescent="0.25">
      <c r="A417" s="6">
        <v>416</v>
      </c>
      <c r="B417" s="7">
        <v>40562</v>
      </c>
      <c r="C417" s="6">
        <v>1</v>
      </c>
      <c r="D417" s="6" t="str">
        <f t="shared" si="60"/>
        <v>january</v>
      </c>
      <c r="E417" s="6">
        <v>8</v>
      </c>
      <c r="F417" s="6" t="str">
        <f t="shared" si="61"/>
        <v>Morning</v>
      </c>
      <c r="G417" s="6" t="b">
        <v>0</v>
      </c>
      <c r="H417" s="6">
        <f t="shared" si="62"/>
        <v>0</v>
      </c>
      <c r="I417" s="6">
        <v>3</v>
      </c>
      <c r="J417" s="6" t="str">
        <f t="shared" si="63"/>
        <v>Wednesday</v>
      </c>
      <c r="K417" s="6">
        <f t="shared" si="64"/>
        <v>0</v>
      </c>
      <c r="L417" s="6">
        <v>2</v>
      </c>
      <c r="M417" s="6" t="str">
        <f t="shared" si="65"/>
        <v>Cloudy</v>
      </c>
      <c r="N417" s="8">
        <v>0.24</v>
      </c>
      <c r="O417" s="8">
        <v>0.2576</v>
      </c>
      <c r="P417" s="8">
        <v>0.93</v>
      </c>
      <c r="Q417" s="8">
        <v>0.1045</v>
      </c>
      <c r="R417" s="6">
        <v>1</v>
      </c>
      <c r="S417" s="6">
        <v>196</v>
      </c>
      <c r="T417" s="6">
        <v>197</v>
      </c>
      <c r="U417" s="8">
        <f t="shared" si="66"/>
        <v>-0.51295812847461175</v>
      </c>
      <c r="V417" s="8" t="str">
        <f t="shared" si="67"/>
        <v>Normal</v>
      </c>
      <c r="W417" s="8">
        <f t="shared" si="68"/>
        <v>2.9777654016744832</v>
      </c>
      <c r="X417" s="8" t="str">
        <f t="shared" si="69"/>
        <v>Peak</v>
      </c>
    </row>
    <row r="418" spans="1:24" x14ac:dyDescent="0.25">
      <c r="A418" s="6">
        <v>417</v>
      </c>
      <c r="B418" s="7">
        <v>40562</v>
      </c>
      <c r="C418" s="6">
        <v>1</v>
      </c>
      <c r="D418" s="6" t="str">
        <f t="shared" si="60"/>
        <v>january</v>
      </c>
      <c r="E418" s="6">
        <v>9</v>
      </c>
      <c r="F418" s="6" t="str">
        <f t="shared" si="61"/>
        <v>Morning</v>
      </c>
      <c r="G418" s="6" t="b">
        <v>0</v>
      </c>
      <c r="H418" s="6">
        <f t="shared" si="62"/>
        <v>0</v>
      </c>
      <c r="I418" s="6">
        <v>3</v>
      </c>
      <c r="J418" s="6" t="str">
        <f t="shared" si="63"/>
        <v>Wednesday</v>
      </c>
      <c r="K418" s="6">
        <f t="shared" si="64"/>
        <v>0</v>
      </c>
      <c r="L418" s="6">
        <v>2</v>
      </c>
      <c r="M418" s="6" t="str">
        <f t="shared" si="65"/>
        <v>Cloudy</v>
      </c>
      <c r="N418" s="8">
        <v>0.24</v>
      </c>
      <c r="O418" s="8">
        <v>0.2576</v>
      </c>
      <c r="P418" s="8">
        <v>0.93</v>
      </c>
      <c r="Q418" s="8">
        <v>0.1045</v>
      </c>
      <c r="R418" s="6">
        <v>2</v>
      </c>
      <c r="S418" s="6">
        <v>107</v>
      </c>
      <c r="T418" s="6">
        <v>109</v>
      </c>
      <c r="U418" s="8">
        <f t="shared" si="66"/>
        <v>-0.38213483633622569</v>
      </c>
      <c r="V418" s="8" t="str">
        <f t="shared" si="67"/>
        <v>Normal</v>
      </c>
      <c r="W418" s="8">
        <f t="shared" si="68"/>
        <v>1.1194938018720122</v>
      </c>
      <c r="X418" s="8" t="str">
        <f t="shared" si="69"/>
        <v>Normal</v>
      </c>
    </row>
    <row r="419" spans="1:24" x14ac:dyDescent="0.25">
      <c r="A419" s="6">
        <v>418</v>
      </c>
      <c r="B419" s="7">
        <v>40562</v>
      </c>
      <c r="C419" s="6">
        <v>1</v>
      </c>
      <c r="D419" s="6" t="str">
        <f t="shared" si="60"/>
        <v>january</v>
      </c>
      <c r="E419" s="6">
        <v>10</v>
      </c>
      <c r="F419" s="6" t="str">
        <f t="shared" si="61"/>
        <v>Morning</v>
      </c>
      <c r="G419" s="6" t="b">
        <v>0</v>
      </c>
      <c r="H419" s="6">
        <f t="shared" si="62"/>
        <v>0</v>
      </c>
      <c r="I419" s="6">
        <v>3</v>
      </c>
      <c r="J419" s="6" t="str">
        <f t="shared" si="63"/>
        <v>Wednesday</v>
      </c>
      <c r="K419" s="6">
        <f t="shared" si="64"/>
        <v>0</v>
      </c>
      <c r="L419" s="6">
        <v>2</v>
      </c>
      <c r="M419" s="6" t="str">
        <f t="shared" si="65"/>
        <v>Cloudy</v>
      </c>
      <c r="N419" s="8">
        <v>0.26</v>
      </c>
      <c r="O419" s="8">
        <v>0.2727</v>
      </c>
      <c r="P419" s="8">
        <v>0.93</v>
      </c>
      <c r="Q419" s="8">
        <v>0.1343</v>
      </c>
      <c r="R419" s="6">
        <v>1</v>
      </c>
      <c r="S419" s="6">
        <v>46</v>
      </c>
      <c r="T419" s="6">
        <v>47</v>
      </c>
      <c r="U419" s="8">
        <f t="shared" si="66"/>
        <v>-0.51295812847461175</v>
      </c>
      <c r="V419" s="8" t="str">
        <f t="shared" si="67"/>
        <v>Normal</v>
      </c>
      <c r="W419" s="8">
        <f t="shared" si="68"/>
        <v>-0.15415302495889494</v>
      </c>
      <c r="X419" s="8" t="str">
        <f t="shared" si="69"/>
        <v>Normal</v>
      </c>
    </row>
    <row r="420" spans="1:24" x14ac:dyDescent="0.25">
      <c r="A420" s="6">
        <v>419</v>
      </c>
      <c r="B420" s="7">
        <v>40562</v>
      </c>
      <c r="C420" s="6">
        <v>1</v>
      </c>
      <c r="D420" s="6" t="str">
        <f t="shared" si="60"/>
        <v>january</v>
      </c>
      <c r="E420" s="6">
        <v>11</v>
      </c>
      <c r="F420" s="6" t="str">
        <f t="shared" si="61"/>
        <v>Morning</v>
      </c>
      <c r="G420" s="6" t="b">
        <v>0</v>
      </c>
      <c r="H420" s="6">
        <f t="shared" si="62"/>
        <v>0</v>
      </c>
      <c r="I420" s="6">
        <v>3</v>
      </c>
      <c r="J420" s="6" t="str">
        <f t="shared" si="63"/>
        <v>Wednesday</v>
      </c>
      <c r="K420" s="6">
        <f t="shared" si="64"/>
        <v>0</v>
      </c>
      <c r="L420" s="6">
        <v>2</v>
      </c>
      <c r="M420" s="6" t="str">
        <f t="shared" si="65"/>
        <v>Cloudy</v>
      </c>
      <c r="N420" s="8">
        <v>0.28000000000000003</v>
      </c>
      <c r="O420" s="8">
        <v>0.30299999999999999</v>
      </c>
      <c r="P420" s="8">
        <v>0.87</v>
      </c>
      <c r="Q420" s="8">
        <v>8.9599999999999999E-2</v>
      </c>
      <c r="R420" s="6">
        <v>5</v>
      </c>
      <c r="S420" s="6">
        <v>47</v>
      </c>
      <c r="T420" s="6">
        <v>52</v>
      </c>
      <c r="U420" s="8">
        <f t="shared" si="66"/>
        <v>1.0335040078932463E-2</v>
      </c>
      <c r="V420" s="8" t="str">
        <f t="shared" si="67"/>
        <v>Normal</v>
      </c>
      <c r="W420" s="8">
        <f t="shared" si="68"/>
        <v>-0.13327356878133906</v>
      </c>
      <c r="X420" s="8" t="str">
        <f t="shared" si="69"/>
        <v>Normal</v>
      </c>
    </row>
    <row r="421" spans="1:24" x14ac:dyDescent="0.25">
      <c r="A421" s="6">
        <v>420</v>
      </c>
      <c r="B421" s="7">
        <v>40562</v>
      </c>
      <c r="C421" s="6">
        <v>1</v>
      </c>
      <c r="D421" s="6" t="str">
        <f t="shared" si="60"/>
        <v>january</v>
      </c>
      <c r="E421" s="6">
        <v>12</v>
      </c>
      <c r="F421" s="6" t="str">
        <f t="shared" si="61"/>
        <v>Afternoon</v>
      </c>
      <c r="G421" s="6" t="b">
        <v>0</v>
      </c>
      <c r="H421" s="6">
        <f t="shared" si="62"/>
        <v>0</v>
      </c>
      <c r="I421" s="6">
        <v>3</v>
      </c>
      <c r="J421" s="6" t="str">
        <f t="shared" si="63"/>
        <v>Wednesday</v>
      </c>
      <c r="K421" s="6">
        <f t="shared" si="64"/>
        <v>0</v>
      </c>
      <c r="L421" s="6">
        <v>2</v>
      </c>
      <c r="M421" s="6" t="str">
        <f t="shared" si="65"/>
        <v>Cloudy</v>
      </c>
      <c r="N421" s="8">
        <v>0.3</v>
      </c>
      <c r="O421" s="8">
        <v>0.31819999999999998</v>
      </c>
      <c r="P421" s="8">
        <v>0.81</v>
      </c>
      <c r="Q421" s="8">
        <v>8.9599999999999999E-2</v>
      </c>
      <c r="R421" s="6">
        <v>5</v>
      </c>
      <c r="S421" s="6">
        <v>65</v>
      </c>
      <c r="T421" s="6">
        <v>70</v>
      </c>
      <c r="U421" s="8">
        <f t="shared" si="66"/>
        <v>1.0335040078932463E-2</v>
      </c>
      <c r="V421" s="8" t="str">
        <f t="shared" si="67"/>
        <v>Normal</v>
      </c>
      <c r="W421" s="8">
        <f t="shared" si="68"/>
        <v>0.24255664241466629</v>
      </c>
      <c r="X421" s="8" t="str">
        <f t="shared" si="69"/>
        <v>Normal</v>
      </c>
    </row>
    <row r="422" spans="1:24" x14ac:dyDescent="0.25">
      <c r="A422" s="6">
        <v>421</v>
      </c>
      <c r="B422" s="7">
        <v>40562</v>
      </c>
      <c r="C422" s="6">
        <v>1</v>
      </c>
      <c r="D422" s="6" t="str">
        <f t="shared" si="60"/>
        <v>january</v>
      </c>
      <c r="E422" s="6">
        <v>13</v>
      </c>
      <c r="F422" s="6" t="str">
        <f t="shared" si="61"/>
        <v>Afternoon</v>
      </c>
      <c r="G422" s="6" t="b">
        <v>0</v>
      </c>
      <c r="H422" s="6">
        <f t="shared" si="62"/>
        <v>0</v>
      </c>
      <c r="I422" s="6">
        <v>3</v>
      </c>
      <c r="J422" s="6" t="str">
        <f t="shared" si="63"/>
        <v>Wednesday</v>
      </c>
      <c r="K422" s="6">
        <f t="shared" si="64"/>
        <v>0</v>
      </c>
      <c r="L422" s="6">
        <v>1</v>
      </c>
      <c r="M422" s="6" t="str">
        <f t="shared" si="65"/>
        <v>Partly cloudy</v>
      </c>
      <c r="N422" s="8">
        <v>0.4</v>
      </c>
      <c r="O422" s="8">
        <v>0.40910000000000002</v>
      </c>
      <c r="P422" s="8">
        <v>0.62</v>
      </c>
      <c r="Q422" s="8">
        <v>0.28360000000000002</v>
      </c>
      <c r="R422" s="6">
        <v>11</v>
      </c>
      <c r="S422" s="6">
        <v>67</v>
      </c>
      <c r="T422" s="6">
        <v>78</v>
      </c>
      <c r="U422" s="8">
        <f t="shared" si="66"/>
        <v>0.79527479290924885</v>
      </c>
      <c r="V422" s="8" t="str">
        <f t="shared" si="67"/>
        <v>Normal</v>
      </c>
      <c r="W422" s="8">
        <f t="shared" si="68"/>
        <v>0.28431555476977799</v>
      </c>
      <c r="X422" s="8" t="str">
        <f t="shared" si="69"/>
        <v>Normal</v>
      </c>
    </row>
    <row r="423" spans="1:24" x14ac:dyDescent="0.25">
      <c r="A423" s="6">
        <v>422</v>
      </c>
      <c r="B423" s="7">
        <v>40562</v>
      </c>
      <c r="C423" s="6">
        <v>1</v>
      </c>
      <c r="D423" s="6" t="str">
        <f t="shared" si="60"/>
        <v>january</v>
      </c>
      <c r="E423" s="6">
        <v>14</v>
      </c>
      <c r="F423" s="6" t="str">
        <f t="shared" si="61"/>
        <v>Afternoon</v>
      </c>
      <c r="G423" s="6" t="b">
        <v>0</v>
      </c>
      <c r="H423" s="6">
        <f t="shared" si="62"/>
        <v>0</v>
      </c>
      <c r="I423" s="6">
        <v>3</v>
      </c>
      <c r="J423" s="6" t="str">
        <f t="shared" si="63"/>
        <v>Wednesday</v>
      </c>
      <c r="K423" s="6">
        <f t="shared" si="64"/>
        <v>0</v>
      </c>
      <c r="L423" s="6">
        <v>1</v>
      </c>
      <c r="M423" s="6" t="str">
        <f t="shared" si="65"/>
        <v>Partly cloudy</v>
      </c>
      <c r="N423" s="8">
        <v>0.4</v>
      </c>
      <c r="O423" s="8">
        <v>0.40910000000000002</v>
      </c>
      <c r="P423" s="8">
        <v>0.57999999999999996</v>
      </c>
      <c r="Q423" s="8">
        <v>0.25369999999999998</v>
      </c>
      <c r="R423" s="6">
        <v>7</v>
      </c>
      <c r="S423" s="6">
        <v>68</v>
      </c>
      <c r="T423" s="6">
        <v>75</v>
      </c>
      <c r="U423" s="8">
        <f t="shared" si="66"/>
        <v>0.27198162435570455</v>
      </c>
      <c r="V423" s="8" t="str">
        <f t="shared" si="67"/>
        <v>Normal</v>
      </c>
      <c r="W423" s="8">
        <f t="shared" si="68"/>
        <v>0.30519501094733387</v>
      </c>
      <c r="X423" s="8" t="str">
        <f t="shared" si="69"/>
        <v>Normal</v>
      </c>
    </row>
    <row r="424" spans="1:24" x14ac:dyDescent="0.25">
      <c r="A424" s="6">
        <v>423</v>
      </c>
      <c r="B424" s="7">
        <v>40562</v>
      </c>
      <c r="C424" s="6">
        <v>1</v>
      </c>
      <c r="D424" s="6" t="str">
        <f t="shared" si="60"/>
        <v>january</v>
      </c>
      <c r="E424" s="6">
        <v>15</v>
      </c>
      <c r="F424" s="6" t="str">
        <f t="shared" si="61"/>
        <v>Afternoon</v>
      </c>
      <c r="G424" s="6" t="b">
        <v>0</v>
      </c>
      <c r="H424" s="6">
        <f t="shared" si="62"/>
        <v>0</v>
      </c>
      <c r="I424" s="6">
        <v>3</v>
      </c>
      <c r="J424" s="6" t="str">
        <f t="shared" si="63"/>
        <v>Wednesday</v>
      </c>
      <c r="K424" s="6">
        <f t="shared" si="64"/>
        <v>0</v>
      </c>
      <c r="L424" s="6">
        <v>1</v>
      </c>
      <c r="M424" s="6" t="str">
        <f t="shared" si="65"/>
        <v>Partly cloudy</v>
      </c>
      <c r="N424" s="8">
        <v>0.4</v>
      </c>
      <c r="O424" s="8">
        <v>0.40910000000000002</v>
      </c>
      <c r="P424" s="8">
        <v>0.54</v>
      </c>
      <c r="Q424" s="8">
        <v>0.28360000000000002</v>
      </c>
      <c r="R424" s="6">
        <v>4</v>
      </c>
      <c r="S424" s="6">
        <v>78</v>
      </c>
      <c r="T424" s="6">
        <v>82</v>
      </c>
      <c r="U424" s="8">
        <f t="shared" si="66"/>
        <v>-0.1204882520594536</v>
      </c>
      <c r="V424" s="8" t="str">
        <f t="shared" si="67"/>
        <v>Normal</v>
      </c>
      <c r="W424" s="8">
        <f t="shared" si="68"/>
        <v>0.51398957272289236</v>
      </c>
      <c r="X424" s="8" t="str">
        <f t="shared" si="69"/>
        <v>Normal</v>
      </c>
    </row>
    <row r="425" spans="1:24" x14ac:dyDescent="0.25">
      <c r="A425" s="6">
        <v>424</v>
      </c>
      <c r="B425" s="7">
        <v>40562</v>
      </c>
      <c r="C425" s="6">
        <v>1</v>
      </c>
      <c r="D425" s="6" t="str">
        <f t="shared" si="60"/>
        <v>january</v>
      </c>
      <c r="E425" s="6">
        <v>16</v>
      </c>
      <c r="F425" s="6" t="str">
        <f t="shared" si="61"/>
        <v>Afternoon</v>
      </c>
      <c r="G425" s="6" t="b">
        <v>0</v>
      </c>
      <c r="H425" s="6">
        <f t="shared" si="62"/>
        <v>0</v>
      </c>
      <c r="I425" s="6">
        <v>3</v>
      </c>
      <c r="J425" s="6" t="str">
        <f t="shared" si="63"/>
        <v>Wednesday</v>
      </c>
      <c r="K425" s="6">
        <f t="shared" si="64"/>
        <v>0</v>
      </c>
      <c r="L425" s="6">
        <v>1</v>
      </c>
      <c r="M425" s="6" t="str">
        <f t="shared" si="65"/>
        <v>Partly cloudy</v>
      </c>
      <c r="N425" s="8">
        <v>0.38</v>
      </c>
      <c r="O425" s="8">
        <v>0.39389999999999997</v>
      </c>
      <c r="P425" s="8">
        <v>0.57999999999999996</v>
      </c>
      <c r="Q425" s="8">
        <v>0.3881</v>
      </c>
      <c r="R425" s="6">
        <v>10</v>
      </c>
      <c r="S425" s="6">
        <v>94</v>
      </c>
      <c r="T425" s="6">
        <v>104</v>
      </c>
      <c r="U425" s="8">
        <f t="shared" si="66"/>
        <v>0.66445150077086279</v>
      </c>
      <c r="V425" s="8" t="str">
        <f t="shared" si="67"/>
        <v>Normal</v>
      </c>
      <c r="W425" s="8">
        <f t="shared" si="68"/>
        <v>0.84806087156378607</v>
      </c>
      <c r="X425" s="8" t="str">
        <f t="shared" si="69"/>
        <v>Normal</v>
      </c>
    </row>
    <row r="426" spans="1:24" x14ac:dyDescent="0.25">
      <c r="A426" s="6">
        <v>425</v>
      </c>
      <c r="B426" s="7">
        <v>40562</v>
      </c>
      <c r="C426" s="6">
        <v>1</v>
      </c>
      <c r="D426" s="6" t="str">
        <f t="shared" si="60"/>
        <v>january</v>
      </c>
      <c r="E426" s="6">
        <v>17</v>
      </c>
      <c r="F426" s="6" t="str">
        <f t="shared" si="61"/>
        <v>Evening</v>
      </c>
      <c r="G426" s="6" t="b">
        <v>0</v>
      </c>
      <c r="H426" s="6">
        <f t="shared" si="62"/>
        <v>0</v>
      </c>
      <c r="I426" s="6">
        <v>3</v>
      </c>
      <c r="J426" s="6" t="str">
        <f t="shared" si="63"/>
        <v>Wednesday</v>
      </c>
      <c r="K426" s="6">
        <f t="shared" si="64"/>
        <v>0</v>
      </c>
      <c r="L426" s="6">
        <v>1</v>
      </c>
      <c r="M426" s="6" t="str">
        <f t="shared" si="65"/>
        <v>Partly cloudy</v>
      </c>
      <c r="N426" s="8">
        <v>0.36</v>
      </c>
      <c r="O426" s="8">
        <v>0.33329999999999999</v>
      </c>
      <c r="P426" s="8">
        <v>0.56999999999999995</v>
      </c>
      <c r="Q426" s="8">
        <v>0.32840000000000003</v>
      </c>
      <c r="R426" s="6">
        <v>7</v>
      </c>
      <c r="S426" s="6">
        <v>190</v>
      </c>
      <c r="T426" s="6">
        <v>197</v>
      </c>
      <c r="U426" s="8">
        <f t="shared" si="66"/>
        <v>0.27198162435570455</v>
      </c>
      <c r="V426" s="8" t="str">
        <f t="shared" si="67"/>
        <v>Normal</v>
      </c>
      <c r="W426" s="8">
        <f t="shared" si="68"/>
        <v>2.8524886646091479</v>
      </c>
      <c r="X426" s="8" t="str">
        <f t="shared" si="69"/>
        <v>Peak</v>
      </c>
    </row>
    <row r="427" spans="1:24" x14ac:dyDescent="0.25">
      <c r="A427" s="6">
        <v>426</v>
      </c>
      <c r="B427" s="7">
        <v>40562</v>
      </c>
      <c r="C427" s="6">
        <v>1</v>
      </c>
      <c r="D427" s="6" t="str">
        <f t="shared" si="60"/>
        <v>january</v>
      </c>
      <c r="E427" s="6">
        <v>18</v>
      </c>
      <c r="F427" s="6" t="str">
        <f t="shared" si="61"/>
        <v>Evening</v>
      </c>
      <c r="G427" s="6" t="b">
        <v>0</v>
      </c>
      <c r="H427" s="6">
        <f t="shared" si="62"/>
        <v>0</v>
      </c>
      <c r="I427" s="6">
        <v>3</v>
      </c>
      <c r="J427" s="6" t="str">
        <f t="shared" si="63"/>
        <v>Wednesday</v>
      </c>
      <c r="K427" s="6">
        <f t="shared" si="64"/>
        <v>0</v>
      </c>
      <c r="L427" s="6">
        <v>1</v>
      </c>
      <c r="M427" s="6" t="str">
        <f t="shared" si="65"/>
        <v>Partly cloudy</v>
      </c>
      <c r="N427" s="8">
        <v>0.34</v>
      </c>
      <c r="O427" s="8">
        <v>0.31819999999999998</v>
      </c>
      <c r="P427" s="8">
        <v>0.61</v>
      </c>
      <c r="Q427" s="8">
        <v>0.28360000000000002</v>
      </c>
      <c r="R427" s="6">
        <v>5</v>
      </c>
      <c r="S427" s="6">
        <v>156</v>
      </c>
      <c r="T427" s="6">
        <v>161</v>
      </c>
      <c r="U427" s="8">
        <f t="shared" si="66"/>
        <v>1.0335040078932463E-2</v>
      </c>
      <c r="V427" s="8" t="str">
        <f t="shared" si="67"/>
        <v>Normal</v>
      </c>
      <c r="W427" s="8">
        <f t="shared" si="68"/>
        <v>2.142587154572249</v>
      </c>
      <c r="X427" s="8" t="str">
        <f t="shared" si="69"/>
        <v>Peak</v>
      </c>
    </row>
    <row r="428" spans="1:24" x14ac:dyDescent="0.25">
      <c r="A428" s="6">
        <v>427</v>
      </c>
      <c r="B428" s="7">
        <v>40562</v>
      </c>
      <c r="C428" s="6">
        <v>1</v>
      </c>
      <c r="D428" s="6" t="str">
        <f t="shared" si="60"/>
        <v>january</v>
      </c>
      <c r="E428" s="6">
        <v>19</v>
      </c>
      <c r="F428" s="6" t="str">
        <f t="shared" si="61"/>
        <v>Evening</v>
      </c>
      <c r="G428" s="6" t="b">
        <v>0</v>
      </c>
      <c r="H428" s="6">
        <f t="shared" si="62"/>
        <v>0</v>
      </c>
      <c r="I428" s="6">
        <v>3</v>
      </c>
      <c r="J428" s="6" t="str">
        <f t="shared" si="63"/>
        <v>Wednesday</v>
      </c>
      <c r="K428" s="6">
        <f t="shared" si="64"/>
        <v>0</v>
      </c>
      <c r="L428" s="6">
        <v>1</v>
      </c>
      <c r="M428" s="6" t="str">
        <f t="shared" si="65"/>
        <v>Partly cloudy</v>
      </c>
      <c r="N428" s="8">
        <v>0.32</v>
      </c>
      <c r="O428" s="8">
        <v>0.28789999999999999</v>
      </c>
      <c r="P428" s="8">
        <v>0.56999999999999995</v>
      </c>
      <c r="Q428" s="8">
        <v>0.41789999999999999</v>
      </c>
      <c r="R428" s="6">
        <v>4</v>
      </c>
      <c r="S428" s="6">
        <v>108</v>
      </c>
      <c r="T428" s="6">
        <v>112</v>
      </c>
      <c r="U428" s="8">
        <f t="shared" si="66"/>
        <v>-0.1204882520594536</v>
      </c>
      <c r="V428" s="8" t="str">
        <f t="shared" si="67"/>
        <v>Normal</v>
      </c>
      <c r="W428" s="8">
        <f t="shared" si="68"/>
        <v>1.140373258049568</v>
      </c>
      <c r="X428" s="8" t="str">
        <f t="shared" si="69"/>
        <v>Normal</v>
      </c>
    </row>
    <row r="429" spans="1:24" x14ac:dyDescent="0.25">
      <c r="A429" s="6">
        <v>428</v>
      </c>
      <c r="B429" s="7">
        <v>40562</v>
      </c>
      <c r="C429" s="6">
        <v>1</v>
      </c>
      <c r="D429" s="6" t="str">
        <f t="shared" si="60"/>
        <v>january</v>
      </c>
      <c r="E429" s="6">
        <v>20</v>
      </c>
      <c r="F429" s="6" t="str">
        <f t="shared" si="61"/>
        <v>Evening</v>
      </c>
      <c r="G429" s="6" t="b">
        <v>0</v>
      </c>
      <c r="H429" s="6">
        <f t="shared" si="62"/>
        <v>0</v>
      </c>
      <c r="I429" s="6">
        <v>3</v>
      </c>
      <c r="J429" s="6" t="str">
        <f t="shared" si="63"/>
        <v>Wednesday</v>
      </c>
      <c r="K429" s="6">
        <f t="shared" si="64"/>
        <v>0</v>
      </c>
      <c r="L429" s="6">
        <v>1</v>
      </c>
      <c r="M429" s="6" t="str">
        <f t="shared" si="65"/>
        <v>Partly cloudy</v>
      </c>
      <c r="N429" s="8">
        <v>0.32</v>
      </c>
      <c r="O429" s="8">
        <v>0.30299999999999999</v>
      </c>
      <c r="P429" s="8">
        <v>0.49</v>
      </c>
      <c r="Q429" s="8">
        <v>0.29849999999999999</v>
      </c>
      <c r="R429" s="6">
        <v>2</v>
      </c>
      <c r="S429" s="6">
        <v>74</v>
      </c>
      <c r="T429" s="6">
        <v>76</v>
      </c>
      <c r="U429" s="8">
        <f t="shared" si="66"/>
        <v>-0.38213483633622569</v>
      </c>
      <c r="V429" s="8" t="str">
        <f t="shared" si="67"/>
        <v>Normal</v>
      </c>
      <c r="W429" s="8">
        <f t="shared" si="68"/>
        <v>0.43047174801266896</v>
      </c>
      <c r="X429" s="8" t="str">
        <f t="shared" si="69"/>
        <v>Normal</v>
      </c>
    </row>
    <row r="430" spans="1:24" x14ac:dyDescent="0.25">
      <c r="A430" s="6">
        <v>429</v>
      </c>
      <c r="B430" s="7">
        <v>40562</v>
      </c>
      <c r="C430" s="6">
        <v>1</v>
      </c>
      <c r="D430" s="6" t="str">
        <f t="shared" si="60"/>
        <v>january</v>
      </c>
      <c r="E430" s="6">
        <v>21</v>
      </c>
      <c r="F430" s="6" t="str">
        <f t="shared" si="61"/>
        <v>Night</v>
      </c>
      <c r="G430" s="6" t="b">
        <v>0</v>
      </c>
      <c r="H430" s="6">
        <f t="shared" si="62"/>
        <v>0</v>
      </c>
      <c r="I430" s="6">
        <v>3</v>
      </c>
      <c r="J430" s="6" t="str">
        <f t="shared" si="63"/>
        <v>Wednesday</v>
      </c>
      <c r="K430" s="6">
        <f t="shared" si="64"/>
        <v>0</v>
      </c>
      <c r="L430" s="6">
        <v>1</v>
      </c>
      <c r="M430" s="6" t="str">
        <f t="shared" si="65"/>
        <v>Partly cloudy</v>
      </c>
      <c r="N430" s="8">
        <v>0.32</v>
      </c>
      <c r="O430" s="8">
        <v>0.28789999999999999</v>
      </c>
      <c r="P430" s="8">
        <v>0.49</v>
      </c>
      <c r="Q430" s="8">
        <v>0.41789999999999999</v>
      </c>
      <c r="R430" s="6">
        <v>4</v>
      </c>
      <c r="S430" s="6">
        <v>55</v>
      </c>
      <c r="T430" s="6">
        <v>59</v>
      </c>
      <c r="U430" s="8">
        <f t="shared" si="66"/>
        <v>-0.1204882520594536</v>
      </c>
      <c r="V430" s="8" t="str">
        <f t="shared" si="67"/>
        <v>Normal</v>
      </c>
      <c r="W430" s="8">
        <f t="shared" si="68"/>
        <v>3.376208063910776E-2</v>
      </c>
      <c r="X430" s="8" t="str">
        <f t="shared" si="69"/>
        <v>Normal</v>
      </c>
    </row>
    <row r="431" spans="1:24" x14ac:dyDescent="0.25">
      <c r="A431" s="6">
        <v>430</v>
      </c>
      <c r="B431" s="7">
        <v>40562</v>
      </c>
      <c r="C431" s="6">
        <v>1</v>
      </c>
      <c r="D431" s="6" t="str">
        <f t="shared" si="60"/>
        <v>january</v>
      </c>
      <c r="E431" s="6">
        <v>22</v>
      </c>
      <c r="F431" s="6" t="str">
        <f t="shared" si="61"/>
        <v>Night</v>
      </c>
      <c r="G431" s="6" t="b">
        <v>0</v>
      </c>
      <c r="H431" s="6">
        <f t="shared" si="62"/>
        <v>0</v>
      </c>
      <c r="I431" s="6">
        <v>3</v>
      </c>
      <c r="J431" s="6" t="str">
        <f t="shared" si="63"/>
        <v>Wednesday</v>
      </c>
      <c r="K431" s="6">
        <f t="shared" si="64"/>
        <v>0</v>
      </c>
      <c r="L431" s="6">
        <v>1</v>
      </c>
      <c r="M431" s="6" t="str">
        <f t="shared" si="65"/>
        <v>Partly cloudy</v>
      </c>
      <c r="N431" s="8">
        <v>0.3</v>
      </c>
      <c r="O431" s="8">
        <v>0.30299999999999999</v>
      </c>
      <c r="P431" s="8">
        <v>0.52</v>
      </c>
      <c r="Q431" s="8">
        <v>0.16420000000000001</v>
      </c>
      <c r="R431" s="6">
        <v>6</v>
      </c>
      <c r="S431" s="6">
        <v>53</v>
      </c>
      <c r="T431" s="6">
        <v>59</v>
      </c>
      <c r="U431" s="8">
        <f t="shared" si="66"/>
        <v>0.14115833221731852</v>
      </c>
      <c r="V431" s="8" t="str">
        <f t="shared" si="67"/>
        <v>Normal</v>
      </c>
      <c r="W431" s="8">
        <f t="shared" si="68"/>
        <v>-7.9968317160039482E-3</v>
      </c>
      <c r="X431" s="8" t="str">
        <f t="shared" si="69"/>
        <v>Normal</v>
      </c>
    </row>
    <row r="432" spans="1:24" x14ac:dyDescent="0.25">
      <c r="A432" s="6">
        <v>431</v>
      </c>
      <c r="B432" s="7">
        <v>40562</v>
      </c>
      <c r="C432" s="6">
        <v>1</v>
      </c>
      <c r="D432" s="6" t="str">
        <f t="shared" si="60"/>
        <v>january</v>
      </c>
      <c r="E432" s="6">
        <v>23</v>
      </c>
      <c r="F432" s="6" t="str">
        <f t="shared" si="61"/>
        <v>Night</v>
      </c>
      <c r="G432" s="6" t="b">
        <v>0</v>
      </c>
      <c r="H432" s="6">
        <f t="shared" si="62"/>
        <v>0</v>
      </c>
      <c r="I432" s="6">
        <v>3</v>
      </c>
      <c r="J432" s="6" t="str">
        <f t="shared" si="63"/>
        <v>Wednesday</v>
      </c>
      <c r="K432" s="6">
        <f t="shared" si="64"/>
        <v>0</v>
      </c>
      <c r="L432" s="6">
        <v>1</v>
      </c>
      <c r="M432" s="6" t="str">
        <f t="shared" si="65"/>
        <v>Partly cloudy</v>
      </c>
      <c r="N432" s="8">
        <v>0.3</v>
      </c>
      <c r="O432" s="8">
        <v>0.2727</v>
      </c>
      <c r="P432" s="8">
        <v>0.52</v>
      </c>
      <c r="Q432" s="8">
        <v>0.4627</v>
      </c>
      <c r="R432" s="6">
        <v>1</v>
      </c>
      <c r="S432" s="6">
        <v>27</v>
      </c>
      <c r="T432" s="6">
        <v>28</v>
      </c>
      <c r="U432" s="8">
        <f t="shared" si="66"/>
        <v>-0.51295812847461175</v>
      </c>
      <c r="V432" s="8" t="str">
        <f t="shared" si="67"/>
        <v>Normal</v>
      </c>
      <c r="W432" s="8">
        <f t="shared" si="68"/>
        <v>-0.55086269233245611</v>
      </c>
      <c r="X432" s="8" t="str">
        <f t="shared" si="69"/>
        <v>Normal</v>
      </c>
    </row>
    <row r="433" spans="1:24" x14ac:dyDescent="0.25">
      <c r="A433" s="6">
        <v>432</v>
      </c>
      <c r="B433" s="7">
        <v>40563</v>
      </c>
      <c r="C433" s="6">
        <v>1</v>
      </c>
      <c r="D433" s="6" t="str">
        <f t="shared" si="60"/>
        <v>january</v>
      </c>
      <c r="E433" s="6">
        <v>0</v>
      </c>
      <c r="F433" s="6" t="str">
        <f t="shared" si="61"/>
        <v>Night</v>
      </c>
      <c r="G433" s="6" t="b">
        <v>0</v>
      </c>
      <c r="H433" s="6">
        <f t="shared" si="62"/>
        <v>0</v>
      </c>
      <c r="I433" s="6">
        <v>4</v>
      </c>
      <c r="J433" s="6" t="str">
        <f t="shared" si="63"/>
        <v>Thursday</v>
      </c>
      <c r="K433" s="6">
        <f t="shared" si="64"/>
        <v>0</v>
      </c>
      <c r="L433" s="6">
        <v>1</v>
      </c>
      <c r="M433" s="6" t="str">
        <f t="shared" si="65"/>
        <v>Partly cloudy</v>
      </c>
      <c r="N433" s="8">
        <v>0.26</v>
      </c>
      <c r="O433" s="8">
        <v>0.2273</v>
      </c>
      <c r="P433" s="8">
        <v>0.56000000000000005</v>
      </c>
      <c r="Q433" s="8">
        <v>0.3881</v>
      </c>
      <c r="R433" s="6">
        <v>5</v>
      </c>
      <c r="S433" s="6">
        <v>8</v>
      </c>
      <c r="T433" s="6">
        <v>13</v>
      </c>
      <c r="U433" s="8">
        <f t="shared" si="66"/>
        <v>1.0335040078932463E-2</v>
      </c>
      <c r="V433" s="8" t="str">
        <f t="shared" si="67"/>
        <v>Normal</v>
      </c>
      <c r="W433" s="8">
        <f t="shared" si="68"/>
        <v>-0.94757235970601739</v>
      </c>
      <c r="X433" s="8" t="str">
        <f t="shared" si="69"/>
        <v>Normal</v>
      </c>
    </row>
    <row r="434" spans="1:24" x14ac:dyDescent="0.25">
      <c r="A434" s="6">
        <v>433</v>
      </c>
      <c r="B434" s="7">
        <v>40563</v>
      </c>
      <c r="C434" s="6">
        <v>1</v>
      </c>
      <c r="D434" s="6" t="str">
        <f t="shared" si="60"/>
        <v>january</v>
      </c>
      <c r="E434" s="6">
        <v>1</v>
      </c>
      <c r="F434" s="6" t="str">
        <f t="shared" si="61"/>
        <v>Night</v>
      </c>
      <c r="G434" s="6" t="b">
        <v>0</v>
      </c>
      <c r="H434" s="6">
        <f t="shared" si="62"/>
        <v>0</v>
      </c>
      <c r="I434" s="6">
        <v>4</v>
      </c>
      <c r="J434" s="6" t="str">
        <f t="shared" si="63"/>
        <v>Thursday</v>
      </c>
      <c r="K434" s="6">
        <f t="shared" si="64"/>
        <v>0</v>
      </c>
      <c r="L434" s="6">
        <v>1</v>
      </c>
      <c r="M434" s="6" t="str">
        <f t="shared" si="65"/>
        <v>Partly cloudy</v>
      </c>
      <c r="N434" s="8">
        <v>0.26</v>
      </c>
      <c r="O434" s="8">
        <v>0.2727</v>
      </c>
      <c r="P434" s="8">
        <v>0.56000000000000005</v>
      </c>
      <c r="Q434" s="8">
        <v>0</v>
      </c>
      <c r="R434" s="6">
        <v>2</v>
      </c>
      <c r="S434" s="6">
        <v>3</v>
      </c>
      <c r="T434" s="6">
        <v>5</v>
      </c>
      <c r="U434" s="8">
        <f t="shared" si="66"/>
        <v>-0.38213483633622569</v>
      </c>
      <c r="V434" s="8" t="str">
        <f t="shared" si="67"/>
        <v>Normal</v>
      </c>
      <c r="W434" s="8">
        <f t="shared" si="68"/>
        <v>-1.0519696405937966</v>
      </c>
      <c r="X434" s="8" t="str">
        <f t="shared" si="69"/>
        <v>Normal</v>
      </c>
    </row>
    <row r="435" spans="1:24" x14ac:dyDescent="0.25">
      <c r="A435" s="6">
        <v>434</v>
      </c>
      <c r="B435" s="7">
        <v>40563</v>
      </c>
      <c r="C435" s="6">
        <v>1</v>
      </c>
      <c r="D435" s="6" t="str">
        <f t="shared" si="60"/>
        <v>january</v>
      </c>
      <c r="E435" s="6">
        <v>2</v>
      </c>
      <c r="F435" s="6" t="str">
        <f t="shared" si="61"/>
        <v>Night</v>
      </c>
      <c r="G435" s="6" t="b">
        <v>0</v>
      </c>
      <c r="H435" s="6">
        <f t="shared" si="62"/>
        <v>0</v>
      </c>
      <c r="I435" s="6">
        <v>4</v>
      </c>
      <c r="J435" s="6" t="str">
        <f t="shared" si="63"/>
        <v>Thursday</v>
      </c>
      <c r="K435" s="6">
        <f t="shared" si="64"/>
        <v>0</v>
      </c>
      <c r="L435" s="6">
        <v>1</v>
      </c>
      <c r="M435" s="6" t="str">
        <f t="shared" si="65"/>
        <v>Partly cloudy</v>
      </c>
      <c r="N435" s="8">
        <v>0.26</v>
      </c>
      <c r="O435" s="8">
        <v>0.2727</v>
      </c>
      <c r="P435" s="8">
        <v>0.56000000000000005</v>
      </c>
      <c r="Q435" s="8">
        <v>0</v>
      </c>
      <c r="R435" s="6">
        <v>0</v>
      </c>
      <c r="S435" s="6">
        <v>2</v>
      </c>
      <c r="T435" s="6">
        <v>2</v>
      </c>
      <c r="U435" s="8">
        <f t="shared" si="66"/>
        <v>-0.64378142061299781</v>
      </c>
      <c r="V435" s="8" t="str">
        <f t="shared" si="67"/>
        <v>Normal</v>
      </c>
      <c r="W435" s="8">
        <f t="shared" si="68"/>
        <v>-1.0728490967713524</v>
      </c>
      <c r="X435" s="8" t="str">
        <f t="shared" si="69"/>
        <v>Normal</v>
      </c>
    </row>
    <row r="436" spans="1:24" x14ac:dyDescent="0.25">
      <c r="A436" s="6">
        <v>435</v>
      </c>
      <c r="B436" s="7">
        <v>40563</v>
      </c>
      <c r="C436" s="6">
        <v>1</v>
      </c>
      <c r="D436" s="6" t="str">
        <f t="shared" si="60"/>
        <v>january</v>
      </c>
      <c r="E436" s="6">
        <v>3</v>
      </c>
      <c r="F436" s="6" t="str">
        <f t="shared" si="61"/>
        <v>Night</v>
      </c>
      <c r="G436" s="6" t="b">
        <v>0</v>
      </c>
      <c r="H436" s="6">
        <f t="shared" si="62"/>
        <v>0</v>
      </c>
      <c r="I436" s="6">
        <v>4</v>
      </c>
      <c r="J436" s="6" t="str">
        <f t="shared" si="63"/>
        <v>Thursday</v>
      </c>
      <c r="K436" s="6">
        <f t="shared" si="64"/>
        <v>0</v>
      </c>
      <c r="L436" s="6">
        <v>1</v>
      </c>
      <c r="M436" s="6" t="str">
        <f t="shared" si="65"/>
        <v>Partly cloudy</v>
      </c>
      <c r="N436" s="8">
        <v>0.26</v>
      </c>
      <c r="O436" s="8">
        <v>0.2576</v>
      </c>
      <c r="P436" s="8">
        <v>0.56000000000000005</v>
      </c>
      <c r="Q436" s="8">
        <v>0.16420000000000001</v>
      </c>
      <c r="R436" s="6">
        <v>0</v>
      </c>
      <c r="S436" s="6">
        <v>1</v>
      </c>
      <c r="T436" s="6">
        <v>1</v>
      </c>
      <c r="U436" s="8">
        <f t="shared" si="66"/>
        <v>-0.64378142061299781</v>
      </c>
      <c r="V436" s="8" t="str">
        <f t="shared" si="67"/>
        <v>Normal</v>
      </c>
      <c r="W436" s="8">
        <f t="shared" si="68"/>
        <v>-1.0937285529489083</v>
      </c>
      <c r="X436" s="8" t="str">
        <f t="shared" si="69"/>
        <v>Normal</v>
      </c>
    </row>
    <row r="437" spans="1:24" x14ac:dyDescent="0.25">
      <c r="A437" s="6">
        <v>436</v>
      </c>
      <c r="B437" s="7">
        <v>40563</v>
      </c>
      <c r="C437" s="6">
        <v>1</v>
      </c>
      <c r="D437" s="6" t="str">
        <f t="shared" si="60"/>
        <v>january</v>
      </c>
      <c r="E437" s="6">
        <v>4</v>
      </c>
      <c r="F437" s="6" t="str">
        <f t="shared" si="61"/>
        <v>Night</v>
      </c>
      <c r="G437" s="6" t="b">
        <v>0</v>
      </c>
      <c r="H437" s="6">
        <f t="shared" si="62"/>
        <v>0</v>
      </c>
      <c r="I437" s="6">
        <v>4</v>
      </c>
      <c r="J437" s="6" t="str">
        <f t="shared" si="63"/>
        <v>Thursday</v>
      </c>
      <c r="K437" s="6">
        <f t="shared" si="64"/>
        <v>0</v>
      </c>
      <c r="L437" s="6">
        <v>1</v>
      </c>
      <c r="M437" s="6" t="str">
        <f t="shared" si="65"/>
        <v>Partly cloudy</v>
      </c>
      <c r="N437" s="8">
        <v>0.26</v>
      </c>
      <c r="O437" s="8">
        <v>0.2576</v>
      </c>
      <c r="P437" s="8">
        <v>0.56000000000000005</v>
      </c>
      <c r="Q437" s="8">
        <v>0.16420000000000001</v>
      </c>
      <c r="R437" s="6">
        <v>0</v>
      </c>
      <c r="S437" s="6">
        <v>1</v>
      </c>
      <c r="T437" s="6">
        <v>1</v>
      </c>
      <c r="U437" s="8">
        <f t="shared" si="66"/>
        <v>-0.64378142061299781</v>
      </c>
      <c r="V437" s="8" t="str">
        <f t="shared" si="67"/>
        <v>Normal</v>
      </c>
      <c r="W437" s="8">
        <f t="shared" si="68"/>
        <v>-1.0937285529489083</v>
      </c>
      <c r="X437" s="8" t="str">
        <f t="shared" si="69"/>
        <v>Normal</v>
      </c>
    </row>
    <row r="438" spans="1:24" x14ac:dyDescent="0.25">
      <c r="A438" s="6">
        <v>437</v>
      </c>
      <c r="B438" s="7">
        <v>40563</v>
      </c>
      <c r="C438" s="6">
        <v>1</v>
      </c>
      <c r="D438" s="6" t="str">
        <f t="shared" si="60"/>
        <v>january</v>
      </c>
      <c r="E438" s="6">
        <v>5</v>
      </c>
      <c r="F438" s="6" t="str">
        <f t="shared" si="61"/>
        <v>Early Morning</v>
      </c>
      <c r="G438" s="6" t="b">
        <v>0</v>
      </c>
      <c r="H438" s="6">
        <f t="shared" si="62"/>
        <v>0</v>
      </c>
      <c r="I438" s="6">
        <v>4</v>
      </c>
      <c r="J438" s="6" t="str">
        <f t="shared" si="63"/>
        <v>Thursday</v>
      </c>
      <c r="K438" s="6">
        <f t="shared" si="64"/>
        <v>0</v>
      </c>
      <c r="L438" s="6">
        <v>1</v>
      </c>
      <c r="M438" s="6" t="str">
        <f t="shared" si="65"/>
        <v>Partly cloudy</v>
      </c>
      <c r="N438" s="8">
        <v>0.24</v>
      </c>
      <c r="O438" s="8">
        <v>0.2273</v>
      </c>
      <c r="P438" s="8">
        <v>0.6</v>
      </c>
      <c r="Q438" s="8">
        <v>0.22389999999999999</v>
      </c>
      <c r="R438" s="6">
        <v>0</v>
      </c>
      <c r="S438" s="6">
        <v>6</v>
      </c>
      <c r="T438" s="6">
        <v>6</v>
      </c>
      <c r="U438" s="8">
        <f t="shared" si="66"/>
        <v>-0.64378142061299781</v>
      </c>
      <c r="V438" s="8" t="str">
        <f t="shared" si="67"/>
        <v>Normal</v>
      </c>
      <c r="W438" s="8">
        <f t="shared" si="68"/>
        <v>-0.98933127206112903</v>
      </c>
      <c r="X438" s="8" t="str">
        <f t="shared" si="69"/>
        <v>Normal</v>
      </c>
    </row>
    <row r="439" spans="1:24" x14ac:dyDescent="0.25">
      <c r="A439" s="6">
        <v>438</v>
      </c>
      <c r="B439" s="7">
        <v>40563</v>
      </c>
      <c r="C439" s="6">
        <v>1</v>
      </c>
      <c r="D439" s="6" t="str">
        <f t="shared" si="60"/>
        <v>january</v>
      </c>
      <c r="E439" s="6">
        <v>6</v>
      </c>
      <c r="F439" s="6" t="str">
        <f t="shared" si="61"/>
        <v>Early Morning</v>
      </c>
      <c r="G439" s="6" t="b">
        <v>0</v>
      </c>
      <c r="H439" s="6">
        <f t="shared" si="62"/>
        <v>0</v>
      </c>
      <c r="I439" s="6">
        <v>4</v>
      </c>
      <c r="J439" s="6" t="str">
        <f t="shared" si="63"/>
        <v>Thursday</v>
      </c>
      <c r="K439" s="6">
        <f t="shared" si="64"/>
        <v>0</v>
      </c>
      <c r="L439" s="6">
        <v>1</v>
      </c>
      <c r="M439" s="6" t="str">
        <f t="shared" si="65"/>
        <v>Partly cloudy</v>
      </c>
      <c r="N439" s="8">
        <v>0.22</v>
      </c>
      <c r="O439" s="8">
        <v>0.21210000000000001</v>
      </c>
      <c r="P439" s="8">
        <v>0.6</v>
      </c>
      <c r="Q439" s="8">
        <v>0.22389999999999999</v>
      </c>
      <c r="R439" s="6">
        <v>0</v>
      </c>
      <c r="S439" s="6">
        <v>35</v>
      </c>
      <c r="T439" s="6">
        <v>35</v>
      </c>
      <c r="U439" s="8">
        <f t="shared" si="66"/>
        <v>-0.64378142061299781</v>
      </c>
      <c r="V439" s="8" t="str">
        <f t="shared" si="67"/>
        <v>Normal</v>
      </c>
      <c r="W439" s="8">
        <f t="shared" si="68"/>
        <v>-0.38382704291200931</v>
      </c>
      <c r="X439" s="8" t="str">
        <f t="shared" si="69"/>
        <v>Normal</v>
      </c>
    </row>
    <row r="440" spans="1:24" x14ac:dyDescent="0.25">
      <c r="A440" s="6">
        <v>439</v>
      </c>
      <c r="B440" s="7">
        <v>40563</v>
      </c>
      <c r="C440" s="6">
        <v>1</v>
      </c>
      <c r="D440" s="6" t="str">
        <f t="shared" si="60"/>
        <v>january</v>
      </c>
      <c r="E440" s="6">
        <v>7</v>
      </c>
      <c r="F440" s="6" t="str">
        <f t="shared" si="61"/>
        <v>Early Morning</v>
      </c>
      <c r="G440" s="6" t="b">
        <v>0</v>
      </c>
      <c r="H440" s="6">
        <f t="shared" si="62"/>
        <v>0</v>
      </c>
      <c r="I440" s="6">
        <v>4</v>
      </c>
      <c r="J440" s="6" t="str">
        <f t="shared" si="63"/>
        <v>Thursday</v>
      </c>
      <c r="K440" s="6">
        <f t="shared" si="64"/>
        <v>0</v>
      </c>
      <c r="L440" s="6">
        <v>1</v>
      </c>
      <c r="M440" s="6" t="str">
        <f t="shared" si="65"/>
        <v>Partly cloudy</v>
      </c>
      <c r="N440" s="8">
        <v>0.22</v>
      </c>
      <c r="O440" s="8">
        <v>0.21210000000000001</v>
      </c>
      <c r="P440" s="8">
        <v>0.55000000000000004</v>
      </c>
      <c r="Q440" s="8">
        <v>0.22389999999999999</v>
      </c>
      <c r="R440" s="6">
        <v>1</v>
      </c>
      <c r="S440" s="6">
        <v>100</v>
      </c>
      <c r="T440" s="6">
        <v>101</v>
      </c>
      <c r="U440" s="8">
        <f t="shared" si="66"/>
        <v>-0.51295812847461175</v>
      </c>
      <c r="V440" s="8" t="str">
        <f t="shared" si="67"/>
        <v>Normal</v>
      </c>
      <c r="W440" s="8">
        <f t="shared" si="68"/>
        <v>0.97333760862912122</v>
      </c>
      <c r="X440" s="8" t="str">
        <f t="shared" si="69"/>
        <v>Normal</v>
      </c>
    </row>
    <row r="441" spans="1:24" x14ac:dyDescent="0.25">
      <c r="A441" s="6">
        <v>440</v>
      </c>
      <c r="B441" s="7">
        <v>40563</v>
      </c>
      <c r="C441" s="6">
        <v>1</v>
      </c>
      <c r="D441" s="6" t="str">
        <f t="shared" si="60"/>
        <v>january</v>
      </c>
      <c r="E441" s="6">
        <v>8</v>
      </c>
      <c r="F441" s="6" t="str">
        <f t="shared" si="61"/>
        <v>Morning</v>
      </c>
      <c r="G441" s="6" t="b">
        <v>0</v>
      </c>
      <c r="H441" s="6">
        <f t="shared" si="62"/>
        <v>0</v>
      </c>
      <c r="I441" s="6">
        <v>4</v>
      </c>
      <c r="J441" s="6" t="str">
        <f t="shared" si="63"/>
        <v>Thursday</v>
      </c>
      <c r="K441" s="6">
        <f t="shared" si="64"/>
        <v>0</v>
      </c>
      <c r="L441" s="6">
        <v>1</v>
      </c>
      <c r="M441" s="6" t="str">
        <f t="shared" si="65"/>
        <v>Partly cloudy</v>
      </c>
      <c r="N441" s="8">
        <v>0.22</v>
      </c>
      <c r="O441" s="8">
        <v>0.21210000000000001</v>
      </c>
      <c r="P441" s="8">
        <v>0.55000000000000004</v>
      </c>
      <c r="Q441" s="8">
        <v>0.28360000000000002</v>
      </c>
      <c r="R441" s="6">
        <v>2</v>
      </c>
      <c r="S441" s="6">
        <v>247</v>
      </c>
      <c r="T441" s="6">
        <v>249</v>
      </c>
      <c r="U441" s="8">
        <f t="shared" si="66"/>
        <v>-0.38213483633622569</v>
      </c>
      <c r="V441" s="8" t="str">
        <f t="shared" si="67"/>
        <v>Normal</v>
      </c>
      <c r="W441" s="8">
        <f t="shared" si="68"/>
        <v>4.0426176667298312</v>
      </c>
      <c r="X441" s="8" t="str">
        <f t="shared" si="69"/>
        <v>Peak</v>
      </c>
    </row>
    <row r="442" spans="1:24" x14ac:dyDescent="0.25">
      <c r="A442" s="6">
        <v>441</v>
      </c>
      <c r="B442" s="7">
        <v>40563</v>
      </c>
      <c r="C442" s="6">
        <v>1</v>
      </c>
      <c r="D442" s="6" t="str">
        <f t="shared" si="60"/>
        <v>january</v>
      </c>
      <c r="E442" s="6">
        <v>9</v>
      </c>
      <c r="F442" s="6" t="str">
        <f t="shared" si="61"/>
        <v>Morning</v>
      </c>
      <c r="G442" s="6" t="b">
        <v>0</v>
      </c>
      <c r="H442" s="6">
        <f t="shared" si="62"/>
        <v>0</v>
      </c>
      <c r="I442" s="6">
        <v>4</v>
      </c>
      <c r="J442" s="6" t="str">
        <f t="shared" si="63"/>
        <v>Thursday</v>
      </c>
      <c r="K442" s="6">
        <f t="shared" si="64"/>
        <v>0</v>
      </c>
      <c r="L442" s="6">
        <v>2</v>
      </c>
      <c r="M442" s="6" t="str">
        <f t="shared" si="65"/>
        <v>Cloudy</v>
      </c>
      <c r="N442" s="8">
        <v>0.24</v>
      </c>
      <c r="O442" s="8">
        <v>0.2273</v>
      </c>
      <c r="P442" s="8">
        <v>0.52</v>
      </c>
      <c r="Q442" s="8">
        <v>0.22389999999999999</v>
      </c>
      <c r="R442" s="6">
        <v>3</v>
      </c>
      <c r="S442" s="6">
        <v>140</v>
      </c>
      <c r="T442" s="6">
        <v>143</v>
      </c>
      <c r="U442" s="8">
        <f t="shared" si="66"/>
        <v>-0.25131154419783963</v>
      </c>
      <c r="V442" s="8" t="str">
        <f t="shared" si="67"/>
        <v>Normal</v>
      </c>
      <c r="W442" s="8">
        <f t="shared" si="68"/>
        <v>1.8085158557313552</v>
      </c>
      <c r="X442" s="8" t="str">
        <f t="shared" si="69"/>
        <v>Normal</v>
      </c>
    </row>
    <row r="443" spans="1:24" x14ac:dyDescent="0.25">
      <c r="A443" s="6">
        <v>442</v>
      </c>
      <c r="B443" s="7">
        <v>40563</v>
      </c>
      <c r="C443" s="6">
        <v>1</v>
      </c>
      <c r="D443" s="6" t="str">
        <f t="shared" si="60"/>
        <v>january</v>
      </c>
      <c r="E443" s="6">
        <v>10</v>
      </c>
      <c r="F443" s="6" t="str">
        <f t="shared" si="61"/>
        <v>Morning</v>
      </c>
      <c r="G443" s="6" t="b">
        <v>0</v>
      </c>
      <c r="H443" s="6">
        <f t="shared" si="62"/>
        <v>0</v>
      </c>
      <c r="I443" s="6">
        <v>4</v>
      </c>
      <c r="J443" s="6" t="str">
        <f t="shared" si="63"/>
        <v>Thursday</v>
      </c>
      <c r="K443" s="6">
        <f t="shared" si="64"/>
        <v>0</v>
      </c>
      <c r="L443" s="6">
        <v>1</v>
      </c>
      <c r="M443" s="6" t="str">
        <f t="shared" si="65"/>
        <v>Partly cloudy</v>
      </c>
      <c r="N443" s="8">
        <v>0.26</v>
      </c>
      <c r="O443" s="8">
        <v>0.2273</v>
      </c>
      <c r="P443" s="8">
        <v>0.48</v>
      </c>
      <c r="Q443" s="8">
        <v>0.29849999999999999</v>
      </c>
      <c r="R443" s="6">
        <v>1</v>
      </c>
      <c r="S443" s="6">
        <v>56</v>
      </c>
      <c r="T443" s="6">
        <v>57</v>
      </c>
      <c r="U443" s="8">
        <f t="shared" si="66"/>
        <v>-0.51295812847461175</v>
      </c>
      <c r="V443" s="8" t="str">
        <f t="shared" si="67"/>
        <v>Normal</v>
      </c>
      <c r="W443" s="8">
        <f t="shared" si="68"/>
        <v>5.4641536816663616E-2</v>
      </c>
      <c r="X443" s="8" t="str">
        <f t="shared" si="69"/>
        <v>Normal</v>
      </c>
    </row>
    <row r="444" spans="1:24" x14ac:dyDescent="0.25">
      <c r="A444" s="6">
        <v>443</v>
      </c>
      <c r="B444" s="7">
        <v>40563</v>
      </c>
      <c r="C444" s="6">
        <v>1</v>
      </c>
      <c r="D444" s="6" t="str">
        <f t="shared" si="60"/>
        <v>january</v>
      </c>
      <c r="E444" s="6">
        <v>11</v>
      </c>
      <c r="F444" s="6" t="str">
        <f t="shared" si="61"/>
        <v>Morning</v>
      </c>
      <c r="G444" s="6" t="b">
        <v>0</v>
      </c>
      <c r="H444" s="6">
        <f t="shared" si="62"/>
        <v>0</v>
      </c>
      <c r="I444" s="6">
        <v>4</v>
      </c>
      <c r="J444" s="6" t="str">
        <f t="shared" si="63"/>
        <v>Thursday</v>
      </c>
      <c r="K444" s="6">
        <f t="shared" si="64"/>
        <v>0</v>
      </c>
      <c r="L444" s="6">
        <v>2</v>
      </c>
      <c r="M444" s="6" t="str">
        <f t="shared" si="65"/>
        <v>Cloudy</v>
      </c>
      <c r="N444" s="8">
        <v>0.28000000000000003</v>
      </c>
      <c r="O444" s="8">
        <v>0.2727</v>
      </c>
      <c r="P444" s="8">
        <v>0.45</v>
      </c>
      <c r="Q444" s="8">
        <v>0.16420000000000001</v>
      </c>
      <c r="R444" s="6">
        <v>5</v>
      </c>
      <c r="S444" s="6">
        <v>63</v>
      </c>
      <c r="T444" s="6">
        <v>68</v>
      </c>
      <c r="U444" s="8">
        <f t="shared" si="66"/>
        <v>1.0335040078932463E-2</v>
      </c>
      <c r="V444" s="8" t="str">
        <f t="shared" si="67"/>
        <v>Normal</v>
      </c>
      <c r="W444" s="8">
        <f t="shared" si="68"/>
        <v>0.20079773005955459</v>
      </c>
      <c r="X444" s="8" t="str">
        <f t="shared" si="69"/>
        <v>Normal</v>
      </c>
    </row>
    <row r="445" spans="1:24" x14ac:dyDescent="0.25">
      <c r="A445" s="6">
        <v>444</v>
      </c>
      <c r="B445" s="7">
        <v>40563</v>
      </c>
      <c r="C445" s="6">
        <v>1</v>
      </c>
      <c r="D445" s="6" t="str">
        <f t="shared" si="60"/>
        <v>january</v>
      </c>
      <c r="E445" s="6">
        <v>12</v>
      </c>
      <c r="F445" s="6" t="str">
        <f t="shared" si="61"/>
        <v>Afternoon</v>
      </c>
      <c r="G445" s="6" t="b">
        <v>0</v>
      </c>
      <c r="H445" s="6">
        <f t="shared" si="62"/>
        <v>0</v>
      </c>
      <c r="I445" s="6">
        <v>4</v>
      </c>
      <c r="J445" s="6" t="str">
        <f t="shared" si="63"/>
        <v>Thursday</v>
      </c>
      <c r="K445" s="6">
        <f t="shared" si="64"/>
        <v>0</v>
      </c>
      <c r="L445" s="6">
        <v>2</v>
      </c>
      <c r="M445" s="6" t="str">
        <f t="shared" si="65"/>
        <v>Cloudy</v>
      </c>
      <c r="N445" s="8">
        <v>0.3</v>
      </c>
      <c r="O445" s="8">
        <v>0.33329999999999999</v>
      </c>
      <c r="P445" s="8">
        <v>0.42</v>
      </c>
      <c r="Q445" s="8">
        <v>0</v>
      </c>
      <c r="R445" s="6">
        <v>7</v>
      </c>
      <c r="S445" s="6">
        <v>77</v>
      </c>
      <c r="T445" s="6">
        <v>84</v>
      </c>
      <c r="U445" s="8">
        <f t="shared" si="66"/>
        <v>0.27198162435570455</v>
      </c>
      <c r="V445" s="8" t="str">
        <f t="shared" si="67"/>
        <v>Normal</v>
      </c>
      <c r="W445" s="8">
        <f t="shared" si="68"/>
        <v>0.49311011654533654</v>
      </c>
      <c r="X445" s="8" t="str">
        <f t="shared" si="69"/>
        <v>Normal</v>
      </c>
    </row>
    <row r="446" spans="1:24" x14ac:dyDescent="0.25">
      <c r="A446" s="6">
        <v>445</v>
      </c>
      <c r="B446" s="7">
        <v>40563</v>
      </c>
      <c r="C446" s="6">
        <v>1</v>
      </c>
      <c r="D446" s="6" t="str">
        <f t="shared" si="60"/>
        <v>january</v>
      </c>
      <c r="E446" s="6">
        <v>13</v>
      </c>
      <c r="F446" s="6" t="str">
        <f t="shared" si="61"/>
        <v>Afternoon</v>
      </c>
      <c r="G446" s="6" t="b">
        <v>0</v>
      </c>
      <c r="H446" s="6">
        <f t="shared" si="62"/>
        <v>0</v>
      </c>
      <c r="I446" s="6">
        <v>4</v>
      </c>
      <c r="J446" s="6" t="str">
        <f t="shared" si="63"/>
        <v>Thursday</v>
      </c>
      <c r="K446" s="6">
        <f t="shared" si="64"/>
        <v>0</v>
      </c>
      <c r="L446" s="6">
        <v>2</v>
      </c>
      <c r="M446" s="6" t="str">
        <f t="shared" si="65"/>
        <v>Cloudy</v>
      </c>
      <c r="N446" s="8">
        <v>0.28000000000000003</v>
      </c>
      <c r="O446" s="8">
        <v>0.28789999999999999</v>
      </c>
      <c r="P446" s="8">
        <v>0.45</v>
      </c>
      <c r="Q446" s="8">
        <v>0.1045</v>
      </c>
      <c r="R446" s="6">
        <v>12</v>
      </c>
      <c r="S446" s="6">
        <v>86</v>
      </c>
      <c r="T446" s="6">
        <v>98</v>
      </c>
      <c r="U446" s="8">
        <f t="shared" si="66"/>
        <v>0.92609808504763491</v>
      </c>
      <c r="V446" s="8" t="str">
        <f t="shared" si="67"/>
        <v>Normal</v>
      </c>
      <c r="W446" s="8">
        <f t="shared" si="68"/>
        <v>0.68102522214333927</v>
      </c>
      <c r="X446" s="8" t="str">
        <f t="shared" si="69"/>
        <v>Normal</v>
      </c>
    </row>
    <row r="447" spans="1:24" x14ac:dyDescent="0.25">
      <c r="A447" s="6">
        <v>446</v>
      </c>
      <c r="B447" s="7">
        <v>40563</v>
      </c>
      <c r="C447" s="6">
        <v>1</v>
      </c>
      <c r="D447" s="6" t="str">
        <f t="shared" si="60"/>
        <v>january</v>
      </c>
      <c r="E447" s="6">
        <v>14</v>
      </c>
      <c r="F447" s="6" t="str">
        <f t="shared" si="61"/>
        <v>Afternoon</v>
      </c>
      <c r="G447" s="6" t="b">
        <v>0</v>
      </c>
      <c r="H447" s="6">
        <f t="shared" si="62"/>
        <v>0</v>
      </c>
      <c r="I447" s="6">
        <v>4</v>
      </c>
      <c r="J447" s="6" t="str">
        <f t="shared" si="63"/>
        <v>Thursday</v>
      </c>
      <c r="K447" s="6">
        <f t="shared" si="64"/>
        <v>0</v>
      </c>
      <c r="L447" s="6">
        <v>2</v>
      </c>
      <c r="M447" s="6" t="str">
        <f t="shared" si="65"/>
        <v>Cloudy</v>
      </c>
      <c r="N447" s="8">
        <v>0.3</v>
      </c>
      <c r="O447" s="8">
        <v>0.30299999999999999</v>
      </c>
      <c r="P447" s="8">
        <v>0.45</v>
      </c>
      <c r="Q447" s="8">
        <v>0.1343</v>
      </c>
      <c r="R447" s="6">
        <v>6</v>
      </c>
      <c r="S447" s="6">
        <v>75</v>
      </c>
      <c r="T447" s="6">
        <v>81</v>
      </c>
      <c r="U447" s="8">
        <f t="shared" si="66"/>
        <v>0.14115833221731852</v>
      </c>
      <c r="V447" s="8" t="str">
        <f t="shared" si="67"/>
        <v>Normal</v>
      </c>
      <c r="W447" s="8">
        <f t="shared" si="68"/>
        <v>0.45135120419022484</v>
      </c>
      <c r="X447" s="8" t="str">
        <f t="shared" si="69"/>
        <v>Normal</v>
      </c>
    </row>
    <row r="448" spans="1:24" x14ac:dyDescent="0.25">
      <c r="A448" s="6">
        <v>447</v>
      </c>
      <c r="B448" s="7">
        <v>40563</v>
      </c>
      <c r="C448" s="6">
        <v>1</v>
      </c>
      <c r="D448" s="6" t="str">
        <f t="shared" si="60"/>
        <v>january</v>
      </c>
      <c r="E448" s="6">
        <v>15</v>
      </c>
      <c r="F448" s="6" t="str">
        <f t="shared" si="61"/>
        <v>Afternoon</v>
      </c>
      <c r="G448" s="6" t="b">
        <v>0</v>
      </c>
      <c r="H448" s="6">
        <f t="shared" si="62"/>
        <v>0</v>
      </c>
      <c r="I448" s="6">
        <v>4</v>
      </c>
      <c r="J448" s="6" t="str">
        <f t="shared" si="63"/>
        <v>Thursday</v>
      </c>
      <c r="K448" s="6">
        <f t="shared" si="64"/>
        <v>0</v>
      </c>
      <c r="L448" s="6">
        <v>2</v>
      </c>
      <c r="M448" s="6" t="str">
        <f t="shared" si="65"/>
        <v>Cloudy</v>
      </c>
      <c r="N448" s="8">
        <v>0.32</v>
      </c>
      <c r="O448" s="8">
        <v>0.31819999999999998</v>
      </c>
      <c r="P448" s="8">
        <v>0.45</v>
      </c>
      <c r="Q448" s="8">
        <v>0.19400000000000001</v>
      </c>
      <c r="R448" s="6">
        <v>8</v>
      </c>
      <c r="S448" s="6">
        <v>62</v>
      </c>
      <c r="T448" s="6">
        <v>70</v>
      </c>
      <c r="U448" s="8">
        <f t="shared" si="66"/>
        <v>0.40280491649409061</v>
      </c>
      <c r="V448" s="8" t="str">
        <f t="shared" si="67"/>
        <v>Normal</v>
      </c>
      <c r="W448" s="8">
        <f t="shared" si="68"/>
        <v>0.17991827388199874</v>
      </c>
      <c r="X448" s="8" t="str">
        <f t="shared" si="69"/>
        <v>Normal</v>
      </c>
    </row>
    <row r="449" spans="1:24" x14ac:dyDescent="0.25">
      <c r="A449" s="6">
        <v>448</v>
      </c>
      <c r="B449" s="7">
        <v>40563</v>
      </c>
      <c r="C449" s="6">
        <v>1</v>
      </c>
      <c r="D449" s="6" t="str">
        <f t="shared" si="60"/>
        <v>january</v>
      </c>
      <c r="E449" s="6">
        <v>16</v>
      </c>
      <c r="F449" s="6" t="str">
        <f t="shared" si="61"/>
        <v>Afternoon</v>
      </c>
      <c r="G449" s="6" t="b">
        <v>0</v>
      </c>
      <c r="H449" s="6">
        <f t="shared" si="62"/>
        <v>0</v>
      </c>
      <c r="I449" s="6">
        <v>4</v>
      </c>
      <c r="J449" s="6" t="str">
        <f t="shared" si="63"/>
        <v>Thursday</v>
      </c>
      <c r="K449" s="6">
        <f t="shared" si="64"/>
        <v>0</v>
      </c>
      <c r="L449" s="6">
        <v>2</v>
      </c>
      <c r="M449" s="6" t="str">
        <f t="shared" si="65"/>
        <v>Cloudy</v>
      </c>
      <c r="N449" s="8">
        <v>0.3</v>
      </c>
      <c r="O449" s="8">
        <v>0.30299999999999999</v>
      </c>
      <c r="P449" s="8">
        <v>0.49</v>
      </c>
      <c r="Q449" s="8">
        <v>0.1343</v>
      </c>
      <c r="R449" s="6">
        <v>8</v>
      </c>
      <c r="S449" s="6">
        <v>83</v>
      </c>
      <c r="T449" s="6">
        <v>91</v>
      </c>
      <c r="U449" s="8">
        <f t="shared" si="66"/>
        <v>0.40280491649409061</v>
      </c>
      <c r="V449" s="8" t="str">
        <f t="shared" si="67"/>
        <v>Normal</v>
      </c>
      <c r="W449" s="8">
        <f t="shared" si="68"/>
        <v>0.61838685361067169</v>
      </c>
      <c r="X449" s="8" t="str">
        <f t="shared" si="69"/>
        <v>Normal</v>
      </c>
    </row>
    <row r="450" spans="1:24" x14ac:dyDescent="0.25">
      <c r="A450" s="6">
        <v>449</v>
      </c>
      <c r="B450" s="7">
        <v>40563</v>
      </c>
      <c r="C450" s="6">
        <v>1</v>
      </c>
      <c r="D450" s="6" t="str">
        <f t="shared" ref="D450:D513" si="70">IF(C450=1,"january",IF(C450=2,"february"))</f>
        <v>january</v>
      </c>
      <c r="E450" s="6">
        <v>17</v>
      </c>
      <c r="F450" s="6" t="str">
        <f t="shared" ref="F450:F513" si="71">IF(AND(E450&gt;=5,E450&lt;8),"Early Morning", IF(AND(E450&gt;=8,E450&lt;12),"Morning", IF(AND(E450&gt;=12,E450&lt;17),"Afternoon", IF(AND(E450&gt;=17,E450&lt;21),"Evening","Night"))))</f>
        <v>Evening</v>
      </c>
      <c r="G450" s="6" t="b">
        <v>0</v>
      </c>
      <c r="H450" s="6">
        <f t="shared" ref="H450:H513" si="72">IF(G450=FALSE,0,IF(G450=TRUE,1))</f>
        <v>0</v>
      </c>
      <c r="I450" s="6">
        <v>4</v>
      </c>
      <c r="J450" s="6" t="str">
        <f t="shared" ref="J450:J513" si="73">TEXT(B450,"dddd")</f>
        <v>Thursday</v>
      </c>
      <c r="K450" s="6">
        <f t="shared" ref="K450:K513" si="74">IF(OR(J450="Saturday",J450="Sunday"),1,0)</f>
        <v>0</v>
      </c>
      <c r="L450" s="6">
        <v>2</v>
      </c>
      <c r="M450" s="6" t="str">
        <f t="shared" ref="M450:M513" si="75">IF(L450=0,"clear sky",IF(L450=1,"Partly cloudy",IF(L450=2,"Cloudy",IF(L450=3,"Light rain",IF(L450=4,"Heavy rain")))))</f>
        <v>Cloudy</v>
      </c>
      <c r="N450" s="8">
        <v>0.3</v>
      </c>
      <c r="O450" s="8">
        <v>0.31819999999999998</v>
      </c>
      <c r="P450" s="8">
        <v>0.49</v>
      </c>
      <c r="Q450" s="8">
        <v>0.1045</v>
      </c>
      <c r="R450" s="6">
        <v>8</v>
      </c>
      <c r="S450" s="6">
        <v>207</v>
      </c>
      <c r="T450" s="6">
        <v>215</v>
      </c>
      <c r="U450" s="8">
        <f t="shared" ref="U450:U513" si="76">(R450-$AA$7)/$AA$9</f>
        <v>0.40280491649409061</v>
      </c>
      <c r="V450" s="8" t="str">
        <f t="shared" ref="V450:V513" si="77">IF(ABS(U450)&gt;2,"Peak","Normal")</f>
        <v>Normal</v>
      </c>
      <c r="W450" s="8">
        <f t="shared" ref="W450:W513" si="78">(S450-$AA$11)/$AA$13</f>
        <v>3.2074394196275975</v>
      </c>
      <c r="X450" s="8" t="str">
        <f t="shared" ref="X450:X513" si="79">IF(ABS(W450)&gt;2,"Peak","Normal")</f>
        <v>Peak</v>
      </c>
    </row>
    <row r="451" spans="1:24" x14ac:dyDescent="0.25">
      <c r="A451" s="6">
        <v>450</v>
      </c>
      <c r="B451" s="7">
        <v>40563</v>
      </c>
      <c r="C451" s="6">
        <v>1</v>
      </c>
      <c r="D451" s="6" t="str">
        <f t="shared" si="70"/>
        <v>january</v>
      </c>
      <c r="E451" s="6">
        <v>18</v>
      </c>
      <c r="F451" s="6" t="str">
        <f t="shared" si="71"/>
        <v>Evening</v>
      </c>
      <c r="G451" s="6" t="b">
        <v>0</v>
      </c>
      <c r="H451" s="6">
        <f t="shared" si="72"/>
        <v>0</v>
      </c>
      <c r="I451" s="6">
        <v>4</v>
      </c>
      <c r="J451" s="6" t="str">
        <f t="shared" si="73"/>
        <v>Thursday</v>
      </c>
      <c r="K451" s="6">
        <f t="shared" si="74"/>
        <v>0</v>
      </c>
      <c r="L451" s="6">
        <v>2</v>
      </c>
      <c r="M451" s="6" t="str">
        <f t="shared" si="75"/>
        <v>Cloudy</v>
      </c>
      <c r="N451" s="8">
        <v>0.26</v>
      </c>
      <c r="O451" s="8">
        <v>0.2576</v>
      </c>
      <c r="P451" s="8">
        <v>0.56000000000000005</v>
      </c>
      <c r="Q451" s="8">
        <v>0.19400000000000001</v>
      </c>
      <c r="R451" s="6">
        <v>1</v>
      </c>
      <c r="S451" s="6">
        <v>184</v>
      </c>
      <c r="T451" s="6">
        <v>185</v>
      </c>
      <c r="U451" s="8">
        <f t="shared" si="76"/>
        <v>-0.51295812847461175</v>
      </c>
      <c r="V451" s="8" t="str">
        <f t="shared" si="77"/>
        <v>Normal</v>
      </c>
      <c r="W451" s="8">
        <f t="shared" si="78"/>
        <v>2.7272119275438129</v>
      </c>
      <c r="X451" s="8" t="str">
        <f t="shared" si="79"/>
        <v>Peak</v>
      </c>
    </row>
    <row r="452" spans="1:24" x14ac:dyDescent="0.25">
      <c r="A452" s="6">
        <v>451</v>
      </c>
      <c r="B452" s="7">
        <v>40563</v>
      </c>
      <c r="C452" s="6">
        <v>1</v>
      </c>
      <c r="D452" s="6" t="str">
        <f t="shared" si="70"/>
        <v>january</v>
      </c>
      <c r="E452" s="6">
        <v>19</v>
      </c>
      <c r="F452" s="6" t="str">
        <f t="shared" si="71"/>
        <v>Evening</v>
      </c>
      <c r="G452" s="6" t="b">
        <v>0</v>
      </c>
      <c r="H452" s="6">
        <f t="shared" si="72"/>
        <v>0</v>
      </c>
      <c r="I452" s="6">
        <v>4</v>
      </c>
      <c r="J452" s="6" t="str">
        <f t="shared" si="73"/>
        <v>Thursday</v>
      </c>
      <c r="K452" s="6">
        <f t="shared" si="74"/>
        <v>0</v>
      </c>
      <c r="L452" s="6">
        <v>1</v>
      </c>
      <c r="M452" s="6" t="str">
        <f t="shared" si="75"/>
        <v>Partly cloudy</v>
      </c>
      <c r="N452" s="8">
        <v>0.26</v>
      </c>
      <c r="O452" s="8">
        <v>0.2273</v>
      </c>
      <c r="P452" s="8">
        <v>0.56000000000000005</v>
      </c>
      <c r="Q452" s="8">
        <v>0.32840000000000003</v>
      </c>
      <c r="R452" s="6">
        <v>6</v>
      </c>
      <c r="S452" s="6">
        <v>146</v>
      </c>
      <c r="T452" s="6">
        <v>152</v>
      </c>
      <c r="U452" s="8">
        <f t="shared" si="76"/>
        <v>0.14115833221731852</v>
      </c>
      <c r="V452" s="8" t="str">
        <f t="shared" si="77"/>
        <v>Normal</v>
      </c>
      <c r="W452" s="8">
        <f t="shared" si="78"/>
        <v>1.9337925927966904</v>
      </c>
      <c r="X452" s="8" t="str">
        <f t="shared" si="79"/>
        <v>Normal</v>
      </c>
    </row>
    <row r="453" spans="1:24" x14ac:dyDescent="0.25">
      <c r="A453" s="6">
        <v>452</v>
      </c>
      <c r="B453" s="7">
        <v>40563</v>
      </c>
      <c r="C453" s="6">
        <v>1</v>
      </c>
      <c r="D453" s="6" t="str">
        <f t="shared" si="70"/>
        <v>january</v>
      </c>
      <c r="E453" s="6">
        <v>20</v>
      </c>
      <c r="F453" s="6" t="str">
        <f t="shared" si="71"/>
        <v>Evening</v>
      </c>
      <c r="G453" s="6" t="b">
        <v>0</v>
      </c>
      <c r="H453" s="6">
        <f t="shared" si="72"/>
        <v>0</v>
      </c>
      <c r="I453" s="6">
        <v>4</v>
      </c>
      <c r="J453" s="6" t="str">
        <f t="shared" si="73"/>
        <v>Thursday</v>
      </c>
      <c r="K453" s="6">
        <f t="shared" si="74"/>
        <v>0</v>
      </c>
      <c r="L453" s="6">
        <v>2</v>
      </c>
      <c r="M453" s="6" t="str">
        <f t="shared" si="75"/>
        <v>Cloudy</v>
      </c>
      <c r="N453" s="8">
        <v>0.26</v>
      </c>
      <c r="O453" s="8">
        <v>0.2424</v>
      </c>
      <c r="P453" s="8">
        <v>0.6</v>
      </c>
      <c r="Q453" s="8">
        <v>0.28360000000000002</v>
      </c>
      <c r="R453" s="6">
        <v>2</v>
      </c>
      <c r="S453" s="6">
        <v>124</v>
      </c>
      <c r="T453" s="6">
        <v>126</v>
      </c>
      <c r="U453" s="8">
        <f t="shared" si="76"/>
        <v>-0.38213483633622569</v>
      </c>
      <c r="V453" s="8" t="str">
        <f t="shared" si="77"/>
        <v>Normal</v>
      </c>
      <c r="W453" s="8">
        <f t="shared" si="78"/>
        <v>1.4744445568904616</v>
      </c>
      <c r="X453" s="8" t="str">
        <f t="shared" si="79"/>
        <v>Normal</v>
      </c>
    </row>
    <row r="454" spans="1:24" x14ac:dyDescent="0.25">
      <c r="A454" s="6">
        <v>453</v>
      </c>
      <c r="B454" s="7">
        <v>40563</v>
      </c>
      <c r="C454" s="6">
        <v>1</v>
      </c>
      <c r="D454" s="6" t="str">
        <f t="shared" si="70"/>
        <v>january</v>
      </c>
      <c r="E454" s="6">
        <v>21</v>
      </c>
      <c r="F454" s="6" t="str">
        <f t="shared" si="71"/>
        <v>Night</v>
      </c>
      <c r="G454" s="6" t="b">
        <v>0</v>
      </c>
      <c r="H454" s="6">
        <f t="shared" si="72"/>
        <v>0</v>
      </c>
      <c r="I454" s="6">
        <v>4</v>
      </c>
      <c r="J454" s="6" t="str">
        <f t="shared" si="73"/>
        <v>Thursday</v>
      </c>
      <c r="K454" s="6">
        <f t="shared" si="74"/>
        <v>0</v>
      </c>
      <c r="L454" s="6">
        <v>2</v>
      </c>
      <c r="M454" s="6" t="str">
        <f t="shared" si="75"/>
        <v>Cloudy</v>
      </c>
      <c r="N454" s="8">
        <v>0.24</v>
      </c>
      <c r="O454" s="8">
        <v>0.2273</v>
      </c>
      <c r="P454" s="8">
        <v>0.6</v>
      </c>
      <c r="Q454" s="8">
        <v>0.25369999999999998</v>
      </c>
      <c r="R454" s="6">
        <v>3</v>
      </c>
      <c r="S454" s="6">
        <v>54</v>
      </c>
      <c r="T454" s="6">
        <v>57</v>
      </c>
      <c r="U454" s="8">
        <f t="shared" si="76"/>
        <v>-0.25131154419783963</v>
      </c>
      <c r="V454" s="8" t="str">
        <f t="shared" si="77"/>
        <v>Normal</v>
      </c>
      <c r="W454" s="8">
        <f t="shared" si="78"/>
        <v>1.2882624461551907E-2</v>
      </c>
      <c r="X454" s="8" t="str">
        <f t="shared" si="79"/>
        <v>Normal</v>
      </c>
    </row>
    <row r="455" spans="1:24" x14ac:dyDescent="0.25">
      <c r="A455" s="6">
        <v>454</v>
      </c>
      <c r="B455" s="7">
        <v>40563</v>
      </c>
      <c r="C455" s="6">
        <v>1</v>
      </c>
      <c r="D455" s="6" t="str">
        <f t="shared" si="70"/>
        <v>january</v>
      </c>
      <c r="E455" s="6">
        <v>22</v>
      </c>
      <c r="F455" s="6" t="str">
        <f t="shared" si="71"/>
        <v>Night</v>
      </c>
      <c r="G455" s="6" t="b">
        <v>0</v>
      </c>
      <c r="H455" s="6">
        <f t="shared" si="72"/>
        <v>0</v>
      </c>
      <c r="I455" s="6">
        <v>4</v>
      </c>
      <c r="J455" s="6" t="str">
        <f t="shared" si="73"/>
        <v>Thursday</v>
      </c>
      <c r="K455" s="6">
        <f t="shared" si="74"/>
        <v>0</v>
      </c>
      <c r="L455" s="6">
        <v>2</v>
      </c>
      <c r="M455" s="6" t="str">
        <f t="shared" si="75"/>
        <v>Cloudy</v>
      </c>
      <c r="N455" s="8">
        <v>0.24</v>
      </c>
      <c r="O455" s="8">
        <v>0.21210000000000001</v>
      </c>
      <c r="P455" s="8">
        <v>0.65</v>
      </c>
      <c r="Q455" s="8">
        <v>0.28360000000000002</v>
      </c>
      <c r="R455" s="6">
        <v>0</v>
      </c>
      <c r="S455" s="6">
        <v>56</v>
      </c>
      <c r="T455" s="6">
        <v>56</v>
      </c>
      <c r="U455" s="8">
        <f t="shared" si="76"/>
        <v>-0.64378142061299781</v>
      </c>
      <c r="V455" s="8" t="str">
        <f t="shared" si="77"/>
        <v>Normal</v>
      </c>
      <c r="W455" s="8">
        <f t="shared" si="78"/>
        <v>5.4641536816663616E-2</v>
      </c>
      <c r="X455" s="8" t="str">
        <f t="shared" si="79"/>
        <v>Normal</v>
      </c>
    </row>
    <row r="456" spans="1:24" x14ac:dyDescent="0.25">
      <c r="A456" s="6">
        <v>455</v>
      </c>
      <c r="B456" s="7">
        <v>40563</v>
      </c>
      <c r="C456" s="6">
        <v>1</v>
      </c>
      <c r="D456" s="6" t="str">
        <f t="shared" si="70"/>
        <v>january</v>
      </c>
      <c r="E456" s="6">
        <v>23</v>
      </c>
      <c r="F456" s="6" t="str">
        <f t="shared" si="71"/>
        <v>Night</v>
      </c>
      <c r="G456" s="6" t="b">
        <v>0</v>
      </c>
      <c r="H456" s="6">
        <f t="shared" si="72"/>
        <v>0</v>
      </c>
      <c r="I456" s="6">
        <v>4</v>
      </c>
      <c r="J456" s="6" t="str">
        <f t="shared" si="73"/>
        <v>Thursday</v>
      </c>
      <c r="K456" s="6">
        <f t="shared" si="74"/>
        <v>0</v>
      </c>
      <c r="L456" s="6">
        <v>2</v>
      </c>
      <c r="M456" s="6" t="str">
        <f t="shared" si="75"/>
        <v>Cloudy</v>
      </c>
      <c r="N456" s="8">
        <v>0.24</v>
      </c>
      <c r="O456" s="8">
        <v>0.21210000000000001</v>
      </c>
      <c r="P456" s="8">
        <v>0.65</v>
      </c>
      <c r="Q456" s="8">
        <v>0.32840000000000003</v>
      </c>
      <c r="R456" s="6">
        <v>3</v>
      </c>
      <c r="S456" s="6">
        <v>28</v>
      </c>
      <c r="T456" s="6">
        <v>31</v>
      </c>
      <c r="U456" s="8">
        <f t="shared" si="76"/>
        <v>-0.25131154419783963</v>
      </c>
      <c r="V456" s="8" t="str">
        <f t="shared" si="77"/>
        <v>Normal</v>
      </c>
      <c r="W456" s="8">
        <f t="shared" si="78"/>
        <v>-0.52998323615490028</v>
      </c>
      <c r="X456" s="8" t="str">
        <f t="shared" si="79"/>
        <v>Normal</v>
      </c>
    </row>
    <row r="457" spans="1:24" x14ac:dyDescent="0.25">
      <c r="A457" s="6">
        <v>456</v>
      </c>
      <c r="B457" s="7">
        <v>40564</v>
      </c>
      <c r="C457" s="6">
        <v>1</v>
      </c>
      <c r="D457" s="6" t="str">
        <f t="shared" si="70"/>
        <v>january</v>
      </c>
      <c r="E457" s="6">
        <v>0</v>
      </c>
      <c r="F457" s="6" t="str">
        <f t="shared" si="71"/>
        <v>Night</v>
      </c>
      <c r="G457" s="6" t="b">
        <v>0</v>
      </c>
      <c r="H457" s="6">
        <f t="shared" si="72"/>
        <v>0</v>
      </c>
      <c r="I457" s="6">
        <v>5</v>
      </c>
      <c r="J457" s="6" t="str">
        <f t="shared" si="73"/>
        <v>Friday</v>
      </c>
      <c r="K457" s="6">
        <f t="shared" si="74"/>
        <v>0</v>
      </c>
      <c r="L457" s="6">
        <v>2</v>
      </c>
      <c r="M457" s="6" t="str">
        <f t="shared" si="75"/>
        <v>Cloudy</v>
      </c>
      <c r="N457" s="8">
        <v>0.24</v>
      </c>
      <c r="O457" s="8">
        <v>0.2273</v>
      </c>
      <c r="P457" s="8">
        <v>0.7</v>
      </c>
      <c r="Q457" s="8">
        <v>0.25369999999999998</v>
      </c>
      <c r="R457" s="6">
        <v>1</v>
      </c>
      <c r="S457" s="6">
        <v>20</v>
      </c>
      <c r="T457" s="6">
        <v>21</v>
      </c>
      <c r="U457" s="8">
        <f t="shared" si="76"/>
        <v>-0.51295812847461175</v>
      </c>
      <c r="V457" s="8" t="str">
        <f t="shared" si="77"/>
        <v>Normal</v>
      </c>
      <c r="W457" s="8">
        <f t="shared" si="78"/>
        <v>-0.69701888557534708</v>
      </c>
      <c r="X457" s="8" t="str">
        <f t="shared" si="79"/>
        <v>Normal</v>
      </c>
    </row>
    <row r="458" spans="1:24" x14ac:dyDescent="0.25">
      <c r="A458" s="6">
        <v>457</v>
      </c>
      <c r="B458" s="7">
        <v>40564</v>
      </c>
      <c r="C458" s="6">
        <v>1</v>
      </c>
      <c r="D458" s="6" t="str">
        <f t="shared" si="70"/>
        <v>january</v>
      </c>
      <c r="E458" s="6">
        <v>1</v>
      </c>
      <c r="F458" s="6" t="str">
        <f t="shared" si="71"/>
        <v>Night</v>
      </c>
      <c r="G458" s="6" t="b">
        <v>0</v>
      </c>
      <c r="H458" s="6">
        <f t="shared" si="72"/>
        <v>0</v>
      </c>
      <c r="I458" s="6">
        <v>5</v>
      </c>
      <c r="J458" s="6" t="str">
        <f t="shared" si="73"/>
        <v>Friday</v>
      </c>
      <c r="K458" s="6">
        <f t="shared" si="74"/>
        <v>0</v>
      </c>
      <c r="L458" s="6">
        <v>2</v>
      </c>
      <c r="M458" s="6" t="str">
        <f t="shared" si="75"/>
        <v>Cloudy</v>
      </c>
      <c r="N458" s="8">
        <v>0.24</v>
      </c>
      <c r="O458" s="8">
        <v>0.2273</v>
      </c>
      <c r="P458" s="8">
        <v>0.7</v>
      </c>
      <c r="Q458" s="8">
        <v>0.25369999999999998</v>
      </c>
      <c r="R458" s="6">
        <v>0</v>
      </c>
      <c r="S458" s="6">
        <v>6</v>
      </c>
      <c r="T458" s="6">
        <v>6</v>
      </c>
      <c r="U458" s="8">
        <f t="shared" si="76"/>
        <v>-0.64378142061299781</v>
      </c>
      <c r="V458" s="8" t="str">
        <f t="shared" si="77"/>
        <v>Normal</v>
      </c>
      <c r="W458" s="8">
        <f t="shared" si="78"/>
        <v>-0.98933127206112903</v>
      </c>
      <c r="X458" s="8" t="str">
        <f t="shared" si="79"/>
        <v>Normal</v>
      </c>
    </row>
    <row r="459" spans="1:24" x14ac:dyDescent="0.25">
      <c r="A459" s="6">
        <v>458</v>
      </c>
      <c r="B459" s="7">
        <v>40564</v>
      </c>
      <c r="C459" s="6">
        <v>1</v>
      </c>
      <c r="D459" s="6" t="str">
        <f t="shared" si="70"/>
        <v>january</v>
      </c>
      <c r="E459" s="6">
        <v>2</v>
      </c>
      <c r="F459" s="6" t="str">
        <f t="shared" si="71"/>
        <v>Night</v>
      </c>
      <c r="G459" s="6" t="b">
        <v>0</v>
      </c>
      <c r="H459" s="6">
        <f t="shared" si="72"/>
        <v>0</v>
      </c>
      <c r="I459" s="6">
        <v>5</v>
      </c>
      <c r="J459" s="6" t="str">
        <f t="shared" si="73"/>
        <v>Friday</v>
      </c>
      <c r="K459" s="6">
        <f t="shared" si="74"/>
        <v>0</v>
      </c>
      <c r="L459" s="6">
        <v>3</v>
      </c>
      <c r="M459" s="6" t="str">
        <f t="shared" si="75"/>
        <v>Light rain</v>
      </c>
      <c r="N459" s="8">
        <v>0.24</v>
      </c>
      <c r="O459" s="8">
        <v>0.2424</v>
      </c>
      <c r="P459" s="8">
        <v>0.75</v>
      </c>
      <c r="Q459" s="8">
        <v>0.16420000000000001</v>
      </c>
      <c r="R459" s="6">
        <v>0</v>
      </c>
      <c r="S459" s="6">
        <v>2</v>
      </c>
      <c r="T459" s="6">
        <v>2</v>
      </c>
      <c r="U459" s="8">
        <f t="shared" si="76"/>
        <v>-0.64378142061299781</v>
      </c>
      <c r="V459" s="8" t="str">
        <f t="shared" si="77"/>
        <v>Normal</v>
      </c>
      <c r="W459" s="8">
        <f t="shared" si="78"/>
        <v>-1.0728490967713524</v>
      </c>
      <c r="X459" s="8" t="str">
        <f t="shared" si="79"/>
        <v>Normal</v>
      </c>
    </row>
    <row r="460" spans="1:24" x14ac:dyDescent="0.25">
      <c r="A460" s="6">
        <v>459</v>
      </c>
      <c r="B460" s="7">
        <v>40564</v>
      </c>
      <c r="C460" s="6">
        <v>1</v>
      </c>
      <c r="D460" s="6" t="str">
        <f t="shared" si="70"/>
        <v>january</v>
      </c>
      <c r="E460" s="6">
        <v>3</v>
      </c>
      <c r="F460" s="6" t="str">
        <f t="shared" si="71"/>
        <v>Night</v>
      </c>
      <c r="G460" s="6" t="b">
        <v>0</v>
      </c>
      <c r="H460" s="6">
        <f t="shared" si="72"/>
        <v>0</v>
      </c>
      <c r="I460" s="6">
        <v>5</v>
      </c>
      <c r="J460" s="6" t="str">
        <f t="shared" si="73"/>
        <v>Friday</v>
      </c>
      <c r="K460" s="6">
        <f t="shared" si="74"/>
        <v>0</v>
      </c>
      <c r="L460" s="6">
        <v>3</v>
      </c>
      <c r="M460" s="6" t="str">
        <f t="shared" si="75"/>
        <v>Light rain</v>
      </c>
      <c r="N460" s="8">
        <v>0.22</v>
      </c>
      <c r="O460" s="8">
        <v>0.21210000000000001</v>
      </c>
      <c r="P460" s="8">
        <v>0.8</v>
      </c>
      <c r="Q460" s="8">
        <v>0.29849999999999999</v>
      </c>
      <c r="R460" s="6">
        <v>0</v>
      </c>
      <c r="S460" s="6">
        <v>1</v>
      </c>
      <c r="T460" s="6">
        <v>1</v>
      </c>
      <c r="U460" s="8">
        <f t="shared" si="76"/>
        <v>-0.64378142061299781</v>
      </c>
      <c r="V460" s="8" t="str">
        <f t="shared" si="77"/>
        <v>Normal</v>
      </c>
      <c r="W460" s="8">
        <f t="shared" si="78"/>
        <v>-1.0937285529489083</v>
      </c>
      <c r="X460" s="8" t="str">
        <f t="shared" si="79"/>
        <v>Normal</v>
      </c>
    </row>
    <row r="461" spans="1:24" x14ac:dyDescent="0.25">
      <c r="A461" s="6">
        <v>460</v>
      </c>
      <c r="B461" s="7">
        <v>40564</v>
      </c>
      <c r="C461" s="6">
        <v>1</v>
      </c>
      <c r="D461" s="6" t="str">
        <f t="shared" si="70"/>
        <v>january</v>
      </c>
      <c r="E461" s="6">
        <v>4</v>
      </c>
      <c r="F461" s="6" t="str">
        <f t="shared" si="71"/>
        <v>Night</v>
      </c>
      <c r="G461" s="6" t="b">
        <v>0</v>
      </c>
      <c r="H461" s="6">
        <f t="shared" si="72"/>
        <v>0</v>
      </c>
      <c r="I461" s="6">
        <v>5</v>
      </c>
      <c r="J461" s="6" t="str">
        <f t="shared" si="73"/>
        <v>Friday</v>
      </c>
      <c r="K461" s="6">
        <f t="shared" si="74"/>
        <v>0</v>
      </c>
      <c r="L461" s="6">
        <v>2</v>
      </c>
      <c r="M461" s="6" t="str">
        <f t="shared" si="75"/>
        <v>Cloudy</v>
      </c>
      <c r="N461" s="8">
        <v>0.22</v>
      </c>
      <c r="O461" s="8">
        <v>0.2576</v>
      </c>
      <c r="P461" s="8">
        <v>0.87</v>
      </c>
      <c r="Q461" s="8">
        <v>8.9599999999999999E-2</v>
      </c>
      <c r="R461" s="6">
        <v>0</v>
      </c>
      <c r="S461" s="6">
        <v>1</v>
      </c>
      <c r="T461" s="6">
        <v>1</v>
      </c>
      <c r="U461" s="8">
        <f t="shared" si="76"/>
        <v>-0.64378142061299781</v>
      </c>
      <c r="V461" s="8" t="str">
        <f t="shared" si="77"/>
        <v>Normal</v>
      </c>
      <c r="W461" s="8">
        <f t="shared" si="78"/>
        <v>-1.0937285529489083</v>
      </c>
      <c r="X461" s="8" t="str">
        <f t="shared" si="79"/>
        <v>Normal</v>
      </c>
    </row>
    <row r="462" spans="1:24" x14ac:dyDescent="0.25">
      <c r="A462" s="6">
        <v>461</v>
      </c>
      <c r="B462" s="7">
        <v>40564</v>
      </c>
      <c r="C462" s="6">
        <v>1</v>
      </c>
      <c r="D462" s="6" t="str">
        <f t="shared" si="70"/>
        <v>january</v>
      </c>
      <c r="E462" s="6">
        <v>5</v>
      </c>
      <c r="F462" s="6" t="str">
        <f t="shared" si="71"/>
        <v>Early Morning</v>
      </c>
      <c r="G462" s="6" t="b">
        <v>0</v>
      </c>
      <c r="H462" s="6">
        <f t="shared" si="72"/>
        <v>0</v>
      </c>
      <c r="I462" s="6">
        <v>5</v>
      </c>
      <c r="J462" s="6" t="str">
        <f t="shared" si="73"/>
        <v>Friday</v>
      </c>
      <c r="K462" s="6">
        <f t="shared" si="74"/>
        <v>0</v>
      </c>
      <c r="L462" s="6">
        <v>1</v>
      </c>
      <c r="M462" s="6" t="str">
        <f t="shared" si="75"/>
        <v>Partly cloudy</v>
      </c>
      <c r="N462" s="8">
        <v>0.24</v>
      </c>
      <c r="O462" s="8">
        <v>0.19700000000000001</v>
      </c>
      <c r="P462" s="8">
        <v>0.6</v>
      </c>
      <c r="Q462" s="8">
        <v>0.41789999999999999</v>
      </c>
      <c r="R462" s="6">
        <v>1</v>
      </c>
      <c r="S462" s="6">
        <v>4</v>
      </c>
      <c r="T462" s="6">
        <v>5</v>
      </c>
      <c r="U462" s="8">
        <f t="shared" si="76"/>
        <v>-0.51295812847461175</v>
      </c>
      <c r="V462" s="8" t="str">
        <f t="shared" si="77"/>
        <v>Normal</v>
      </c>
      <c r="W462" s="8">
        <f t="shared" si="78"/>
        <v>-1.0310901844162408</v>
      </c>
      <c r="X462" s="8" t="str">
        <f t="shared" si="79"/>
        <v>Normal</v>
      </c>
    </row>
    <row r="463" spans="1:24" x14ac:dyDescent="0.25">
      <c r="A463" s="6">
        <v>462</v>
      </c>
      <c r="B463" s="7">
        <v>40564</v>
      </c>
      <c r="C463" s="6">
        <v>1</v>
      </c>
      <c r="D463" s="6" t="str">
        <f t="shared" si="70"/>
        <v>january</v>
      </c>
      <c r="E463" s="6">
        <v>6</v>
      </c>
      <c r="F463" s="6" t="str">
        <f t="shared" si="71"/>
        <v>Early Morning</v>
      </c>
      <c r="G463" s="6" t="b">
        <v>0</v>
      </c>
      <c r="H463" s="6">
        <f t="shared" si="72"/>
        <v>0</v>
      </c>
      <c r="I463" s="6">
        <v>5</v>
      </c>
      <c r="J463" s="6" t="str">
        <f t="shared" si="73"/>
        <v>Friday</v>
      </c>
      <c r="K463" s="6">
        <f t="shared" si="74"/>
        <v>0</v>
      </c>
      <c r="L463" s="6">
        <v>1</v>
      </c>
      <c r="M463" s="6" t="str">
        <f t="shared" si="75"/>
        <v>Partly cloudy</v>
      </c>
      <c r="N463" s="8">
        <v>0.22</v>
      </c>
      <c r="O463" s="8">
        <v>0.21210000000000001</v>
      </c>
      <c r="P463" s="8">
        <v>0.55000000000000004</v>
      </c>
      <c r="Q463" s="8">
        <v>0.25369999999999998</v>
      </c>
      <c r="R463" s="6">
        <v>0</v>
      </c>
      <c r="S463" s="6">
        <v>27</v>
      </c>
      <c r="T463" s="6">
        <v>27</v>
      </c>
      <c r="U463" s="8">
        <f t="shared" si="76"/>
        <v>-0.64378142061299781</v>
      </c>
      <c r="V463" s="8" t="str">
        <f t="shared" si="77"/>
        <v>Normal</v>
      </c>
      <c r="W463" s="8">
        <f t="shared" si="78"/>
        <v>-0.55086269233245611</v>
      </c>
      <c r="X463" s="8" t="str">
        <f t="shared" si="79"/>
        <v>Normal</v>
      </c>
    </row>
    <row r="464" spans="1:24" x14ac:dyDescent="0.25">
      <c r="A464" s="6">
        <v>463</v>
      </c>
      <c r="B464" s="7">
        <v>40564</v>
      </c>
      <c r="C464" s="6">
        <v>1</v>
      </c>
      <c r="D464" s="6" t="str">
        <f t="shared" si="70"/>
        <v>january</v>
      </c>
      <c r="E464" s="6">
        <v>7</v>
      </c>
      <c r="F464" s="6" t="str">
        <f t="shared" si="71"/>
        <v>Early Morning</v>
      </c>
      <c r="G464" s="6" t="b">
        <v>0</v>
      </c>
      <c r="H464" s="6">
        <f t="shared" si="72"/>
        <v>0</v>
      </c>
      <c r="I464" s="6">
        <v>5</v>
      </c>
      <c r="J464" s="6" t="str">
        <f t="shared" si="73"/>
        <v>Friday</v>
      </c>
      <c r="K464" s="6">
        <f t="shared" si="74"/>
        <v>0</v>
      </c>
      <c r="L464" s="6">
        <v>1</v>
      </c>
      <c r="M464" s="6" t="str">
        <f t="shared" si="75"/>
        <v>Partly cloudy</v>
      </c>
      <c r="N464" s="8">
        <v>0.2</v>
      </c>
      <c r="O464" s="8">
        <v>0.18179999999999999</v>
      </c>
      <c r="P464" s="8">
        <v>0.51</v>
      </c>
      <c r="Q464" s="8">
        <v>0.28360000000000002</v>
      </c>
      <c r="R464" s="6">
        <v>2</v>
      </c>
      <c r="S464" s="6">
        <v>66</v>
      </c>
      <c r="T464" s="6">
        <v>68</v>
      </c>
      <c r="U464" s="8">
        <f t="shared" si="76"/>
        <v>-0.38213483633622569</v>
      </c>
      <c r="V464" s="8" t="str">
        <f t="shared" si="77"/>
        <v>Normal</v>
      </c>
      <c r="W464" s="8">
        <f t="shared" si="78"/>
        <v>0.26343609859222217</v>
      </c>
      <c r="X464" s="8" t="str">
        <f t="shared" si="79"/>
        <v>Normal</v>
      </c>
    </row>
    <row r="465" spans="1:24" x14ac:dyDescent="0.25">
      <c r="A465" s="6">
        <v>464</v>
      </c>
      <c r="B465" s="7">
        <v>40564</v>
      </c>
      <c r="C465" s="6">
        <v>1</v>
      </c>
      <c r="D465" s="6" t="str">
        <f t="shared" si="70"/>
        <v>january</v>
      </c>
      <c r="E465" s="6">
        <v>8</v>
      </c>
      <c r="F465" s="6" t="str">
        <f t="shared" si="71"/>
        <v>Morning</v>
      </c>
      <c r="G465" s="6" t="b">
        <v>0</v>
      </c>
      <c r="H465" s="6">
        <f t="shared" si="72"/>
        <v>0</v>
      </c>
      <c r="I465" s="6">
        <v>5</v>
      </c>
      <c r="J465" s="6" t="str">
        <f t="shared" si="73"/>
        <v>Friday</v>
      </c>
      <c r="K465" s="6">
        <f t="shared" si="74"/>
        <v>0</v>
      </c>
      <c r="L465" s="6">
        <v>1</v>
      </c>
      <c r="M465" s="6" t="str">
        <f t="shared" si="75"/>
        <v>Partly cloudy</v>
      </c>
      <c r="N465" s="8">
        <v>0.2</v>
      </c>
      <c r="O465" s="8">
        <v>0.18179999999999999</v>
      </c>
      <c r="P465" s="8">
        <v>0.47</v>
      </c>
      <c r="Q465" s="8">
        <v>0.32840000000000003</v>
      </c>
      <c r="R465" s="6">
        <v>7</v>
      </c>
      <c r="S465" s="6">
        <v>210</v>
      </c>
      <c r="T465" s="6">
        <v>217</v>
      </c>
      <c r="U465" s="8">
        <f t="shared" si="76"/>
        <v>0.27198162435570455</v>
      </c>
      <c r="V465" s="8" t="str">
        <f t="shared" si="77"/>
        <v>Normal</v>
      </c>
      <c r="W465" s="8">
        <f t="shared" si="78"/>
        <v>3.2700777881602652</v>
      </c>
      <c r="X465" s="8" t="str">
        <f t="shared" si="79"/>
        <v>Peak</v>
      </c>
    </row>
    <row r="466" spans="1:24" x14ac:dyDescent="0.25">
      <c r="A466" s="6">
        <v>465</v>
      </c>
      <c r="B466" s="7">
        <v>40564</v>
      </c>
      <c r="C466" s="6">
        <v>1</v>
      </c>
      <c r="D466" s="6" t="str">
        <f t="shared" si="70"/>
        <v>january</v>
      </c>
      <c r="E466" s="6">
        <v>9</v>
      </c>
      <c r="F466" s="6" t="str">
        <f t="shared" si="71"/>
        <v>Morning</v>
      </c>
      <c r="G466" s="6" t="b">
        <v>0</v>
      </c>
      <c r="H466" s="6">
        <f t="shared" si="72"/>
        <v>0</v>
      </c>
      <c r="I466" s="6">
        <v>5</v>
      </c>
      <c r="J466" s="6" t="str">
        <f t="shared" si="73"/>
        <v>Friday</v>
      </c>
      <c r="K466" s="6">
        <f t="shared" si="74"/>
        <v>0</v>
      </c>
      <c r="L466" s="6">
        <v>1</v>
      </c>
      <c r="M466" s="6" t="str">
        <f t="shared" si="75"/>
        <v>Partly cloudy</v>
      </c>
      <c r="N466" s="8">
        <v>0.2</v>
      </c>
      <c r="O466" s="8">
        <v>0.18179999999999999</v>
      </c>
      <c r="P466" s="8">
        <v>0.51</v>
      </c>
      <c r="Q466" s="8">
        <v>0.35820000000000002</v>
      </c>
      <c r="R466" s="6">
        <v>7</v>
      </c>
      <c r="S466" s="6">
        <v>159</v>
      </c>
      <c r="T466" s="6">
        <v>166</v>
      </c>
      <c r="U466" s="8">
        <f t="shared" si="76"/>
        <v>0.27198162435570455</v>
      </c>
      <c r="V466" s="8" t="str">
        <f t="shared" si="77"/>
        <v>Normal</v>
      </c>
      <c r="W466" s="8">
        <f t="shared" si="78"/>
        <v>2.2052255231049163</v>
      </c>
      <c r="X466" s="8" t="str">
        <f t="shared" si="79"/>
        <v>Peak</v>
      </c>
    </row>
    <row r="467" spans="1:24" x14ac:dyDescent="0.25">
      <c r="A467" s="6">
        <v>466</v>
      </c>
      <c r="B467" s="7">
        <v>40564</v>
      </c>
      <c r="C467" s="6">
        <v>1</v>
      </c>
      <c r="D467" s="6" t="str">
        <f t="shared" si="70"/>
        <v>january</v>
      </c>
      <c r="E467" s="6">
        <v>10</v>
      </c>
      <c r="F467" s="6" t="str">
        <f t="shared" si="71"/>
        <v>Morning</v>
      </c>
      <c r="G467" s="6" t="b">
        <v>0</v>
      </c>
      <c r="H467" s="6">
        <f t="shared" si="72"/>
        <v>0</v>
      </c>
      <c r="I467" s="6">
        <v>5</v>
      </c>
      <c r="J467" s="6" t="str">
        <f t="shared" si="73"/>
        <v>Friday</v>
      </c>
      <c r="K467" s="6">
        <f t="shared" si="74"/>
        <v>0</v>
      </c>
      <c r="L467" s="6">
        <v>1</v>
      </c>
      <c r="M467" s="6" t="str">
        <f t="shared" si="75"/>
        <v>Partly cloudy</v>
      </c>
      <c r="N467" s="8">
        <v>0.2</v>
      </c>
      <c r="O467" s="8">
        <v>0.16669999999999999</v>
      </c>
      <c r="P467" s="8">
        <v>0.47</v>
      </c>
      <c r="Q467" s="8">
        <v>0.4627</v>
      </c>
      <c r="R467" s="6">
        <v>6</v>
      </c>
      <c r="S467" s="6">
        <v>57</v>
      </c>
      <c r="T467" s="6">
        <v>63</v>
      </c>
      <c r="U467" s="8">
        <f t="shared" si="76"/>
        <v>0.14115833221731852</v>
      </c>
      <c r="V467" s="8" t="str">
        <f t="shared" si="77"/>
        <v>Normal</v>
      </c>
      <c r="W467" s="8">
        <f t="shared" si="78"/>
        <v>7.5520992994219466E-2</v>
      </c>
      <c r="X467" s="8" t="str">
        <f t="shared" si="79"/>
        <v>Normal</v>
      </c>
    </row>
    <row r="468" spans="1:24" x14ac:dyDescent="0.25">
      <c r="A468" s="6">
        <v>467</v>
      </c>
      <c r="B468" s="7">
        <v>40564</v>
      </c>
      <c r="C468" s="6">
        <v>1</v>
      </c>
      <c r="D468" s="6" t="str">
        <f t="shared" si="70"/>
        <v>january</v>
      </c>
      <c r="E468" s="6">
        <v>11</v>
      </c>
      <c r="F468" s="6" t="str">
        <f t="shared" si="71"/>
        <v>Morning</v>
      </c>
      <c r="G468" s="6" t="b">
        <v>0</v>
      </c>
      <c r="H468" s="6">
        <f t="shared" si="72"/>
        <v>0</v>
      </c>
      <c r="I468" s="6">
        <v>5</v>
      </c>
      <c r="J468" s="6" t="str">
        <f t="shared" si="73"/>
        <v>Friday</v>
      </c>
      <c r="K468" s="6">
        <f t="shared" si="74"/>
        <v>0</v>
      </c>
      <c r="L468" s="6">
        <v>1</v>
      </c>
      <c r="M468" s="6" t="str">
        <f t="shared" si="75"/>
        <v>Partly cloudy</v>
      </c>
      <c r="N468" s="8">
        <v>0.22</v>
      </c>
      <c r="O468" s="8">
        <v>0.18179999999999999</v>
      </c>
      <c r="P468" s="8">
        <v>0.41</v>
      </c>
      <c r="Q468" s="8">
        <v>0.4627</v>
      </c>
      <c r="R468" s="6">
        <v>6</v>
      </c>
      <c r="S468" s="6">
        <v>53</v>
      </c>
      <c r="T468" s="6">
        <v>59</v>
      </c>
      <c r="U468" s="8">
        <f t="shared" si="76"/>
        <v>0.14115833221731852</v>
      </c>
      <c r="V468" s="8" t="str">
        <f t="shared" si="77"/>
        <v>Normal</v>
      </c>
      <c r="W468" s="8">
        <f t="shared" si="78"/>
        <v>-7.9968317160039482E-3</v>
      </c>
      <c r="X468" s="8" t="str">
        <f t="shared" si="79"/>
        <v>Normal</v>
      </c>
    </row>
    <row r="469" spans="1:24" x14ac:dyDescent="0.25">
      <c r="A469" s="6">
        <v>468</v>
      </c>
      <c r="B469" s="7">
        <v>40564</v>
      </c>
      <c r="C469" s="6">
        <v>1</v>
      </c>
      <c r="D469" s="6" t="str">
        <f t="shared" si="70"/>
        <v>january</v>
      </c>
      <c r="E469" s="6">
        <v>12</v>
      </c>
      <c r="F469" s="6" t="str">
        <f t="shared" si="71"/>
        <v>Afternoon</v>
      </c>
      <c r="G469" s="6" t="b">
        <v>0</v>
      </c>
      <c r="H469" s="6">
        <f t="shared" si="72"/>
        <v>0</v>
      </c>
      <c r="I469" s="6">
        <v>5</v>
      </c>
      <c r="J469" s="6" t="str">
        <f t="shared" si="73"/>
        <v>Friday</v>
      </c>
      <c r="K469" s="6">
        <f t="shared" si="74"/>
        <v>0</v>
      </c>
      <c r="L469" s="6">
        <v>1</v>
      </c>
      <c r="M469" s="6" t="str">
        <f t="shared" si="75"/>
        <v>Partly cloudy</v>
      </c>
      <c r="N469" s="8">
        <v>0.22</v>
      </c>
      <c r="O469" s="8">
        <v>0.18179999999999999</v>
      </c>
      <c r="P469" s="8">
        <v>0.27</v>
      </c>
      <c r="Q469" s="8">
        <v>0.58209999999999995</v>
      </c>
      <c r="R469" s="6">
        <v>11</v>
      </c>
      <c r="S469" s="6">
        <v>67</v>
      </c>
      <c r="T469" s="6">
        <v>78</v>
      </c>
      <c r="U469" s="8">
        <f t="shared" si="76"/>
        <v>0.79527479290924885</v>
      </c>
      <c r="V469" s="8" t="str">
        <f t="shared" si="77"/>
        <v>Normal</v>
      </c>
      <c r="W469" s="8">
        <f t="shared" si="78"/>
        <v>0.28431555476977799</v>
      </c>
      <c r="X469" s="8" t="str">
        <f t="shared" si="79"/>
        <v>Normal</v>
      </c>
    </row>
    <row r="470" spans="1:24" x14ac:dyDescent="0.25">
      <c r="A470" s="6">
        <v>469</v>
      </c>
      <c r="B470" s="7">
        <v>40564</v>
      </c>
      <c r="C470" s="6">
        <v>1</v>
      </c>
      <c r="D470" s="6" t="str">
        <f t="shared" si="70"/>
        <v>january</v>
      </c>
      <c r="E470" s="6">
        <v>13</v>
      </c>
      <c r="F470" s="6" t="str">
        <f t="shared" si="71"/>
        <v>Afternoon</v>
      </c>
      <c r="G470" s="6" t="b">
        <v>0</v>
      </c>
      <c r="H470" s="6">
        <f t="shared" si="72"/>
        <v>0</v>
      </c>
      <c r="I470" s="6">
        <v>5</v>
      </c>
      <c r="J470" s="6" t="str">
        <f t="shared" si="73"/>
        <v>Friday</v>
      </c>
      <c r="K470" s="6">
        <f t="shared" si="74"/>
        <v>0</v>
      </c>
      <c r="L470" s="6">
        <v>1</v>
      </c>
      <c r="M470" s="6" t="str">
        <f t="shared" si="75"/>
        <v>Partly cloudy</v>
      </c>
      <c r="N470" s="8">
        <v>0.2</v>
      </c>
      <c r="O470" s="8">
        <v>0.1515</v>
      </c>
      <c r="P470" s="8">
        <v>0.21</v>
      </c>
      <c r="Q470" s="8">
        <v>0.58209999999999995</v>
      </c>
      <c r="R470" s="6">
        <v>8</v>
      </c>
      <c r="S470" s="6">
        <v>65</v>
      </c>
      <c r="T470" s="6">
        <v>73</v>
      </c>
      <c r="U470" s="8">
        <f t="shared" si="76"/>
        <v>0.40280491649409061</v>
      </c>
      <c r="V470" s="8" t="str">
        <f t="shared" si="77"/>
        <v>Normal</v>
      </c>
      <c r="W470" s="8">
        <f t="shared" si="78"/>
        <v>0.24255664241466629</v>
      </c>
      <c r="X470" s="8" t="str">
        <f t="shared" si="79"/>
        <v>Normal</v>
      </c>
    </row>
    <row r="471" spans="1:24" x14ac:dyDescent="0.25">
      <c r="A471" s="6">
        <v>470</v>
      </c>
      <c r="B471" s="7">
        <v>40564</v>
      </c>
      <c r="C471" s="6">
        <v>1</v>
      </c>
      <c r="D471" s="6" t="str">
        <f t="shared" si="70"/>
        <v>january</v>
      </c>
      <c r="E471" s="6">
        <v>14</v>
      </c>
      <c r="F471" s="6" t="str">
        <f t="shared" si="71"/>
        <v>Afternoon</v>
      </c>
      <c r="G471" s="6" t="b">
        <v>0</v>
      </c>
      <c r="H471" s="6">
        <f t="shared" si="72"/>
        <v>0</v>
      </c>
      <c r="I471" s="6">
        <v>5</v>
      </c>
      <c r="J471" s="6" t="str">
        <f t="shared" si="73"/>
        <v>Friday</v>
      </c>
      <c r="K471" s="6">
        <f t="shared" si="74"/>
        <v>0</v>
      </c>
      <c r="L471" s="6">
        <v>1</v>
      </c>
      <c r="M471" s="6" t="str">
        <f t="shared" si="75"/>
        <v>Partly cloudy</v>
      </c>
      <c r="N471" s="8">
        <v>0.2</v>
      </c>
      <c r="O471" s="8">
        <v>0.1515</v>
      </c>
      <c r="P471" s="8">
        <v>0.25</v>
      </c>
      <c r="Q471" s="8">
        <v>0.52239999999999998</v>
      </c>
      <c r="R471" s="6">
        <v>6</v>
      </c>
      <c r="S471" s="6">
        <v>56</v>
      </c>
      <c r="T471" s="6">
        <v>62</v>
      </c>
      <c r="U471" s="8">
        <f t="shared" si="76"/>
        <v>0.14115833221731852</v>
      </c>
      <c r="V471" s="8" t="str">
        <f t="shared" si="77"/>
        <v>Normal</v>
      </c>
      <c r="W471" s="8">
        <f t="shared" si="78"/>
        <v>5.4641536816663616E-2</v>
      </c>
      <c r="X471" s="8" t="str">
        <f t="shared" si="79"/>
        <v>Normal</v>
      </c>
    </row>
    <row r="472" spans="1:24" x14ac:dyDescent="0.25">
      <c r="A472" s="6">
        <v>471</v>
      </c>
      <c r="B472" s="7">
        <v>40564</v>
      </c>
      <c r="C472" s="6">
        <v>1</v>
      </c>
      <c r="D472" s="6" t="str">
        <f t="shared" si="70"/>
        <v>january</v>
      </c>
      <c r="E472" s="6">
        <v>15</v>
      </c>
      <c r="F472" s="6" t="str">
        <f t="shared" si="71"/>
        <v>Afternoon</v>
      </c>
      <c r="G472" s="6" t="b">
        <v>0</v>
      </c>
      <c r="H472" s="6">
        <f t="shared" si="72"/>
        <v>0</v>
      </c>
      <c r="I472" s="6">
        <v>5</v>
      </c>
      <c r="J472" s="6" t="str">
        <f t="shared" si="73"/>
        <v>Friday</v>
      </c>
      <c r="K472" s="6">
        <f t="shared" si="74"/>
        <v>0</v>
      </c>
      <c r="L472" s="6">
        <v>1</v>
      </c>
      <c r="M472" s="6" t="str">
        <f t="shared" si="75"/>
        <v>Partly cloudy</v>
      </c>
      <c r="N472" s="8">
        <v>0.16</v>
      </c>
      <c r="O472" s="8">
        <v>0.1212</v>
      </c>
      <c r="P472" s="8">
        <v>0.26</v>
      </c>
      <c r="Q472" s="8">
        <v>0.44779999999999998</v>
      </c>
      <c r="R472" s="6">
        <v>4</v>
      </c>
      <c r="S472" s="6">
        <v>61</v>
      </c>
      <c r="T472" s="6">
        <v>65</v>
      </c>
      <c r="U472" s="8">
        <f t="shared" si="76"/>
        <v>-0.1204882520594536</v>
      </c>
      <c r="V472" s="8" t="str">
        <f t="shared" si="77"/>
        <v>Normal</v>
      </c>
      <c r="W472" s="8">
        <f t="shared" si="78"/>
        <v>0.15903881770444289</v>
      </c>
      <c r="X472" s="8" t="str">
        <f t="shared" si="79"/>
        <v>Normal</v>
      </c>
    </row>
    <row r="473" spans="1:24" x14ac:dyDescent="0.25">
      <c r="A473" s="6">
        <v>472</v>
      </c>
      <c r="B473" s="7">
        <v>40564</v>
      </c>
      <c r="C473" s="6">
        <v>1</v>
      </c>
      <c r="D473" s="6" t="str">
        <f t="shared" si="70"/>
        <v>january</v>
      </c>
      <c r="E473" s="6">
        <v>16</v>
      </c>
      <c r="F473" s="6" t="str">
        <f t="shared" si="71"/>
        <v>Afternoon</v>
      </c>
      <c r="G473" s="6" t="b">
        <v>0</v>
      </c>
      <c r="H473" s="6">
        <f t="shared" si="72"/>
        <v>0</v>
      </c>
      <c r="I473" s="6">
        <v>5</v>
      </c>
      <c r="J473" s="6" t="str">
        <f t="shared" si="73"/>
        <v>Friday</v>
      </c>
      <c r="K473" s="6">
        <f t="shared" si="74"/>
        <v>0</v>
      </c>
      <c r="L473" s="6">
        <v>1</v>
      </c>
      <c r="M473" s="6" t="str">
        <f t="shared" si="75"/>
        <v>Partly cloudy</v>
      </c>
      <c r="N473" s="8">
        <v>0.16</v>
      </c>
      <c r="O473" s="8">
        <v>0.13639999999999999</v>
      </c>
      <c r="P473" s="8">
        <v>0.26</v>
      </c>
      <c r="Q473" s="8">
        <v>0.35820000000000002</v>
      </c>
      <c r="R473" s="6">
        <v>0</v>
      </c>
      <c r="S473" s="6">
        <v>97</v>
      </c>
      <c r="T473" s="6">
        <v>97</v>
      </c>
      <c r="U473" s="8">
        <f t="shared" si="76"/>
        <v>-0.64378142061299781</v>
      </c>
      <c r="V473" s="8" t="str">
        <f t="shared" si="77"/>
        <v>Normal</v>
      </c>
      <c r="W473" s="8">
        <f t="shared" si="78"/>
        <v>0.91069924009645364</v>
      </c>
      <c r="X473" s="8" t="str">
        <f t="shared" si="79"/>
        <v>Normal</v>
      </c>
    </row>
    <row r="474" spans="1:24" x14ac:dyDescent="0.25">
      <c r="A474" s="6">
        <v>473</v>
      </c>
      <c r="B474" s="7">
        <v>40564</v>
      </c>
      <c r="C474" s="6">
        <v>1</v>
      </c>
      <c r="D474" s="6" t="str">
        <f t="shared" si="70"/>
        <v>january</v>
      </c>
      <c r="E474" s="6">
        <v>17</v>
      </c>
      <c r="F474" s="6" t="str">
        <f t="shared" si="71"/>
        <v>Evening</v>
      </c>
      <c r="G474" s="6" t="b">
        <v>0</v>
      </c>
      <c r="H474" s="6">
        <f t="shared" si="72"/>
        <v>0</v>
      </c>
      <c r="I474" s="6">
        <v>5</v>
      </c>
      <c r="J474" s="6" t="str">
        <f t="shared" si="73"/>
        <v>Friday</v>
      </c>
      <c r="K474" s="6">
        <f t="shared" si="74"/>
        <v>0</v>
      </c>
      <c r="L474" s="6">
        <v>1</v>
      </c>
      <c r="M474" s="6" t="str">
        <f t="shared" si="75"/>
        <v>Partly cloudy</v>
      </c>
      <c r="N474" s="8">
        <v>0.14000000000000001</v>
      </c>
      <c r="O474" s="8">
        <v>0.1212</v>
      </c>
      <c r="P474" s="8">
        <v>0.28000000000000003</v>
      </c>
      <c r="Q474" s="8">
        <v>0.35820000000000002</v>
      </c>
      <c r="R474" s="6">
        <v>10</v>
      </c>
      <c r="S474" s="6">
        <v>151</v>
      </c>
      <c r="T474" s="6">
        <v>161</v>
      </c>
      <c r="U474" s="8">
        <f t="shared" si="76"/>
        <v>0.66445150077086279</v>
      </c>
      <c r="V474" s="8" t="str">
        <f t="shared" si="77"/>
        <v>Normal</v>
      </c>
      <c r="W474" s="8">
        <f t="shared" si="78"/>
        <v>2.0381898736844697</v>
      </c>
      <c r="X474" s="8" t="str">
        <f t="shared" si="79"/>
        <v>Peak</v>
      </c>
    </row>
    <row r="475" spans="1:24" x14ac:dyDescent="0.25">
      <c r="A475" s="6">
        <v>474</v>
      </c>
      <c r="B475" s="7">
        <v>40564</v>
      </c>
      <c r="C475" s="6">
        <v>1</v>
      </c>
      <c r="D475" s="6" t="str">
        <f t="shared" si="70"/>
        <v>january</v>
      </c>
      <c r="E475" s="6">
        <v>18</v>
      </c>
      <c r="F475" s="6" t="str">
        <f t="shared" si="71"/>
        <v>Evening</v>
      </c>
      <c r="G475" s="6" t="b">
        <v>0</v>
      </c>
      <c r="H475" s="6">
        <f t="shared" si="72"/>
        <v>0</v>
      </c>
      <c r="I475" s="6">
        <v>5</v>
      </c>
      <c r="J475" s="6" t="str">
        <f t="shared" si="73"/>
        <v>Friday</v>
      </c>
      <c r="K475" s="6">
        <f t="shared" si="74"/>
        <v>0</v>
      </c>
      <c r="L475" s="6">
        <v>1</v>
      </c>
      <c r="M475" s="6" t="str">
        <f t="shared" si="75"/>
        <v>Partly cloudy</v>
      </c>
      <c r="N475" s="8">
        <v>0.12</v>
      </c>
      <c r="O475" s="8">
        <v>0.1212</v>
      </c>
      <c r="P475" s="8">
        <v>0.3</v>
      </c>
      <c r="Q475" s="8">
        <v>0.25369999999999998</v>
      </c>
      <c r="R475" s="6">
        <v>1</v>
      </c>
      <c r="S475" s="6">
        <v>119</v>
      </c>
      <c r="T475" s="6">
        <v>120</v>
      </c>
      <c r="U475" s="8">
        <f t="shared" si="76"/>
        <v>-0.51295812847461175</v>
      </c>
      <c r="V475" s="8" t="str">
        <f t="shared" si="77"/>
        <v>Normal</v>
      </c>
      <c r="W475" s="8">
        <f t="shared" si="78"/>
        <v>1.3700472760026823</v>
      </c>
      <c r="X475" s="8" t="str">
        <f t="shared" si="79"/>
        <v>Normal</v>
      </c>
    </row>
    <row r="476" spans="1:24" x14ac:dyDescent="0.25">
      <c r="A476" s="6">
        <v>475</v>
      </c>
      <c r="B476" s="7">
        <v>40564</v>
      </c>
      <c r="C476" s="6">
        <v>1</v>
      </c>
      <c r="D476" s="6" t="str">
        <f t="shared" si="70"/>
        <v>january</v>
      </c>
      <c r="E476" s="6">
        <v>19</v>
      </c>
      <c r="F476" s="6" t="str">
        <f t="shared" si="71"/>
        <v>Evening</v>
      </c>
      <c r="G476" s="6" t="b">
        <v>0</v>
      </c>
      <c r="H476" s="6">
        <f t="shared" si="72"/>
        <v>0</v>
      </c>
      <c r="I476" s="6">
        <v>5</v>
      </c>
      <c r="J476" s="6" t="str">
        <f t="shared" si="73"/>
        <v>Friday</v>
      </c>
      <c r="K476" s="6">
        <f t="shared" si="74"/>
        <v>0</v>
      </c>
      <c r="L476" s="6">
        <v>1</v>
      </c>
      <c r="M476" s="6" t="str">
        <f t="shared" si="75"/>
        <v>Partly cloudy</v>
      </c>
      <c r="N476" s="8">
        <v>0.12</v>
      </c>
      <c r="O476" s="8">
        <v>0.1061</v>
      </c>
      <c r="P476" s="8">
        <v>0.3</v>
      </c>
      <c r="Q476" s="8">
        <v>0.32840000000000003</v>
      </c>
      <c r="R476" s="6">
        <v>3</v>
      </c>
      <c r="S476" s="6">
        <v>93</v>
      </c>
      <c r="T476" s="6">
        <v>96</v>
      </c>
      <c r="U476" s="8">
        <f t="shared" si="76"/>
        <v>-0.25131154419783963</v>
      </c>
      <c r="V476" s="8" t="str">
        <f t="shared" si="77"/>
        <v>Normal</v>
      </c>
      <c r="W476" s="8">
        <f t="shared" si="78"/>
        <v>0.82718141538623025</v>
      </c>
      <c r="X476" s="8" t="str">
        <f t="shared" si="79"/>
        <v>Normal</v>
      </c>
    </row>
    <row r="477" spans="1:24" x14ac:dyDescent="0.25">
      <c r="A477" s="6">
        <v>476</v>
      </c>
      <c r="B477" s="7">
        <v>40564</v>
      </c>
      <c r="C477" s="6">
        <v>1</v>
      </c>
      <c r="D477" s="6" t="str">
        <f t="shared" si="70"/>
        <v>january</v>
      </c>
      <c r="E477" s="6">
        <v>20</v>
      </c>
      <c r="F477" s="6" t="str">
        <f t="shared" si="71"/>
        <v>Evening</v>
      </c>
      <c r="G477" s="6" t="b">
        <v>0</v>
      </c>
      <c r="H477" s="6">
        <f t="shared" si="72"/>
        <v>0</v>
      </c>
      <c r="I477" s="6">
        <v>5</v>
      </c>
      <c r="J477" s="6" t="str">
        <f t="shared" si="73"/>
        <v>Friday</v>
      </c>
      <c r="K477" s="6">
        <f t="shared" si="74"/>
        <v>0</v>
      </c>
      <c r="L477" s="6">
        <v>1</v>
      </c>
      <c r="M477" s="6" t="str">
        <f t="shared" si="75"/>
        <v>Partly cloudy</v>
      </c>
      <c r="N477" s="8">
        <v>0.1</v>
      </c>
      <c r="O477" s="8">
        <v>7.5800000000000006E-2</v>
      </c>
      <c r="P477" s="8">
        <v>0.33</v>
      </c>
      <c r="Q477" s="8">
        <v>0.41789999999999999</v>
      </c>
      <c r="R477" s="6">
        <v>1</v>
      </c>
      <c r="S477" s="6">
        <v>52</v>
      </c>
      <c r="T477" s="6">
        <v>53</v>
      </c>
      <c r="U477" s="8">
        <f t="shared" si="76"/>
        <v>-0.51295812847461175</v>
      </c>
      <c r="V477" s="8" t="str">
        <f t="shared" si="77"/>
        <v>Normal</v>
      </c>
      <c r="W477" s="8">
        <f t="shared" si="78"/>
        <v>-2.8876287893559803E-2</v>
      </c>
      <c r="X477" s="8" t="str">
        <f t="shared" si="79"/>
        <v>Normal</v>
      </c>
    </row>
    <row r="478" spans="1:24" x14ac:dyDescent="0.25">
      <c r="A478" s="6">
        <v>477</v>
      </c>
      <c r="B478" s="7">
        <v>40564</v>
      </c>
      <c r="C478" s="6">
        <v>1</v>
      </c>
      <c r="D478" s="6" t="str">
        <f t="shared" si="70"/>
        <v>january</v>
      </c>
      <c r="E478" s="6">
        <v>21</v>
      </c>
      <c r="F478" s="6" t="str">
        <f t="shared" si="71"/>
        <v>Night</v>
      </c>
      <c r="G478" s="6" t="b">
        <v>0</v>
      </c>
      <c r="H478" s="6">
        <f t="shared" si="72"/>
        <v>0</v>
      </c>
      <c r="I478" s="6">
        <v>5</v>
      </c>
      <c r="J478" s="6" t="str">
        <f t="shared" si="73"/>
        <v>Friday</v>
      </c>
      <c r="K478" s="6">
        <f t="shared" si="74"/>
        <v>0</v>
      </c>
      <c r="L478" s="6">
        <v>1</v>
      </c>
      <c r="M478" s="6" t="str">
        <f t="shared" si="75"/>
        <v>Partly cloudy</v>
      </c>
      <c r="N478" s="8">
        <v>0.08</v>
      </c>
      <c r="O478" s="8">
        <v>7.5800000000000006E-2</v>
      </c>
      <c r="P478" s="8">
        <v>0.38</v>
      </c>
      <c r="Q478" s="8">
        <v>0.28360000000000002</v>
      </c>
      <c r="R478" s="6">
        <v>0</v>
      </c>
      <c r="S478" s="6">
        <v>41</v>
      </c>
      <c r="T478" s="6">
        <v>41</v>
      </c>
      <c r="U478" s="8">
        <f t="shared" si="76"/>
        <v>-0.64378142061299781</v>
      </c>
      <c r="V478" s="8" t="str">
        <f t="shared" si="77"/>
        <v>Normal</v>
      </c>
      <c r="W478" s="8">
        <f t="shared" si="78"/>
        <v>-0.25855030584667421</v>
      </c>
      <c r="X478" s="8" t="str">
        <f t="shared" si="79"/>
        <v>Normal</v>
      </c>
    </row>
    <row r="479" spans="1:24" x14ac:dyDescent="0.25">
      <c r="A479" s="6">
        <v>478</v>
      </c>
      <c r="B479" s="7">
        <v>40564</v>
      </c>
      <c r="C479" s="6">
        <v>1</v>
      </c>
      <c r="D479" s="6" t="str">
        <f t="shared" si="70"/>
        <v>january</v>
      </c>
      <c r="E479" s="6">
        <v>22</v>
      </c>
      <c r="F479" s="6" t="str">
        <f t="shared" si="71"/>
        <v>Night</v>
      </c>
      <c r="G479" s="6" t="b">
        <v>0</v>
      </c>
      <c r="H479" s="6">
        <f t="shared" si="72"/>
        <v>0</v>
      </c>
      <c r="I479" s="6">
        <v>5</v>
      </c>
      <c r="J479" s="6" t="str">
        <f t="shared" si="73"/>
        <v>Friday</v>
      </c>
      <c r="K479" s="6">
        <f t="shared" si="74"/>
        <v>0</v>
      </c>
      <c r="L479" s="6">
        <v>1</v>
      </c>
      <c r="M479" s="6" t="str">
        <f t="shared" si="75"/>
        <v>Partly cloudy</v>
      </c>
      <c r="N479" s="8">
        <v>0.06</v>
      </c>
      <c r="O479" s="8">
        <v>3.0300000000000001E-2</v>
      </c>
      <c r="P479" s="8">
        <v>0.41</v>
      </c>
      <c r="Q479" s="8">
        <v>0.3881</v>
      </c>
      <c r="R479" s="6">
        <v>1</v>
      </c>
      <c r="S479" s="6">
        <v>33</v>
      </c>
      <c r="T479" s="6">
        <v>34</v>
      </c>
      <c r="U479" s="8">
        <f t="shared" si="76"/>
        <v>-0.51295812847461175</v>
      </c>
      <c r="V479" s="8" t="str">
        <f t="shared" si="77"/>
        <v>Normal</v>
      </c>
      <c r="W479" s="8">
        <f t="shared" si="78"/>
        <v>-0.42558595526712101</v>
      </c>
      <c r="X479" s="8" t="str">
        <f t="shared" si="79"/>
        <v>Normal</v>
      </c>
    </row>
    <row r="480" spans="1:24" x14ac:dyDescent="0.25">
      <c r="A480" s="6">
        <v>479</v>
      </c>
      <c r="B480" s="7">
        <v>40564</v>
      </c>
      <c r="C480" s="6">
        <v>1</v>
      </c>
      <c r="D480" s="6" t="str">
        <f t="shared" si="70"/>
        <v>january</v>
      </c>
      <c r="E480" s="6">
        <v>23</v>
      </c>
      <c r="F480" s="6" t="str">
        <f t="shared" si="71"/>
        <v>Night</v>
      </c>
      <c r="G480" s="6" t="b">
        <v>0</v>
      </c>
      <c r="H480" s="6">
        <f t="shared" si="72"/>
        <v>0</v>
      </c>
      <c r="I480" s="6">
        <v>5</v>
      </c>
      <c r="J480" s="6" t="str">
        <f t="shared" si="73"/>
        <v>Friday</v>
      </c>
      <c r="K480" s="6">
        <f t="shared" si="74"/>
        <v>0</v>
      </c>
      <c r="L480" s="6">
        <v>1</v>
      </c>
      <c r="M480" s="6" t="str">
        <f t="shared" si="75"/>
        <v>Partly cloudy</v>
      </c>
      <c r="N480" s="8">
        <v>0.06</v>
      </c>
      <c r="O480" s="8">
        <v>4.5499999999999999E-2</v>
      </c>
      <c r="P480" s="8">
        <v>0.38</v>
      </c>
      <c r="Q480" s="8">
        <v>0.32840000000000003</v>
      </c>
      <c r="R480" s="6">
        <v>0</v>
      </c>
      <c r="S480" s="6">
        <v>27</v>
      </c>
      <c r="T480" s="6">
        <v>27</v>
      </c>
      <c r="U480" s="8">
        <f t="shared" si="76"/>
        <v>-0.64378142061299781</v>
      </c>
      <c r="V480" s="8" t="str">
        <f t="shared" si="77"/>
        <v>Normal</v>
      </c>
      <c r="W480" s="8">
        <f t="shared" si="78"/>
        <v>-0.55086269233245611</v>
      </c>
      <c r="X480" s="8" t="str">
        <f t="shared" si="79"/>
        <v>Normal</v>
      </c>
    </row>
    <row r="481" spans="1:24" x14ac:dyDescent="0.25">
      <c r="A481" s="6">
        <v>480</v>
      </c>
      <c r="B481" s="7">
        <v>40565</v>
      </c>
      <c r="C481" s="6">
        <v>1</v>
      </c>
      <c r="D481" s="6" t="str">
        <f t="shared" si="70"/>
        <v>january</v>
      </c>
      <c r="E481" s="6">
        <v>0</v>
      </c>
      <c r="F481" s="6" t="str">
        <f t="shared" si="71"/>
        <v>Night</v>
      </c>
      <c r="G481" s="6" t="b">
        <v>0</v>
      </c>
      <c r="H481" s="6">
        <f t="shared" si="72"/>
        <v>0</v>
      </c>
      <c r="I481" s="6">
        <v>6</v>
      </c>
      <c r="J481" s="6" t="str">
        <f t="shared" si="73"/>
        <v>Saturday</v>
      </c>
      <c r="K481" s="6">
        <f t="shared" si="74"/>
        <v>1</v>
      </c>
      <c r="L481" s="6">
        <v>1</v>
      </c>
      <c r="M481" s="6" t="str">
        <f t="shared" si="75"/>
        <v>Partly cloudy</v>
      </c>
      <c r="N481" s="8">
        <v>0.04</v>
      </c>
      <c r="O481" s="8">
        <v>3.0300000000000001E-2</v>
      </c>
      <c r="P481" s="8">
        <v>0.45</v>
      </c>
      <c r="Q481" s="8">
        <v>0.25369999999999998</v>
      </c>
      <c r="R481" s="6">
        <v>0</v>
      </c>
      <c r="S481" s="6">
        <v>13</v>
      </c>
      <c r="T481" s="6">
        <v>13</v>
      </c>
      <c r="U481" s="8">
        <f t="shared" si="76"/>
        <v>-0.64378142061299781</v>
      </c>
      <c r="V481" s="8" t="str">
        <f t="shared" si="77"/>
        <v>Normal</v>
      </c>
      <c r="W481" s="8">
        <f t="shared" si="78"/>
        <v>-0.84317507881823806</v>
      </c>
      <c r="X481" s="8" t="str">
        <f t="shared" si="79"/>
        <v>Normal</v>
      </c>
    </row>
    <row r="482" spans="1:24" x14ac:dyDescent="0.25">
      <c r="A482" s="6">
        <v>481</v>
      </c>
      <c r="B482" s="7">
        <v>40565</v>
      </c>
      <c r="C482" s="6">
        <v>1</v>
      </c>
      <c r="D482" s="6" t="str">
        <f t="shared" si="70"/>
        <v>january</v>
      </c>
      <c r="E482" s="6">
        <v>1</v>
      </c>
      <c r="F482" s="6" t="str">
        <f t="shared" si="71"/>
        <v>Night</v>
      </c>
      <c r="G482" s="6" t="b">
        <v>0</v>
      </c>
      <c r="H482" s="6">
        <f t="shared" si="72"/>
        <v>0</v>
      </c>
      <c r="I482" s="6">
        <v>6</v>
      </c>
      <c r="J482" s="6" t="str">
        <f t="shared" si="73"/>
        <v>Saturday</v>
      </c>
      <c r="K482" s="6">
        <f t="shared" si="74"/>
        <v>1</v>
      </c>
      <c r="L482" s="6">
        <v>2</v>
      </c>
      <c r="M482" s="6" t="str">
        <f t="shared" si="75"/>
        <v>Cloudy</v>
      </c>
      <c r="N482" s="8">
        <v>0.04</v>
      </c>
      <c r="O482" s="8">
        <v>0</v>
      </c>
      <c r="P482" s="8">
        <v>0.41</v>
      </c>
      <c r="Q482" s="8">
        <v>0.3881</v>
      </c>
      <c r="R482" s="6">
        <v>3</v>
      </c>
      <c r="S482" s="6">
        <v>9</v>
      </c>
      <c r="T482" s="6">
        <v>12</v>
      </c>
      <c r="U482" s="8">
        <f t="shared" si="76"/>
        <v>-0.25131154419783963</v>
      </c>
      <c r="V482" s="8" t="str">
        <f t="shared" si="77"/>
        <v>Normal</v>
      </c>
      <c r="W482" s="8">
        <f t="shared" si="78"/>
        <v>-0.92669290352846156</v>
      </c>
      <c r="X482" s="8" t="str">
        <f t="shared" si="79"/>
        <v>Normal</v>
      </c>
    </row>
    <row r="483" spans="1:24" x14ac:dyDescent="0.25">
      <c r="A483" s="6">
        <v>482</v>
      </c>
      <c r="B483" s="7">
        <v>40565</v>
      </c>
      <c r="C483" s="6">
        <v>1</v>
      </c>
      <c r="D483" s="6" t="str">
        <f t="shared" si="70"/>
        <v>january</v>
      </c>
      <c r="E483" s="6">
        <v>2</v>
      </c>
      <c r="F483" s="6" t="str">
        <f t="shared" si="71"/>
        <v>Night</v>
      </c>
      <c r="G483" s="6" t="b">
        <v>0</v>
      </c>
      <c r="H483" s="6">
        <f t="shared" si="72"/>
        <v>0</v>
      </c>
      <c r="I483" s="6">
        <v>6</v>
      </c>
      <c r="J483" s="6" t="str">
        <f t="shared" si="73"/>
        <v>Saturday</v>
      </c>
      <c r="K483" s="6">
        <f t="shared" si="74"/>
        <v>1</v>
      </c>
      <c r="L483" s="6">
        <v>2</v>
      </c>
      <c r="M483" s="6" t="str">
        <f t="shared" si="75"/>
        <v>Cloudy</v>
      </c>
      <c r="N483" s="8">
        <v>0.04</v>
      </c>
      <c r="O483" s="8">
        <v>3.0300000000000001E-2</v>
      </c>
      <c r="P483" s="8">
        <v>0.41</v>
      </c>
      <c r="Q483" s="8">
        <v>0.25369999999999998</v>
      </c>
      <c r="R483" s="6">
        <v>0</v>
      </c>
      <c r="S483" s="6">
        <v>11</v>
      </c>
      <c r="T483" s="6">
        <v>11</v>
      </c>
      <c r="U483" s="8">
        <f t="shared" si="76"/>
        <v>-0.64378142061299781</v>
      </c>
      <c r="V483" s="8" t="str">
        <f t="shared" si="77"/>
        <v>Normal</v>
      </c>
      <c r="W483" s="8">
        <f t="shared" si="78"/>
        <v>-0.88493399117334981</v>
      </c>
      <c r="X483" s="8" t="str">
        <f t="shared" si="79"/>
        <v>Normal</v>
      </c>
    </row>
    <row r="484" spans="1:24" x14ac:dyDescent="0.25">
      <c r="A484" s="6">
        <v>483</v>
      </c>
      <c r="B484" s="7">
        <v>40565</v>
      </c>
      <c r="C484" s="6">
        <v>1</v>
      </c>
      <c r="D484" s="6" t="str">
        <f t="shared" si="70"/>
        <v>january</v>
      </c>
      <c r="E484" s="6">
        <v>3</v>
      </c>
      <c r="F484" s="6" t="str">
        <f t="shared" si="71"/>
        <v>Night</v>
      </c>
      <c r="G484" s="6" t="b">
        <v>0</v>
      </c>
      <c r="H484" s="6">
        <f t="shared" si="72"/>
        <v>0</v>
      </c>
      <c r="I484" s="6">
        <v>6</v>
      </c>
      <c r="J484" s="6" t="str">
        <f t="shared" si="73"/>
        <v>Saturday</v>
      </c>
      <c r="K484" s="6">
        <f t="shared" si="74"/>
        <v>1</v>
      </c>
      <c r="L484" s="6">
        <v>2</v>
      </c>
      <c r="M484" s="6" t="str">
        <f t="shared" si="75"/>
        <v>Cloudy</v>
      </c>
      <c r="N484" s="8">
        <v>0.04</v>
      </c>
      <c r="O484" s="8">
        <v>3.0300000000000001E-2</v>
      </c>
      <c r="P484" s="8">
        <v>0.41</v>
      </c>
      <c r="Q484" s="8">
        <v>0.28360000000000002</v>
      </c>
      <c r="R484" s="6">
        <v>1</v>
      </c>
      <c r="S484" s="6">
        <v>6</v>
      </c>
      <c r="T484" s="6">
        <v>7</v>
      </c>
      <c r="U484" s="8">
        <f t="shared" si="76"/>
        <v>-0.51295812847461175</v>
      </c>
      <c r="V484" s="8" t="str">
        <f t="shared" si="77"/>
        <v>Normal</v>
      </c>
      <c r="W484" s="8">
        <f t="shared" si="78"/>
        <v>-0.98933127206112903</v>
      </c>
      <c r="X484" s="8" t="str">
        <f t="shared" si="79"/>
        <v>Normal</v>
      </c>
    </row>
    <row r="485" spans="1:24" x14ac:dyDescent="0.25">
      <c r="A485" s="6">
        <v>484</v>
      </c>
      <c r="B485" s="7">
        <v>40565</v>
      </c>
      <c r="C485" s="6">
        <v>1</v>
      </c>
      <c r="D485" s="6" t="str">
        <f t="shared" si="70"/>
        <v>january</v>
      </c>
      <c r="E485" s="6">
        <v>4</v>
      </c>
      <c r="F485" s="6" t="str">
        <f t="shared" si="71"/>
        <v>Night</v>
      </c>
      <c r="G485" s="6" t="b">
        <v>0</v>
      </c>
      <c r="H485" s="6">
        <f t="shared" si="72"/>
        <v>0</v>
      </c>
      <c r="I485" s="6">
        <v>6</v>
      </c>
      <c r="J485" s="6" t="str">
        <f t="shared" si="73"/>
        <v>Saturday</v>
      </c>
      <c r="K485" s="6">
        <f t="shared" si="74"/>
        <v>1</v>
      </c>
      <c r="L485" s="6">
        <v>2</v>
      </c>
      <c r="M485" s="6" t="str">
        <f t="shared" si="75"/>
        <v>Cloudy</v>
      </c>
      <c r="N485" s="8">
        <v>0.02</v>
      </c>
      <c r="O485" s="8">
        <v>1.52E-2</v>
      </c>
      <c r="P485" s="8">
        <v>0.48</v>
      </c>
      <c r="Q485" s="8">
        <v>0.29849999999999999</v>
      </c>
      <c r="R485" s="6">
        <v>0</v>
      </c>
      <c r="S485" s="6">
        <v>3</v>
      </c>
      <c r="T485" s="6">
        <v>3</v>
      </c>
      <c r="U485" s="8">
        <f t="shared" si="76"/>
        <v>-0.64378142061299781</v>
      </c>
      <c r="V485" s="8" t="str">
        <f t="shared" si="77"/>
        <v>Normal</v>
      </c>
      <c r="W485" s="8">
        <f t="shared" si="78"/>
        <v>-1.0519696405937966</v>
      </c>
      <c r="X485" s="8" t="str">
        <f t="shared" si="79"/>
        <v>Normal</v>
      </c>
    </row>
    <row r="486" spans="1:24" x14ac:dyDescent="0.25">
      <c r="A486" s="6">
        <v>485</v>
      </c>
      <c r="B486" s="7">
        <v>40565</v>
      </c>
      <c r="C486" s="6">
        <v>1</v>
      </c>
      <c r="D486" s="6" t="str">
        <f t="shared" si="70"/>
        <v>january</v>
      </c>
      <c r="E486" s="6">
        <v>6</v>
      </c>
      <c r="F486" s="6" t="str">
        <f t="shared" si="71"/>
        <v>Early Morning</v>
      </c>
      <c r="G486" s="6" t="b">
        <v>0</v>
      </c>
      <c r="H486" s="6">
        <f t="shared" si="72"/>
        <v>0</v>
      </c>
      <c r="I486" s="6">
        <v>6</v>
      </c>
      <c r="J486" s="6" t="str">
        <f t="shared" si="73"/>
        <v>Saturday</v>
      </c>
      <c r="K486" s="6">
        <f t="shared" si="74"/>
        <v>1</v>
      </c>
      <c r="L486" s="6">
        <v>2</v>
      </c>
      <c r="M486" s="6" t="str">
        <f t="shared" si="75"/>
        <v>Cloudy</v>
      </c>
      <c r="N486" s="8">
        <v>0.02</v>
      </c>
      <c r="O486" s="8">
        <v>3.0300000000000001E-2</v>
      </c>
      <c r="P486" s="8">
        <v>0.44</v>
      </c>
      <c r="Q486" s="8">
        <v>0.22389999999999999</v>
      </c>
      <c r="R486" s="6">
        <v>0</v>
      </c>
      <c r="S486" s="6">
        <v>2</v>
      </c>
      <c r="T486" s="6">
        <v>2</v>
      </c>
      <c r="U486" s="8">
        <f t="shared" si="76"/>
        <v>-0.64378142061299781</v>
      </c>
      <c r="V486" s="8" t="str">
        <f t="shared" si="77"/>
        <v>Normal</v>
      </c>
      <c r="W486" s="8">
        <f t="shared" si="78"/>
        <v>-1.0728490967713524</v>
      </c>
      <c r="X486" s="8" t="str">
        <f t="shared" si="79"/>
        <v>Normal</v>
      </c>
    </row>
    <row r="487" spans="1:24" x14ac:dyDescent="0.25">
      <c r="A487" s="6">
        <v>486</v>
      </c>
      <c r="B487" s="7">
        <v>40565</v>
      </c>
      <c r="C487" s="6">
        <v>1</v>
      </c>
      <c r="D487" s="6" t="str">
        <f t="shared" si="70"/>
        <v>january</v>
      </c>
      <c r="E487" s="6">
        <v>7</v>
      </c>
      <c r="F487" s="6" t="str">
        <f t="shared" si="71"/>
        <v>Early Morning</v>
      </c>
      <c r="G487" s="6" t="b">
        <v>0</v>
      </c>
      <c r="H487" s="6">
        <f t="shared" si="72"/>
        <v>0</v>
      </c>
      <c r="I487" s="6">
        <v>6</v>
      </c>
      <c r="J487" s="6" t="str">
        <f t="shared" si="73"/>
        <v>Saturday</v>
      </c>
      <c r="K487" s="6">
        <f t="shared" si="74"/>
        <v>1</v>
      </c>
      <c r="L487" s="6">
        <v>1</v>
      </c>
      <c r="M487" s="6" t="str">
        <f t="shared" si="75"/>
        <v>Partly cloudy</v>
      </c>
      <c r="N487" s="8">
        <v>0.02</v>
      </c>
      <c r="O487" s="8">
        <v>1.52E-2</v>
      </c>
      <c r="P487" s="8">
        <v>0.44</v>
      </c>
      <c r="Q487" s="8">
        <v>0.28360000000000002</v>
      </c>
      <c r="R487" s="6">
        <v>0</v>
      </c>
      <c r="S487" s="6">
        <v>8</v>
      </c>
      <c r="T487" s="6">
        <v>8</v>
      </c>
      <c r="U487" s="8">
        <f t="shared" si="76"/>
        <v>-0.64378142061299781</v>
      </c>
      <c r="V487" s="8" t="str">
        <f t="shared" si="77"/>
        <v>Normal</v>
      </c>
      <c r="W487" s="8">
        <f t="shared" si="78"/>
        <v>-0.94757235970601739</v>
      </c>
      <c r="X487" s="8" t="str">
        <f t="shared" si="79"/>
        <v>Normal</v>
      </c>
    </row>
    <row r="488" spans="1:24" x14ac:dyDescent="0.25">
      <c r="A488" s="6">
        <v>487</v>
      </c>
      <c r="B488" s="7">
        <v>40565</v>
      </c>
      <c r="C488" s="6">
        <v>1</v>
      </c>
      <c r="D488" s="6" t="str">
        <f t="shared" si="70"/>
        <v>january</v>
      </c>
      <c r="E488" s="6">
        <v>8</v>
      </c>
      <c r="F488" s="6" t="str">
        <f t="shared" si="71"/>
        <v>Morning</v>
      </c>
      <c r="G488" s="6" t="b">
        <v>0</v>
      </c>
      <c r="H488" s="6">
        <f t="shared" si="72"/>
        <v>0</v>
      </c>
      <c r="I488" s="6">
        <v>6</v>
      </c>
      <c r="J488" s="6" t="str">
        <f t="shared" si="73"/>
        <v>Saturday</v>
      </c>
      <c r="K488" s="6">
        <f t="shared" si="74"/>
        <v>1</v>
      </c>
      <c r="L488" s="6">
        <v>1</v>
      </c>
      <c r="M488" s="6" t="str">
        <f t="shared" si="75"/>
        <v>Partly cloudy</v>
      </c>
      <c r="N488" s="8">
        <v>0.02</v>
      </c>
      <c r="O488" s="8">
        <v>0</v>
      </c>
      <c r="P488" s="8">
        <v>0.44</v>
      </c>
      <c r="Q488" s="8">
        <v>0.32840000000000003</v>
      </c>
      <c r="R488" s="6">
        <v>1</v>
      </c>
      <c r="S488" s="6">
        <v>26</v>
      </c>
      <c r="T488" s="6">
        <v>27</v>
      </c>
      <c r="U488" s="8">
        <f t="shared" si="76"/>
        <v>-0.51295812847461175</v>
      </c>
      <c r="V488" s="8" t="str">
        <f t="shared" si="77"/>
        <v>Normal</v>
      </c>
      <c r="W488" s="8">
        <f t="shared" si="78"/>
        <v>-0.57174214851001204</v>
      </c>
      <c r="X488" s="8" t="str">
        <f t="shared" si="79"/>
        <v>Normal</v>
      </c>
    </row>
    <row r="489" spans="1:24" x14ac:dyDescent="0.25">
      <c r="A489" s="6">
        <v>488</v>
      </c>
      <c r="B489" s="7">
        <v>40565</v>
      </c>
      <c r="C489" s="6">
        <v>1</v>
      </c>
      <c r="D489" s="6" t="str">
        <f t="shared" si="70"/>
        <v>january</v>
      </c>
      <c r="E489" s="6">
        <v>9</v>
      </c>
      <c r="F489" s="6" t="str">
        <f t="shared" si="71"/>
        <v>Morning</v>
      </c>
      <c r="G489" s="6" t="b">
        <v>0</v>
      </c>
      <c r="H489" s="6">
        <f t="shared" si="72"/>
        <v>0</v>
      </c>
      <c r="I489" s="6">
        <v>6</v>
      </c>
      <c r="J489" s="6" t="str">
        <f t="shared" si="73"/>
        <v>Saturday</v>
      </c>
      <c r="K489" s="6">
        <f t="shared" si="74"/>
        <v>1</v>
      </c>
      <c r="L489" s="6">
        <v>1</v>
      </c>
      <c r="M489" s="6" t="str">
        <f t="shared" si="75"/>
        <v>Partly cloudy</v>
      </c>
      <c r="N489" s="8">
        <v>0.04</v>
      </c>
      <c r="O489" s="8">
        <v>3.0300000000000001E-2</v>
      </c>
      <c r="P489" s="8">
        <v>0.41</v>
      </c>
      <c r="Q489" s="8">
        <v>0.25369999999999998</v>
      </c>
      <c r="R489" s="6">
        <v>3</v>
      </c>
      <c r="S489" s="6">
        <v>37</v>
      </c>
      <c r="T489" s="6">
        <v>40</v>
      </c>
      <c r="U489" s="8">
        <f t="shared" si="76"/>
        <v>-0.25131154419783963</v>
      </c>
      <c r="V489" s="8" t="str">
        <f t="shared" si="77"/>
        <v>Normal</v>
      </c>
      <c r="W489" s="8">
        <f t="shared" si="78"/>
        <v>-0.34206813055689761</v>
      </c>
      <c r="X489" s="8" t="str">
        <f t="shared" si="79"/>
        <v>Normal</v>
      </c>
    </row>
    <row r="490" spans="1:24" x14ac:dyDescent="0.25">
      <c r="A490" s="6">
        <v>489</v>
      </c>
      <c r="B490" s="7">
        <v>40565</v>
      </c>
      <c r="C490" s="6">
        <v>1</v>
      </c>
      <c r="D490" s="6" t="str">
        <f t="shared" si="70"/>
        <v>january</v>
      </c>
      <c r="E490" s="6">
        <v>10</v>
      </c>
      <c r="F490" s="6" t="str">
        <f t="shared" si="71"/>
        <v>Morning</v>
      </c>
      <c r="G490" s="6" t="b">
        <v>0</v>
      </c>
      <c r="H490" s="6">
        <f t="shared" si="72"/>
        <v>0</v>
      </c>
      <c r="I490" s="6">
        <v>6</v>
      </c>
      <c r="J490" s="6" t="str">
        <f t="shared" si="73"/>
        <v>Saturday</v>
      </c>
      <c r="K490" s="6">
        <f t="shared" si="74"/>
        <v>1</v>
      </c>
      <c r="L490" s="6">
        <v>2</v>
      </c>
      <c r="M490" s="6" t="str">
        <f t="shared" si="75"/>
        <v>Cloudy</v>
      </c>
      <c r="N490" s="8">
        <v>0.04</v>
      </c>
      <c r="O490" s="8">
        <v>6.0600000000000001E-2</v>
      </c>
      <c r="P490" s="8">
        <v>0.41</v>
      </c>
      <c r="Q490" s="8">
        <v>0.16420000000000001</v>
      </c>
      <c r="R490" s="6">
        <v>3</v>
      </c>
      <c r="S490" s="6">
        <v>50</v>
      </c>
      <c r="T490" s="6">
        <v>53</v>
      </c>
      <c r="U490" s="8">
        <f t="shared" si="76"/>
        <v>-0.25131154419783963</v>
      </c>
      <c r="V490" s="8" t="str">
        <f t="shared" si="77"/>
        <v>Normal</v>
      </c>
      <c r="W490" s="8">
        <f t="shared" si="78"/>
        <v>-7.0635200248671509E-2</v>
      </c>
      <c r="X490" s="8" t="str">
        <f t="shared" si="79"/>
        <v>Normal</v>
      </c>
    </row>
    <row r="491" spans="1:24" x14ac:dyDescent="0.25">
      <c r="A491" s="6">
        <v>490</v>
      </c>
      <c r="B491" s="7">
        <v>40565</v>
      </c>
      <c r="C491" s="6">
        <v>1</v>
      </c>
      <c r="D491" s="6" t="str">
        <f t="shared" si="70"/>
        <v>january</v>
      </c>
      <c r="E491" s="6">
        <v>11</v>
      </c>
      <c r="F491" s="6" t="str">
        <f t="shared" si="71"/>
        <v>Morning</v>
      </c>
      <c r="G491" s="6" t="b">
        <v>0</v>
      </c>
      <c r="H491" s="6">
        <f t="shared" si="72"/>
        <v>0</v>
      </c>
      <c r="I491" s="6">
        <v>6</v>
      </c>
      <c r="J491" s="6" t="str">
        <f t="shared" si="73"/>
        <v>Saturday</v>
      </c>
      <c r="K491" s="6">
        <f t="shared" si="74"/>
        <v>1</v>
      </c>
      <c r="L491" s="6">
        <v>2</v>
      </c>
      <c r="M491" s="6" t="str">
        <f t="shared" si="75"/>
        <v>Cloudy</v>
      </c>
      <c r="N491" s="8">
        <v>0.06</v>
      </c>
      <c r="O491" s="8">
        <v>7.5800000000000006E-2</v>
      </c>
      <c r="P491" s="8">
        <v>0.38</v>
      </c>
      <c r="Q491" s="8">
        <v>0.1343</v>
      </c>
      <c r="R491" s="6">
        <v>4</v>
      </c>
      <c r="S491" s="6">
        <v>59</v>
      </c>
      <c r="T491" s="6">
        <v>63</v>
      </c>
      <c r="U491" s="8">
        <f t="shared" si="76"/>
        <v>-0.1204882520594536</v>
      </c>
      <c r="V491" s="8" t="str">
        <f t="shared" si="77"/>
        <v>Normal</v>
      </c>
      <c r="W491" s="8">
        <f t="shared" si="78"/>
        <v>0.11727990534933118</v>
      </c>
      <c r="X491" s="8" t="str">
        <f t="shared" si="79"/>
        <v>Normal</v>
      </c>
    </row>
    <row r="492" spans="1:24" x14ac:dyDescent="0.25">
      <c r="A492" s="6">
        <v>491</v>
      </c>
      <c r="B492" s="7">
        <v>40565</v>
      </c>
      <c r="C492" s="6">
        <v>1</v>
      </c>
      <c r="D492" s="6" t="str">
        <f t="shared" si="70"/>
        <v>january</v>
      </c>
      <c r="E492" s="6">
        <v>12</v>
      </c>
      <c r="F492" s="6" t="str">
        <f t="shared" si="71"/>
        <v>Afternoon</v>
      </c>
      <c r="G492" s="6" t="b">
        <v>0</v>
      </c>
      <c r="H492" s="6">
        <f t="shared" si="72"/>
        <v>0</v>
      </c>
      <c r="I492" s="6">
        <v>6</v>
      </c>
      <c r="J492" s="6" t="str">
        <f t="shared" si="73"/>
        <v>Saturday</v>
      </c>
      <c r="K492" s="6">
        <f t="shared" si="74"/>
        <v>1</v>
      </c>
      <c r="L492" s="6">
        <v>2</v>
      </c>
      <c r="M492" s="6" t="str">
        <f t="shared" si="75"/>
        <v>Cloudy</v>
      </c>
      <c r="N492" s="8">
        <v>0.06</v>
      </c>
      <c r="O492" s="8">
        <v>0.1061</v>
      </c>
      <c r="P492" s="8">
        <v>0.38</v>
      </c>
      <c r="Q492" s="8">
        <v>0.1045</v>
      </c>
      <c r="R492" s="6">
        <v>10</v>
      </c>
      <c r="S492" s="6">
        <v>60</v>
      </c>
      <c r="T492" s="6">
        <v>70</v>
      </c>
      <c r="U492" s="8">
        <f t="shared" si="76"/>
        <v>0.66445150077086279</v>
      </c>
      <c r="V492" s="8" t="str">
        <f t="shared" si="77"/>
        <v>Normal</v>
      </c>
      <c r="W492" s="8">
        <f t="shared" si="78"/>
        <v>0.13815936152688704</v>
      </c>
      <c r="X492" s="8" t="str">
        <f t="shared" si="79"/>
        <v>Normal</v>
      </c>
    </row>
    <row r="493" spans="1:24" x14ac:dyDescent="0.25">
      <c r="A493" s="6">
        <v>492</v>
      </c>
      <c r="B493" s="7">
        <v>40565</v>
      </c>
      <c r="C493" s="6">
        <v>1</v>
      </c>
      <c r="D493" s="6" t="str">
        <f t="shared" si="70"/>
        <v>january</v>
      </c>
      <c r="E493" s="6">
        <v>13</v>
      </c>
      <c r="F493" s="6" t="str">
        <f t="shared" si="71"/>
        <v>Afternoon</v>
      </c>
      <c r="G493" s="6" t="b">
        <v>0</v>
      </c>
      <c r="H493" s="6">
        <f t="shared" si="72"/>
        <v>0</v>
      </c>
      <c r="I493" s="6">
        <v>6</v>
      </c>
      <c r="J493" s="6" t="str">
        <f t="shared" si="73"/>
        <v>Saturday</v>
      </c>
      <c r="K493" s="6">
        <f t="shared" si="74"/>
        <v>1</v>
      </c>
      <c r="L493" s="6">
        <v>1</v>
      </c>
      <c r="M493" s="6" t="str">
        <f t="shared" si="75"/>
        <v>Partly cloudy</v>
      </c>
      <c r="N493" s="8">
        <v>0.08</v>
      </c>
      <c r="O493" s="8">
        <v>0.16669999999999999</v>
      </c>
      <c r="P493" s="8">
        <v>0.35</v>
      </c>
      <c r="Q493" s="8">
        <v>0</v>
      </c>
      <c r="R493" s="6">
        <v>12</v>
      </c>
      <c r="S493" s="6">
        <v>72</v>
      </c>
      <c r="T493" s="6">
        <v>84</v>
      </c>
      <c r="U493" s="8">
        <f t="shared" si="76"/>
        <v>0.92609808504763491</v>
      </c>
      <c r="V493" s="8" t="str">
        <f t="shared" si="77"/>
        <v>Normal</v>
      </c>
      <c r="W493" s="8">
        <f t="shared" si="78"/>
        <v>0.38871283565755727</v>
      </c>
      <c r="X493" s="8" t="str">
        <f t="shared" si="79"/>
        <v>Normal</v>
      </c>
    </row>
    <row r="494" spans="1:24" x14ac:dyDescent="0.25">
      <c r="A494" s="6">
        <v>493</v>
      </c>
      <c r="B494" s="7">
        <v>40565</v>
      </c>
      <c r="C494" s="6">
        <v>1</v>
      </c>
      <c r="D494" s="6" t="str">
        <f t="shared" si="70"/>
        <v>january</v>
      </c>
      <c r="E494" s="6">
        <v>14</v>
      </c>
      <c r="F494" s="6" t="str">
        <f t="shared" si="71"/>
        <v>Afternoon</v>
      </c>
      <c r="G494" s="6" t="b">
        <v>0</v>
      </c>
      <c r="H494" s="6">
        <f t="shared" si="72"/>
        <v>0</v>
      </c>
      <c r="I494" s="6">
        <v>6</v>
      </c>
      <c r="J494" s="6" t="str">
        <f t="shared" si="73"/>
        <v>Saturday</v>
      </c>
      <c r="K494" s="6">
        <f t="shared" si="74"/>
        <v>1</v>
      </c>
      <c r="L494" s="6">
        <v>1</v>
      </c>
      <c r="M494" s="6" t="str">
        <f t="shared" si="75"/>
        <v>Partly cloudy</v>
      </c>
      <c r="N494" s="8">
        <v>0.1</v>
      </c>
      <c r="O494" s="8">
        <v>0.13639999999999999</v>
      </c>
      <c r="P494" s="8">
        <v>0.33</v>
      </c>
      <c r="Q494" s="8">
        <v>0.1045</v>
      </c>
      <c r="R494" s="6">
        <v>11</v>
      </c>
      <c r="S494" s="6">
        <v>64</v>
      </c>
      <c r="T494" s="6">
        <v>75</v>
      </c>
      <c r="U494" s="8">
        <f t="shared" si="76"/>
        <v>0.79527479290924885</v>
      </c>
      <c r="V494" s="8" t="str">
        <f t="shared" si="77"/>
        <v>Normal</v>
      </c>
      <c r="W494" s="8">
        <f t="shared" si="78"/>
        <v>0.22167718623711044</v>
      </c>
      <c r="X494" s="8" t="str">
        <f t="shared" si="79"/>
        <v>Normal</v>
      </c>
    </row>
    <row r="495" spans="1:24" x14ac:dyDescent="0.25">
      <c r="A495" s="6">
        <v>494</v>
      </c>
      <c r="B495" s="7">
        <v>40565</v>
      </c>
      <c r="C495" s="6">
        <v>1</v>
      </c>
      <c r="D495" s="6" t="str">
        <f t="shared" si="70"/>
        <v>january</v>
      </c>
      <c r="E495" s="6">
        <v>15</v>
      </c>
      <c r="F495" s="6" t="str">
        <f t="shared" si="71"/>
        <v>Afternoon</v>
      </c>
      <c r="G495" s="6" t="b">
        <v>0</v>
      </c>
      <c r="H495" s="6">
        <f t="shared" si="72"/>
        <v>0</v>
      </c>
      <c r="I495" s="6">
        <v>6</v>
      </c>
      <c r="J495" s="6" t="str">
        <f t="shared" si="73"/>
        <v>Saturday</v>
      </c>
      <c r="K495" s="6">
        <f t="shared" si="74"/>
        <v>1</v>
      </c>
      <c r="L495" s="6">
        <v>1</v>
      </c>
      <c r="M495" s="6" t="str">
        <f t="shared" si="75"/>
        <v>Partly cloudy</v>
      </c>
      <c r="N495" s="8">
        <v>0.12</v>
      </c>
      <c r="O495" s="8">
        <v>0.1515</v>
      </c>
      <c r="P495" s="8">
        <v>0.28000000000000003</v>
      </c>
      <c r="Q495" s="8">
        <v>0</v>
      </c>
      <c r="R495" s="6">
        <v>10</v>
      </c>
      <c r="S495" s="6">
        <v>93</v>
      </c>
      <c r="T495" s="6">
        <v>103</v>
      </c>
      <c r="U495" s="8">
        <f t="shared" si="76"/>
        <v>0.66445150077086279</v>
      </c>
      <c r="V495" s="8" t="str">
        <f t="shared" si="77"/>
        <v>Normal</v>
      </c>
      <c r="W495" s="8">
        <f t="shared" si="78"/>
        <v>0.82718141538623025</v>
      </c>
      <c r="X495" s="8" t="str">
        <f t="shared" si="79"/>
        <v>Normal</v>
      </c>
    </row>
    <row r="496" spans="1:24" x14ac:dyDescent="0.25">
      <c r="A496" s="6">
        <v>495</v>
      </c>
      <c r="B496" s="7">
        <v>40565</v>
      </c>
      <c r="C496" s="6">
        <v>1</v>
      </c>
      <c r="D496" s="6" t="str">
        <f t="shared" si="70"/>
        <v>january</v>
      </c>
      <c r="E496" s="6">
        <v>16</v>
      </c>
      <c r="F496" s="6" t="str">
        <f t="shared" si="71"/>
        <v>Afternoon</v>
      </c>
      <c r="G496" s="6" t="b">
        <v>0</v>
      </c>
      <c r="H496" s="6">
        <f t="shared" si="72"/>
        <v>0</v>
      </c>
      <c r="I496" s="6">
        <v>6</v>
      </c>
      <c r="J496" s="6" t="str">
        <f t="shared" si="73"/>
        <v>Saturday</v>
      </c>
      <c r="K496" s="6">
        <f t="shared" si="74"/>
        <v>1</v>
      </c>
      <c r="L496" s="6">
        <v>1</v>
      </c>
      <c r="M496" s="6" t="str">
        <f t="shared" si="75"/>
        <v>Partly cloudy</v>
      </c>
      <c r="N496" s="8">
        <v>0.12</v>
      </c>
      <c r="O496" s="8">
        <v>0.13639999999999999</v>
      </c>
      <c r="P496" s="8">
        <v>0.28000000000000003</v>
      </c>
      <c r="Q496" s="8">
        <v>0.19400000000000001</v>
      </c>
      <c r="R496" s="6">
        <v>11</v>
      </c>
      <c r="S496" s="6">
        <v>72</v>
      </c>
      <c r="T496" s="6">
        <v>83</v>
      </c>
      <c r="U496" s="8">
        <f t="shared" si="76"/>
        <v>0.79527479290924885</v>
      </c>
      <c r="V496" s="8" t="str">
        <f t="shared" si="77"/>
        <v>Normal</v>
      </c>
      <c r="W496" s="8">
        <f t="shared" si="78"/>
        <v>0.38871283565755727</v>
      </c>
      <c r="X496" s="8" t="str">
        <f t="shared" si="79"/>
        <v>Normal</v>
      </c>
    </row>
    <row r="497" spans="1:24" x14ac:dyDescent="0.25">
      <c r="A497" s="6">
        <v>496</v>
      </c>
      <c r="B497" s="7">
        <v>40565</v>
      </c>
      <c r="C497" s="6">
        <v>1</v>
      </c>
      <c r="D497" s="6" t="str">
        <f t="shared" si="70"/>
        <v>january</v>
      </c>
      <c r="E497" s="6">
        <v>17</v>
      </c>
      <c r="F497" s="6" t="str">
        <f t="shared" si="71"/>
        <v>Evening</v>
      </c>
      <c r="G497" s="6" t="b">
        <v>0</v>
      </c>
      <c r="H497" s="6">
        <f t="shared" si="72"/>
        <v>0</v>
      </c>
      <c r="I497" s="6">
        <v>6</v>
      </c>
      <c r="J497" s="6" t="str">
        <f t="shared" si="73"/>
        <v>Saturday</v>
      </c>
      <c r="K497" s="6">
        <f t="shared" si="74"/>
        <v>1</v>
      </c>
      <c r="L497" s="6">
        <v>1</v>
      </c>
      <c r="M497" s="6" t="str">
        <f t="shared" si="75"/>
        <v>Partly cloudy</v>
      </c>
      <c r="N497" s="8">
        <v>0.12</v>
      </c>
      <c r="O497" s="8">
        <v>0.19700000000000001</v>
      </c>
      <c r="P497" s="8">
        <v>0.28000000000000003</v>
      </c>
      <c r="Q497" s="8">
        <v>0</v>
      </c>
      <c r="R497" s="6">
        <v>8</v>
      </c>
      <c r="S497" s="6">
        <v>59</v>
      </c>
      <c r="T497" s="6">
        <v>67</v>
      </c>
      <c r="U497" s="8">
        <f t="shared" si="76"/>
        <v>0.40280491649409061</v>
      </c>
      <c r="V497" s="8" t="str">
        <f t="shared" si="77"/>
        <v>Normal</v>
      </c>
      <c r="W497" s="8">
        <f t="shared" si="78"/>
        <v>0.11727990534933118</v>
      </c>
      <c r="X497" s="8" t="str">
        <f t="shared" si="79"/>
        <v>Normal</v>
      </c>
    </row>
    <row r="498" spans="1:24" x14ac:dyDescent="0.25">
      <c r="A498" s="6">
        <v>497</v>
      </c>
      <c r="B498" s="7">
        <v>40565</v>
      </c>
      <c r="C498" s="6">
        <v>1</v>
      </c>
      <c r="D498" s="6" t="str">
        <f t="shared" si="70"/>
        <v>january</v>
      </c>
      <c r="E498" s="6">
        <v>18</v>
      </c>
      <c r="F498" s="6" t="str">
        <f t="shared" si="71"/>
        <v>Evening</v>
      </c>
      <c r="G498" s="6" t="b">
        <v>0</v>
      </c>
      <c r="H498" s="6">
        <f t="shared" si="72"/>
        <v>0</v>
      </c>
      <c r="I498" s="6">
        <v>6</v>
      </c>
      <c r="J498" s="6" t="str">
        <f t="shared" si="73"/>
        <v>Saturday</v>
      </c>
      <c r="K498" s="6">
        <f t="shared" si="74"/>
        <v>1</v>
      </c>
      <c r="L498" s="6">
        <v>1</v>
      </c>
      <c r="M498" s="6" t="str">
        <f t="shared" si="75"/>
        <v>Partly cloudy</v>
      </c>
      <c r="N498" s="8">
        <v>0.08</v>
      </c>
      <c r="O498" s="8">
        <v>9.0899999999999995E-2</v>
      </c>
      <c r="P498" s="8">
        <v>0.35</v>
      </c>
      <c r="Q498" s="8">
        <v>0.19400000000000001</v>
      </c>
      <c r="R498" s="6">
        <v>0</v>
      </c>
      <c r="S498" s="6">
        <v>54</v>
      </c>
      <c r="T498" s="6">
        <v>54</v>
      </c>
      <c r="U498" s="8">
        <f t="shared" si="76"/>
        <v>-0.64378142061299781</v>
      </c>
      <c r="V498" s="8" t="str">
        <f t="shared" si="77"/>
        <v>Normal</v>
      </c>
      <c r="W498" s="8">
        <f t="shared" si="78"/>
        <v>1.2882624461551907E-2</v>
      </c>
      <c r="X498" s="8" t="str">
        <f t="shared" si="79"/>
        <v>Normal</v>
      </c>
    </row>
    <row r="499" spans="1:24" x14ac:dyDescent="0.25">
      <c r="A499" s="6">
        <v>498</v>
      </c>
      <c r="B499" s="7">
        <v>40565</v>
      </c>
      <c r="C499" s="6">
        <v>1</v>
      </c>
      <c r="D499" s="6" t="str">
        <f t="shared" si="70"/>
        <v>january</v>
      </c>
      <c r="E499" s="6">
        <v>19</v>
      </c>
      <c r="F499" s="6" t="str">
        <f t="shared" si="71"/>
        <v>Evening</v>
      </c>
      <c r="G499" s="6" t="b">
        <v>0</v>
      </c>
      <c r="H499" s="6">
        <f t="shared" si="72"/>
        <v>0</v>
      </c>
      <c r="I499" s="6">
        <v>6</v>
      </c>
      <c r="J499" s="6" t="str">
        <f t="shared" si="73"/>
        <v>Saturday</v>
      </c>
      <c r="K499" s="6">
        <f t="shared" si="74"/>
        <v>1</v>
      </c>
      <c r="L499" s="6">
        <v>1</v>
      </c>
      <c r="M499" s="6" t="str">
        <f t="shared" si="75"/>
        <v>Partly cloudy</v>
      </c>
      <c r="N499" s="8">
        <v>0.08</v>
      </c>
      <c r="O499" s="8">
        <v>0.1061</v>
      </c>
      <c r="P499" s="8">
        <v>0.35</v>
      </c>
      <c r="Q499" s="8">
        <v>0.1343</v>
      </c>
      <c r="R499" s="6">
        <v>6</v>
      </c>
      <c r="S499" s="6">
        <v>53</v>
      </c>
      <c r="T499" s="6">
        <v>59</v>
      </c>
      <c r="U499" s="8">
        <f t="shared" si="76"/>
        <v>0.14115833221731852</v>
      </c>
      <c r="V499" s="8" t="str">
        <f t="shared" si="77"/>
        <v>Normal</v>
      </c>
      <c r="W499" s="8">
        <f t="shared" si="78"/>
        <v>-7.9968317160039482E-3</v>
      </c>
      <c r="X499" s="8" t="str">
        <f t="shared" si="79"/>
        <v>Normal</v>
      </c>
    </row>
    <row r="500" spans="1:24" x14ac:dyDescent="0.25">
      <c r="A500" s="6">
        <v>499</v>
      </c>
      <c r="B500" s="7">
        <v>40565</v>
      </c>
      <c r="C500" s="6">
        <v>1</v>
      </c>
      <c r="D500" s="6" t="str">
        <f t="shared" si="70"/>
        <v>january</v>
      </c>
      <c r="E500" s="6">
        <v>20</v>
      </c>
      <c r="F500" s="6" t="str">
        <f t="shared" si="71"/>
        <v>Evening</v>
      </c>
      <c r="G500" s="6" t="b">
        <v>0</v>
      </c>
      <c r="H500" s="6">
        <f t="shared" si="72"/>
        <v>0</v>
      </c>
      <c r="I500" s="6">
        <v>6</v>
      </c>
      <c r="J500" s="6" t="str">
        <f t="shared" si="73"/>
        <v>Saturday</v>
      </c>
      <c r="K500" s="6">
        <f t="shared" si="74"/>
        <v>1</v>
      </c>
      <c r="L500" s="6">
        <v>1</v>
      </c>
      <c r="M500" s="6" t="str">
        <f t="shared" si="75"/>
        <v>Partly cloudy</v>
      </c>
      <c r="N500" s="8">
        <v>0.06</v>
      </c>
      <c r="O500" s="8">
        <v>7.5800000000000006E-2</v>
      </c>
      <c r="P500" s="8">
        <v>0.45</v>
      </c>
      <c r="Q500" s="8">
        <v>0.16420000000000001</v>
      </c>
      <c r="R500" s="6">
        <v>1</v>
      </c>
      <c r="S500" s="6">
        <v>44</v>
      </c>
      <c r="T500" s="6">
        <v>45</v>
      </c>
      <c r="U500" s="8">
        <f t="shared" si="76"/>
        <v>-0.51295812847461175</v>
      </c>
      <c r="V500" s="8" t="str">
        <f t="shared" si="77"/>
        <v>Normal</v>
      </c>
      <c r="W500" s="8">
        <f t="shared" si="78"/>
        <v>-0.19591193731400663</v>
      </c>
      <c r="X500" s="8" t="str">
        <f t="shared" si="79"/>
        <v>Normal</v>
      </c>
    </row>
    <row r="501" spans="1:24" x14ac:dyDescent="0.25">
      <c r="A501" s="6">
        <v>500</v>
      </c>
      <c r="B501" s="7">
        <v>40565</v>
      </c>
      <c r="C501" s="6">
        <v>1</v>
      </c>
      <c r="D501" s="6" t="str">
        <f t="shared" si="70"/>
        <v>january</v>
      </c>
      <c r="E501" s="6">
        <v>21</v>
      </c>
      <c r="F501" s="6" t="str">
        <f t="shared" si="71"/>
        <v>Night</v>
      </c>
      <c r="G501" s="6" t="b">
        <v>0</v>
      </c>
      <c r="H501" s="6">
        <f t="shared" si="72"/>
        <v>0</v>
      </c>
      <c r="I501" s="6">
        <v>6</v>
      </c>
      <c r="J501" s="6" t="str">
        <f t="shared" si="73"/>
        <v>Saturday</v>
      </c>
      <c r="K501" s="6">
        <f t="shared" si="74"/>
        <v>1</v>
      </c>
      <c r="L501" s="6">
        <v>1</v>
      </c>
      <c r="M501" s="6" t="str">
        <f t="shared" si="75"/>
        <v>Partly cloudy</v>
      </c>
      <c r="N501" s="8">
        <v>0.06</v>
      </c>
      <c r="O501" s="8">
        <v>0.1061</v>
      </c>
      <c r="P501" s="8">
        <v>0.41</v>
      </c>
      <c r="Q501" s="8">
        <v>8.9599999999999999E-2</v>
      </c>
      <c r="R501" s="6">
        <v>0</v>
      </c>
      <c r="S501" s="6">
        <v>39</v>
      </c>
      <c r="T501" s="6">
        <v>39</v>
      </c>
      <c r="U501" s="8">
        <f t="shared" si="76"/>
        <v>-0.64378142061299781</v>
      </c>
      <c r="V501" s="8" t="str">
        <f t="shared" si="77"/>
        <v>Normal</v>
      </c>
      <c r="W501" s="8">
        <f t="shared" si="78"/>
        <v>-0.30030921820178591</v>
      </c>
      <c r="X501" s="8" t="str">
        <f t="shared" si="79"/>
        <v>Normal</v>
      </c>
    </row>
    <row r="502" spans="1:24" x14ac:dyDescent="0.25">
      <c r="A502" s="6">
        <v>501</v>
      </c>
      <c r="B502" s="7">
        <v>40565</v>
      </c>
      <c r="C502" s="6">
        <v>1</v>
      </c>
      <c r="D502" s="6" t="str">
        <f t="shared" si="70"/>
        <v>january</v>
      </c>
      <c r="E502" s="6">
        <v>22</v>
      </c>
      <c r="F502" s="6" t="str">
        <f t="shared" si="71"/>
        <v>Night</v>
      </c>
      <c r="G502" s="6" t="b">
        <v>0</v>
      </c>
      <c r="H502" s="6">
        <f t="shared" si="72"/>
        <v>0</v>
      </c>
      <c r="I502" s="6">
        <v>6</v>
      </c>
      <c r="J502" s="6" t="str">
        <f t="shared" si="73"/>
        <v>Saturday</v>
      </c>
      <c r="K502" s="6">
        <f t="shared" si="74"/>
        <v>1</v>
      </c>
      <c r="L502" s="6">
        <v>1</v>
      </c>
      <c r="M502" s="6" t="str">
        <f t="shared" si="75"/>
        <v>Partly cloudy</v>
      </c>
      <c r="N502" s="8">
        <v>0.06</v>
      </c>
      <c r="O502" s="8">
        <v>0.1515</v>
      </c>
      <c r="P502" s="8">
        <v>0.49</v>
      </c>
      <c r="Q502" s="8">
        <v>0</v>
      </c>
      <c r="R502" s="6">
        <v>7</v>
      </c>
      <c r="S502" s="6">
        <v>23</v>
      </c>
      <c r="T502" s="6">
        <v>30</v>
      </c>
      <c r="U502" s="8">
        <f t="shared" si="76"/>
        <v>0.27198162435570455</v>
      </c>
      <c r="V502" s="8" t="str">
        <f t="shared" si="77"/>
        <v>Normal</v>
      </c>
      <c r="W502" s="8">
        <f t="shared" si="78"/>
        <v>-0.63438051704267961</v>
      </c>
      <c r="X502" s="8" t="str">
        <f t="shared" si="79"/>
        <v>Normal</v>
      </c>
    </row>
    <row r="503" spans="1:24" x14ac:dyDescent="0.25">
      <c r="A503" s="6">
        <v>502</v>
      </c>
      <c r="B503" s="7">
        <v>40565</v>
      </c>
      <c r="C503" s="6">
        <v>1</v>
      </c>
      <c r="D503" s="6" t="str">
        <f t="shared" si="70"/>
        <v>january</v>
      </c>
      <c r="E503" s="6">
        <v>23</v>
      </c>
      <c r="F503" s="6" t="str">
        <f t="shared" si="71"/>
        <v>Night</v>
      </c>
      <c r="G503" s="6" t="b">
        <v>0</v>
      </c>
      <c r="H503" s="6">
        <f t="shared" si="72"/>
        <v>0</v>
      </c>
      <c r="I503" s="6">
        <v>6</v>
      </c>
      <c r="J503" s="6" t="str">
        <f t="shared" si="73"/>
        <v>Saturday</v>
      </c>
      <c r="K503" s="6">
        <f t="shared" si="74"/>
        <v>1</v>
      </c>
      <c r="L503" s="6">
        <v>1</v>
      </c>
      <c r="M503" s="6" t="str">
        <f t="shared" si="75"/>
        <v>Partly cloudy</v>
      </c>
      <c r="N503" s="8">
        <v>0.04</v>
      </c>
      <c r="O503" s="8">
        <v>7.5800000000000006E-2</v>
      </c>
      <c r="P503" s="8">
        <v>0.56999999999999995</v>
      </c>
      <c r="Q503" s="8">
        <v>0.1045</v>
      </c>
      <c r="R503" s="6">
        <v>2</v>
      </c>
      <c r="S503" s="6">
        <v>31</v>
      </c>
      <c r="T503" s="6">
        <v>33</v>
      </c>
      <c r="U503" s="8">
        <f t="shared" si="76"/>
        <v>-0.38213483633622569</v>
      </c>
      <c r="V503" s="8" t="str">
        <f t="shared" si="77"/>
        <v>Normal</v>
      </c>
      <c r="W503" s="8">
        <f t="shared" si="78"/>
        <v>-0.46734486762223271</v>
      </c>
      <c r="X503" s="8" t="str">
        <f t="shared" si="79"/>
        <v>Normal</v>
      </c>
    </row>
    <row r="504" spans="1:24" x14ac:dyDescent="0.25">
      <c r="A504" s="6">
        <v>503</v>
      </c>
      <c r="B504" s="7">
        <v>40566</v>
      </c>
      <c r="C504" s="6">
        <v>1</v>
      </c>
      <c r="D504" s="6" t="str">
        <f t="shared" si="70"/>
        <v>january</v>
      </c>
      <c r="E504" s="6">
        <v>0</v>
      </c>
      <c r="F504" s="6" t="str">
        <f t="shared" si="71"/>
        <v>Night</v>
      </c>
      <c r="G504" s="6" t="b">
        <v>0</v>
      </c>
      <c r="H504" s="6">
        <f t="shared" si="72"/>
        <v>0</v>
      </c>
      <c r="I504" s="6">
        <v>0</v>
      </c>
      <c r="J504" s="6" t="str">
        <f t="shared" si="73"/>
        <v>Sunday</v>
      </c>
      <c r="K504" s="6">
        <f t="shared" si="74"/>
        <v>1</v>
      </c>
      <c r="L504" s="6">
        <v>1</v>
      </c>
      <c r="M504" s="6" t="str">
        <f t="shared" si="75"/>
        <v>Partly cloudy</v>
      </c>
      <c r="N504" s="8">
        <v>0.04</v>
      </c>
      <c r="O504" s="8">
        <v>7.5800000000000006E-2</v>
      </c>
      <c r="P504" s="8">
        <v>0.56999999999999995</v>
      </c>
      <c r="Q504" s="8">
        <v>0.1045</v>
      </c>
      <c r="R504" s="6">
        <v>2</v>
      </c>
      <c r="S504" s="6">
        <v>20</v>
      </c>
      <c r="T504" s="6">
        <v>22</v>
      </c>
      <c r="U504" s="8">
        <f t="shared" si="76"/>
        <v>-0.38213483633622569</v>
      </c>
      <c r="V504" s="8" t="str">
        <f t="shared" si="77"/>
        <v>Normal</v>
      </c>
      <c r="W504" s="8">
        <f t="shared" si="78"/>
        <v>-0.69701888557534708</v>
      </c>
      <c r="X504" s="8" t="str">
        <f t="shared" si="79"/>
        <v>Normal</v>
      </c>
    </row>
    <row r="505" spans="1:24" x14ac:dyDescent="0.25">
      <c r="A505" s="6">
        <v>504</v>
      </c>
      <c r="B505" s="7">
        <v>40566</v>
      </c>
      <c r="C505" s="6">
        <v>1</v>
      </c>
      <c r="D505" s="6" t="str">
        <f t="shared" si="70"/>
        <v>january</v>
      </c>
      <c r="E505" s="6">
        <v>1</v>
      </c>
      <c r="F505" s="6" t="str">
        <f t="shared" si="71"/>
        <v>Night</v>
      </c>
      <c r="G505" s="6" t="b">
        <v>0</v>
      </c>
      <c r="H505" s="6">
        <f t="shared" si="72"/>
        <v>0</v>
      </c>
      <c r="I505" s="6">
        <v>0</v>
      </c>
      <c r="J505" s="6" t="str">
        <f t="shared" si="73"/>
        <v>Sunday</v>
      </c>
      <c r="K505" s="6">
        <f t="shared" si="74"/>
        <v>1</v>
      </c>
      <c r="L505" s="6">
        <v>1</v>
      </c>
      <c r="M505" s="6" t="str">
        <f t="shared" si="75"/>
        <v>Partly cloudy</v>
      </c>
      <c r="N505" s="8">
        <v>0.04</v>
      </c>
      <c r="O505" s="8">
        <v>7.5800000000000006E-2</v>
      </c>
      <c r="P505" s="8">
        <v>0.56999999999999995</v>
      </c>
      <c r="Q505" s="8">
        <v>0.1045</v>
      </c>
      <c r="R505" s="6">
        <v>1</v>
      </c>
      <c r="S505" s="6">
        <v>12</v>
      </c>
      <c r="T505" s="6">
        <v>13</v>
      </c>
      <c r="U505" s="8">
        <f t="shared" si="76"/>
        <v>-0.51295812847461175</v>
      </c>
      <c r="V505" s="8" t="str">
        <f t="shared" si="77"/>
        <v>Normal</v>
      </c>
      <c r="W505" s="8">
        <f t="shared" si="78"/>
        <v>-0.86405453499579399</v>
      </c>
      <c r="X505" s="8" t="str">
        <f t="shared" si="79"/>
        <v>Normal</v>
      </c>
    </row>
    <row r="506" spans="1:24" x14ac:dyDescent="0.25">
      <c r="A506" s="6">
        <v>505</v>
      </c>
      <c r="B506" s="7">
        <v>40566</v>
      </c>
      <c r="C506" s="6">
        <v>1</v>
      </c>
      <c r="D506" s="6" t="str">
        <f t="shared" si="70"/>
        <v>january</v>
      </c>
      <c r="E506" s="6">
        <v>2</v>
      </c>
      <c r="F506" s="6" t="str">
        <f t="shared" si="71"/>
        <v>Night</v>
      </c>
      <c r="G506" s="6" t="b">
        <v>0</v>
      </c>
      <c r="H506" s="6">
        <f t="shared" si="72"/>
        <v>0</v>
      </c>
      <c r="I506" s="6">
        <v>0</v>
      </c>
      <c r="J506" s="6" t="str">
        <f t="shared" si="73"/>
        <v>Sunday</v>
      </c>
      <c r="K506" s="6">
        <f t="shared" si="74"/>
        <v>1</v>
      </c>
      <c r="L506" s="6">
        <v>1</v>
      </c>
      <c r="M506" s="6" t="str">
        <f t="shared" si="75"/>
        <v>Partly cloudy</v>
      </c>
      <c r="N506" s="8">
        <v>0.02</v>
      </c>
      <c r="O506" s="8">
        <v>6.0600000000000001E-2</v>
      </c>
      <c r="P506" s="8">
        <v>0.62</v>
      </c>
      <c r="Q506" s="8">
        <v>0.1343</v>
      </c>
      <c r="R506" s="6">
        <v>3</v>
      </c>
      <c r="S506" s="6">
        <v>15</v>
      </c>
      <c r="T506" s="6">
        <v>18</v>
      </c>
      <c r="U506" s="8">
        <f t="shared" si="76"/>
        <v>-0.25131154419783963</v>
      </c>
      <c r="V506" s="8" t="str">
        <f t="shared" si="77"/>
        <v>Normal</v>
      </c>
      <c r="W506" s="8">
        <f t="shared" si="78"/>
        <v>-0.80141616646312641</v>
      </c>
      <c r="X506" s="8" t="str">
        <f t="shared" si="79"/>
        <v>Normal</v>
      </c>
    </row>
    <row r="507" spans="1:24" x14ac:dyDescent="0.25">
      <c r="A507" s="6">
        <v>506</v>
      </c>
      <c r="B507" s="7">
        <v>40566</v>
      </c>
      <c r="C507" s="6">
        <v>1</v>
      </c>
      <c r="D507" s="6" t="str">
        <f t="shared" si="70"/>
        <v>january</v>
      </c>
      <c r="E507" s="6">
        <v>3</v>
      </c>
      <c r="F507" s="6" t="str">
        <f t="shared" si="71"/>
        <v>Night</v>
      </c>
      <c r="G507" s="6" t="b">
        <v>0</v>
      </c>
      <c r="H507" s="6">
        <f t="shared" si="72"/>
        <v>0</v>
      </c>
      <c r="I507" s="6">
        <v>0</v>
      </c>
      <c r="J507" s="6" t="str">
        <f t="shared" si="73"/>
        <v>Sunday</v>
      </c>
      <c r="K507" s="6">
        <f t="shared" si="74"/>
        <v>1</v>
      </c>
      <c r="L507" s="6">
        <v>1</v>
      </c>
      <c r="M507" s="6" t="str">
        <f t="shared" si="75"/>
        <v>Partly cloudy</v>
      </c>
      <c r="N507" s="8">
        <v>0.02</v>
      </c>
      <c r="O507" s="8">
        <v>6.0600000000000001E-2</v>
      </c>
      <c r="P507" s="8">
        <v>0.62</v>
      </c>
      <c r="Q507" s="8">
        <v>0.1343</v>
      </c>
      <c r="R507" s="6">
        <v>1</v>
      </c>
      <c r="S507" s="6">
        <v>4</v>
      </c>
      <c r="T507" s="6">
        <v>5</v>
      </c>
      <c r="U507" s="8">
        <f t="shared" si="76"/>
        <v>-0.51295812847461175</v>
      </c>
      <c r="V507" s="8" t="str">
        <f t="shared" si="77"/>
        <v>Normal</v>
      </c>
      <c r="W507" s="8">
        <f t="shared" si="78"/>
        <v>-1.0310901844162408</v>
      </c>
      <c r="X507" s="8" t="str">
        <f t="shared" si="79"/>
        <v>Normal</v>
      </c>
    </row>
    <row r="508" spans="1:24" x14ac:dyDescent="0.25">
      <c r="A508" s="6">
        <v>507</v>
      </c>
      <c r="B508" s="7">
        <v>40566</v>
      </c>
      <c r="C508" s="6">
        <v>1</v>
      </c>
      <c r="D508" s="6" t="str">
        <f t="shared" si="70"/>
        <v>january</v>
      </c>
      <c r="E508" s="6">
        <v>5</v>
      </c>
      <c r="F508" s="6" t="str">
        <f t="shared" si="71"/>
        <v>Early Morning</v>
      </c>
      <c r="G508" s="6" t="b">
        <v>0</v>
      </c>
      <c r="H508" s="6">
        <f t="shared" si="72"/>
        <v>0</v>
      </c>
      <c r="I508" s="6">
        <v>0</v>
      </c>
      <c r="J508" s="6" t="str">
        <f t="shared" si="73"/>
        <v>Sunday</v>
      </c>
      <c r="K508" s="6">
        <f t="shared" si="74"/>
        <v>1</v>
      </c>
      <c r="L508" s="6">
        <v>2</v>
      </c>
      <c r="M508" s="6" t="str">
        <f t="shared" si="75"/>
        <v>Cloudy</v>
      </c>
      <c r="N508" s="8">
        <v>0.04</v>
      </c>
      <c r="O508" s="8">
        <v>7.5800000000000006E-2</v>
      </c>
      <c r="P508" s="8">
        <v>0.56999999999999995</v>
      </c>
      <c r="Q508" s="8">
        <v>0.1045</v>
      </c>
      <c r="R508" s="6">
        <v>0</v>
      </c>
      <c r="S508" s="6">
        <v>3</v>
      </c>
      <c r="T508" s="6">
        <v>3</v>
      </c>
      <c r="U508" s="8">
        <f t="shared" si="76"/>
        <v>-0.64378142061299781</v>
      </c>
      <c r="V508" s="8" t="str">
        <f t="shared" si="77"/>
        <v>Normal</v>
      </c>
      <c r="W508" s="8">
        <f t="shared" si="78"/>
        <v>-1.0519696405937966</v>
      </c>
      <c r="X508" s="8" t="str">
        <f t="shared" si="79"/>
        <v>Normal</v>
      </c>
    </row>
    <row r="509" spans="1:24" x14ac:dyDescent="0.25">
      <c r="A509" s="6">
        <v>508</v>
      </c>
      <c r="B509" s="7">
        <v>40566</v>
      </c>
      <c r="C509" s="6">
        <v>1</v>
      </c>
      <c r="D509" s="6" t="str">
        <f t="shared" si="70"/>
        <v>january</v>
      </c>
      <c r="E509" s="6">
        <v>6</v>
      </c>
      <c r="F509" s="6" t="str">
        <f t="shared" si="71"/>
        <v>Early Morning</v>
      </c>
      <c r="G509" s="6" t="b">
        <v>0</v>
      </c>
      <c r="H509" s="6">
        <f t="shared" si="72"/>
        <v>0</v>
      </c>
      <c r="I509" s="6">
        <v>0</v>
      </c>
      <c r="J509" s="6" t="str">
        <f t="shared" si="73"/>
        <v>Sunday</v>
      </c>
      <c r="K509" s="6">
        <f t="shared" si="74"/>
        <v>1</v>
      </c>
      <c r="L509" s="6">
        <v>2</v>
      </c>
      <c r="M509" s="6" t="str">
        <f t="shared" si="75"/>
        <v>Cloudy</v>
      </c>
      <c r="N509" s="8">
        <v>0.04</v>
      </c>
      <c r="O509" s="8">
        <v>7.5800000000000006E-2</v>
      </c>
      <c r="P509" s="8">
        <v>0.56999999999999995</v>
      </c>
      <c r="Q509" s="8">
        <v>0.1045</v>
      </c>
      <c r="R509" s="6">
        <v>0</v>
      </c>
      <c r="S509" s="6">
        <v>1</v>
      </c>
      <c r="T509" s="6">
        <v>1</v>
      </c>
      <c r="U509" s="8">
        <f t="shared" si="76"/>
        <v>-0.64378142061299781</v>
      </c>
      <c r="V509" s="8" t="str">
        <f t="shared" si="77"/>
        <v>Normal</v>
      </c>
      <c r="W509" s="8">
        <f t="shared" si="78"/>
        <v>-1.0937285529489083</v>
      </c>
      <c r="X509" s="8" t="str">
        <f t="shared" si="79"/>
        <v>Normal</v>
      </c>
    </row>
    <row r="510" spans="1:24" x14ac:dyDescent="0.25">
      <c r="A510" s="6">
        <v>509</v>
      </c>
      <c r="B510" s="7">
        <v>40566</v>
      </c>
      <c r="C510" s="6">
        <v>1</v>
      </c>
      <c r="D510" s="6" t="str">
        <f t="shared" si="70"/>
        <v>january</v>
      </c>
      <c r="E510" s="6">
        <v>7</v>
      </c>
      <c r="F510" s="6" t="str">
        <f t="shared" si="71"/>
        <v>Early Morning</v>
      </c>
      <c r="G510" s="6" t="b">
        <v>0</v>
      </c>
      <c r="H510" s="6">
        <f t="shared" si="72"/>
        <v>0</v>
      </c>
      <c r="I510" s="6">
        <v>0</v>
      </c>
      <c r="J510" s="6" t="str">
        <f t="shared" si="73"/>
        <v>Sunday</v>
      </c>
      <c r="K510" s="6">
        <f t="shared" si="74"/>
        <v>1</v>
      </c>
      <c r="L510" s="6">
        <v>1</v>
      </c>
      <c r="M510" s="6" t="str">
        <f t="shared" si="75"/>
        <v>Partly cloudy</v>
      </c>
      <c r="N510" s="8">
        <v>0.08</v>
      </c>
      <c r="O510" s="8">
        <v>0.1061</v>
      </c>
      <c r="P510" s="8">
        <v>0.57999999999999996</v>
      </c>
      <c r="Q510" s="8">
        <v>0.16420000000000001</v>
      </c>
      <c r="R510" s="6">
        <v>1</v>
      </c>
      <c r="S510" s="6">
        <v>1</v>
      </c>
      <c r="T510" s="6">
        <v>2</v>
      </c>
      <c r="U510" s="8">
        <f t="shared" si="76"/>
        <v>-0.51295812847461175</v>
      </c>
      <c r="V510" s="8" t="str">
        <f t="shared" si="77"/>
        <v>Normal</v>
      </c>
      <c r="W510" s="8">
        <f t="shared" si="78"/>
        <v>-1.0937285529489083</v>
      </c>
      <c r="X510" s="8" t="str">
        <f t="shared" si="79"/>
        <v>Normal</v>
      </c>
    </row>
    <row r="511" spans="1:24" x14ac:dyDescent="0.25">
      <c r="A511" s="6">
        <v>510</v>
      </c>
      <c r="B511" s="7">
        <v>40566</v>
      </c>
      <c r="C511" s="6">
        <v>1</v>
      </c>
      <c r="D511" s="6" t="str">
        <f t="shared" si="70"/>
        <v>january</v>
      </c>
      <c r="E511" s="6">
        <v>8</v>
      </c>
      <c r="F511" s="6" t="str">
        <f t="shared" si="71"/>
        <v>Morning</v>
      </c>
      <c r="G511" s="6" t="b">
        <v>0</v>
      </c>
      <c r="H511" s="6">
        <f t="shared" si="72"/>
        <v>0</v>
      </c>
      <c r="I511" s="6">
        <v>0</v>
      </c>
      <c r="J511" s="6" t="str">
        <f t="shared" si="73"/>
        <v>Sunday</v>
      </c>
      <c r="K511" s="6">
        <f t="shared" si="74"/>
        <v>1</v>
      </c>
      <c r="L511" s="6">
        <v>1</v>
      </c>
      <c r="M511" s="6" t="str">
        <f t="shared" si="75"/>
        <v>Partly cloudy</v>
      </c>
      <c r="N511" s="8">
        <v>0.06</v>
      </c>
      <c r="O511" s="8">
        <v>7.5800000000000006E-2</v>
      </c>
      <c r="P511" s="8">
        <v>0.62</v>
      </c>
      <c r="Q511" s="8">
        <v>0.16420000000000001</v>
      </c>
      <c r="R511" s="6">
        <v>2</v>
      </c>
      <c r="S511" s="6">
        <v>17</v>
      </c>
      <c r="T511" s="6">
        <v>19</v>
      </c>
      <c r="U511" s="8">
        <f t="shared" si="76"/>
        <v>-0.38213483633622569</v>
      </c>
      <c r="V511" s="8" t="str">
        <f t="shared" si="77"/>
        <v>Normal</v>
      </c>
      <c r="W511" s="8">
        <f t="shared" si="78"/>
        <v>-0.75965725410801466</v>
      </c>
      <c r="X511" s="8" t="str">
        <f t="shared" si="79"/>
        <v>Normal</v>
      </c>
    </row>
    <row r="512" spans="1:24" x14ac:dyDescent="0.25">
      <c r="A512" s="6">
        <v>511</v>
      </c>
      <c r="B512" s="7">
        <v>40566</v>
      </c>
      <c r="C512" s="6">
        <v>1</v>
      </c>
      <c r="D512" s="6" t="str">
        <f t="shared" si="70"/>
        <v>january</v>
      </c>
      <c r="E512" s="6">
        <v>9</v>
      </c>
      <c r="F512" s="6" t="str">
        <f t="shared" si="71"/>
        <v>Morning</v>
      </c>
      <c r="G512" s="6" t="b">
        <v>0</v>
      </c>
      <c r="H512" s="6">
        <f t="shared" si="72"/>
        <v>0</v>
      </c>
      <c r="I512" s="6">
        <v>0</v>
      </c>
      <c r="J512" s="6" t="str">
        <f t="shared" si="73"/>
        <v>Sunday</v>
      </c>
      <c r="K512" s="6">
        <f t="shared" si="74"/>
        <v>1</v>
      </c>
      <c r="L512" s="6">
        <v>1</v>
      </c>
      <c r="M512" s="6" t="str">
        <f t="shared" si="75"/>
        <v>Partly cloudy</v>
      </c>
      <c r="N512" s="8">
        <v>0.1</v>
      </c>
      <c r="O512" s="8">
        <v>7.5800000000000006E-2</v>
      </c>
      <c r="P512" s="8">
        <v>0.54</v>
      </c>
      <c r="Q512" s="8">
        <v>0.35820000000000002</v>
      </c>
      <c r="R512" s="6">
        <v>3</v>
      </c>
      <c r="S512" s="6">
        <v>25</v>
      </c>
      <c r="T512" s="6">
        <v>28</v>
      </c>
      <c r="U512" s="8">
        <f t="shared" si="76"/>
        <v>-0.25131154419783963</v>
      </c>
      <c r="V512" s="8" t="str">
        <f t="shared" si="77"/>
        <v>Normal</v>
      </c>
      <c r="W512" s="8">
        <f t="shared" si="78"/>
        <v>-0.59262160468756786</v>
      </c>
      <c r="X512" s="8" t="str">
        <f t="shared" si="79"/>
        <v>Normal</v>
      </c>
    </row>
    <row r="513" spans="1:24" x14ac:dyDescent="0.25">
      <c r="A513" s="6">
        <v>512</v>
      </c>
      <c r="B513" s="7">
        <v>40566</v>
      </c>
      <c r="C513" s="6">
        <v>1</v>
      </c>
      <c r="D513" s="6" t="str">
        <f t="shared" si="70"/>
        <v>january</v>
      </c>
      <c r="E513" s="6">
        <v>10</v>
      </c>
      <c r="F513" s="6" t="str">
        <f t="shared" si="71"/>
        <v>Morning</v>
      </c>
      <c r="G513" s="6" t="b">
        <v>0</v>
      </c>
      <c r="H513" s="6">
        <f t="shared" si="72"/>
        <v>0</v>
      </c>
      <c r="I513" s="6">
        <v>0</v>
      </c>
      <c r="J513" s="6" t="str">
        <f t="shared" si="73"/>
        <v>Sunday</v>
      </c>
      <c r="K513" s="6">
        <f t="shared" si="74"/>
        <v>1</v>
      </c>
      <c r="L513" s="6">
        <v>1</v>
      </c>
      <c r="M513" s="6" t="str">
        <f t="shared" si="75"/>
        <v>Partly cloudy</v>
      </c>
      <c r="N513" s="8">
        <v>0.14000000000000001</v>
      </c>
      <c r="O513" s="8">
        <v>0.1061</v>
      </c>
      <c r="P513" s="8">
        <v>0.46</v>
      </c>
      <c r="Q513" s="8">
        <v>0.3881</v>
      </c>
      <c r="R513" s="6">
        <v>7</v>
      </c>
      <c r="S513" s="6">
        <v>51</v>
      </c>
      <c r="T513" s="6">
        <v>58</v>
      </c>
      <c r="U513" s="8">
        <f t="shared" si="76"/>
        <v>0.27198162435570455</v>
      </c>
      <c r="V513" s="8" t="str">
        <f t="shared" si="77"/>
        <v>Normal</v>
      </c>
      <c r="W513" s="8">
        <f t="shared" si="78"/>
        <v>-4.9755744071115653E-2</v>
      </c>
      <c r="X513" s="8" t="str">
        <f t="shared" si="79"/>
        <v>Normal</v>
      </c>
    </row>
    <row r="514" spans="1:24" x14ac:dyDescent="0.25">
      <c r="A514" s="6">
        <v>513</v>
      </c>
      <c r="B514" s="7">
        <v>40566</v>
      </c>
      <c r="C514" s="6">
        <v>1</v>
      </c>
      <c r="D514" s="6" t="str">
        <f t="shared" ref="D514:D577" si="80">IF(C514=1,"january",IF(C514=2,"february"))</f>
        <v>january</v>
      </c>
      <c r="E514" s="6">
        <v>11</v>
      </c>
      <c r="F514" s="6" t="str">
        <f t="shared" ref="F514:F577" si="81">IF(AND(E514&gt;=5,E514&lt;8),"Early Morning", IF(AND(E514&gt;=8,E514&lt;12),"Morning", IF(AND(E514&gt;=12,E514&lt;17),"Afternoon", IF(AND(E514&gt;=17,E514&lt;21),"Evening","Night"))))</f>
        <v>Morning</v>
      </c>
      <c r="G514" s="6" t="b">
        <v>0</v>
      </c>
      <c r="H514" s="6">
        <f t="shared" ref="H514:H577" si="82">IF(G514=FALSE,0,IF(G514=TRUE,1))</f>
        <v>0</v>
      </c>
      <c r="I514" s="6">
        <v>0</v>
      </c>
      <c r="J514" s="6" t="str">
        <f t="shared" ref="J514:J577" si="83">TEXT(B514,"dddd")</f>
        <v>Sunday</v>
      </c>
      <c r="K514" s="6">
        <f t="shared" ref="K514:K577" si="84">IF(OR(J514="Saturday",J514="Sunday"),1,0)</f>
        <v>1</v>
      </c>
      <c r="L514" s="6">
        <v>1</v>
      </c>
      <c r="M514" s="6" t="str">
        <f t="shared" ref="M514:M577" si="85">IF(L514=0,"clear sky",IF(L514=1,"Partly cloudy",IF(L514=2,"Cloudy",IF(L514=3,"Light rain",IF(L514=4,"Heavy rain")))))</f>
        <v>Partly cloudy</v>
      </c>
      <c r="N514" s="8">
        <v>0.14000000000000001</v>
      </c>
      <c r="O514" s="8">
        <v>0.13639999999999999</v>
      </c>
      <c r="P514" s="8">
        <v>0.43</v>
      </c>
      <c r="Q514" s="8">
        <v>0.22389999999999999</v>
      </c>
      <c r="R514" s="6">
        <v>22</v>
      </c>
      <c r="S514" s="6">
        <v>77</v>
      </c>
      <c r="T514" s="6">
        <v>99</v>
      </c>
      <c r="U514" s="8">
        <f t="shared" ref="U514:U577" si="86">(R514-$AA$7)/$AA$9</f>
        <v>2.2343310064314954</v>
      </c>
      <c r="V514" s="8" t="str">
        <f t="shared" ref="V514:V577" si="87">IF(ABS(U514)&gt;2,"Peak","Normal")</f>
        <v>Peak</v>
      </c>
      <c r="W514" s="8">
        <f t="shared" ref="W514:W577" si="88">(S514-$AA$11)/$AA$13</f>
        <v>0.49311011654533654</v>
      </c>
      <c r="X514" s="8" t="str">
        <f t="shared" ref="X514:X577" si="89">IF(ABS(W514)&gt;2,"Peak","Normal")</f>
        <v>Normal</v>
      </c>
    </row>
    <row r="515" spans="1:24" x14ac:dyDescent="0.25">
      <c r="A515" s="6">
        <v>514</v>
      </c>
      <c r="B515" s="7">
        <v>40566</v>
      </c>
      <c r="C515" s="6">
        <v>1</v>
      </c>
      <c r="D515" s="6" t="str">
        <f t="shared" si="80"/>
        <v>january</v>
      </c>
      <c r="E515" s="6">
        <v>12</v>
      </c>
      <c r="F515" s="6" t="str">
        <f t="shared" si="81"/>
        <v>Afternoon</v>
      </c>
      <c r="G515" s="6" t="b">
        <v>0</v>
      </c>
      <c r="H515" s="6">
        <f t="shared" si="82"/>
        <v>0</v>
      </c>
      <c r="I515" s="6">
        <v>0</v>
      </c>
      <c r="J515" s="6" t="str">
        <f t="shared" si="83"/>
        <v>Sunday</v>
      </c>
      <c r="K515" s="6">
        <f t="shared" si="84"/>
        <v>1</v>
      </c>
      <c r="L515" s="6">
        <v>1</v>
      </c>
      <c r="M515" s="6" t="str">
        <f t="shared" si="85"/>
        <v>Partly cloudy</v>
      </c>
      <c r="N515" s="8">
        <v>0.16</v>
      </c>
      <c r="O515" s="8">
        <v>0.1212</v>
      </c>
      <c r="P515" s="8">
        <v>0.37</v>
      </c>
      <c r="Q515" s="8">
        <v>0.4627</v>
      </c>
      <c r="R515" s="6">
        <v>24</v>
      </c>
      <c r="S515" s="6">
        <v>92</v>
      </c>
      <c r="T515" s="6">
        <v>116</v>
      </c>
      <c r="U515" s="8">
        <f t="shared" si="86"/>
        <v>2.4959775907082675</v>
      </c>
      <c r="V515" s="8" t="str">
        <f t="shared" si="87"/>
        <v>Peak</v>
      </c>
      <c r="W515" s="8">
        <f t="shared" si="88"/>
        <v>0.80630195920867431</v>
      </c>
      <c r="X515" s="8" t="str">
        <f t="shared" si="89"/>
        <v>Normal</v>
      </c>
    </row>
    <row r="516" spans="1:24" x14ac:dyDescent="0.25">
      <c r="A516" s="6">
        <v>515</v>
      </c>
      <c r="B516" s="7">
        <v>40566</v>
      </c>
      <c r="C516" s="6">
        <v>1</v>
      </c>
      <c r="D516" s="6" t="str">
        <f t="shared" si="80"/>
        <v>january</v>
      </c>
      <c r="E516" s="6">
        <v>13</v>
      </c>
      <c r="F516" s="6" t="str">
        <f t="shared" si="81"/>
        <v>Afternoon</v>
      </c>
      <c r="G516" s="6" t="b">
        <v>0</v>
      </c>
      <c r="H516" s="6">
        <f t="shared" si="82"/>
        <v>0</v>
      </c>
      <c r="I516" s="6">
        <v>0</v>
      </c>
      <c r="J516" s="6" t="str">
        <f t="shared" si="83"/>
        <v>Sunday</v>
      </c>
      <c r="K516" s="6">
        <f t="shared" si="84"/>
        <v>1</v>
      </c>
      <c r="L516" s="6">
        <v>1</v>
      </c>
      <c r="M516" s="6" t="str">
        <f t="shared" si="85"/>
        <v>Partly cloudy</v>
      </c>
      <c r="N516" s="8">
        <v>0.14000000000000001</v>
      </c>
      <c r="O516" s="8">
        <v>0.1061</v>
      </c>
      <c r="P516" s="8">
        <v>0.33</v>
      </c>
      <c r="Q516" s="8">
        <v>0.3881</v>
      </c>
      <c r="R516" s="6">
        <v>12</v>
      </c>
      <c r="S516" s="6">
        <v>75</v>
      </c>
      <c r="T516" s="6">
        <v>87</v>
      </c>
      <c r="U516" s="8">
        <f t="shared" si="86"/>
        <v>0.92609808504763491</v>
      </c>
      <c r="V516" s="8" t="str">
        <f t="shared" si="87"/>
        <v>Normal</v>
      </c>
      <c r="W516" s="8">
        <f t="shared" si="88"/>
        <v>0.45135120419022484</v>
      </c>
      <c r="X516" s="8" t="str">
        <f t="shared" si="89"/>
        <v>Normal</v>
      </c>
    </row>
    <row r="517" spans="1:24" x14ac:dyDescent="0.25">
      <c r="A517" s="6">
        <v>516</v>
      </c>
      <c r="B517" s="7">
        <v>40566</v>
      </c>
      <c r="C517" s="6">
        <v>1</v>
      </c>
      <c r="D517" s="6" t="str">
        <f t="shared" si="80"/>
        <v>january</v>
      </c>
      <c r="E517" s="6">
        <v>14</v>
      </c>
      <c r="F517" s="6" t="str">
        <f t="shared" si="81"/>
        <v>Afternoon</v>
      </c>
      <c r="G517" s="6" t="b">
        <v>0</v>
      </c>
      <c r="H517" s="6">
        <f t="shared" si="82"/>
        <v>0</v>
      </c>
      <c r="I517" s="6">
        <v>0</v>
      </c>
      <c r="J517" s="6" t="str">
        <f t="shared" si="83"/>
        <v>Sunday</v>
      </c>
      <c r="K517" s="6">
        <f t="shared" si="84"/>
        <v>1</v>
      </c>
      <c r="L517" s="6">
        <v>1</v>
      </c>
      <c r="M517" s="6" t="str">
        <f t="shared" si="85"/>
        <v>Partly cloudy</v>
      </c>
      <c r="N517" s="8">
        <v>0.16</v>
      </c>
      <c r="O517" s="8">
        <v>0.13639999999999999</v>
      </c>
      <c r="P517" s="8">
        <v>0.28000000000000003</v>
      </c>
      <c r="Q517" s="8">
        <v>0.35820000000000002</v>
      </c>
      <c r="R517" s="6">
        <v>17</v>
      </c>
      <c r="S517" s="6">
        <v>93</v>
      </c>
      <c r="T517" s="6">
        <v>110</v>
      </c>
      <c r="U517" s="8">
        <f t="shared" si="86"/>
        <v>1.5802145457395653</v>
      </c>
      <c r="V517" s="8" t="str">
        <f t="shared" si="87"/>
        <v>Normal</v>
      </c>
      <c r="W517" s="8">
        <f t="shared" si="88"/>
        <v>0.82718141538623025</v>
      </c>
      <c r="X517" s="8" t="str">
        <f t="shared" si="89"/>
        <v>Normal</v>
      </c>
    </row>
    <row r="518" spans="1:24" x14ac:dyDescent="0.25">
      <c r="A518" s="6">
        <v>517</v>
      </c>
      <c r="B518" s="7">
        <v>40566</v>
      </c>
      <c r="C518" s="6">
        <v>1</v>
      </c>
      <c r="D518" s="6" t="str">
        <f t="shared" si="80"/>
        <v>january</v>
      </c>
      <c r="E518" s="6">
        <v>15</v>
      </c>
      <c r="F518" s="6" t="str">
        <f t="shared" si="81"/>
        <v>Afternoon</v>
      </c>
      <c r="G518" s="6" t="b">
        <v>0</v>
      </c>
      <c r="H518" s="6">
        <f t="shared" si="82"/>
        <v>0</v>
      </c>
      <c r="I518" s="6">
        <v>0</v>
      </c>
      <c r="J518" s="6" t="str">
        <f t="shared" si="83"/>
        <v>Sunday</v>
      </c>
      <c r="K518" s="6">
        <f t="shared" si="84"/>
        <v>1</v>
      </c>
      <c r="L518" s="6">
        <v>1</v>
      </c>
      <c r="M518" s="6" t="str">
        <f t="shared" si="85"/>
        <v>Partly cloudy</v>
      </c>
      <c r="N518" s="8">
        <v>0.16</v>
      </c>
      <c r="O518" s="8">
        <v>0.13639999999999999</v>
      </c>
      <c r="P518" s="8">
        <v>0.28000000000000003</v>
      </c>
      <c r="Q518" s="8">
        <v>0.35820000000000002</v>
      </c>
      <c r="R518" s="6">
        <v>13</v>
      </c>
      <c r="S518" s="6">
        <v>64</v>
      </c>
      <c r="T518" s="6">
        <v>77</v>
      </c>
      <c r="U518" s="8">
        <f t="shared" si="86"/>
        <v>1.0569213771860211</v>
      </c>
      <c r="V518" s="8" t="str">
        <f t="shared" si="87"/>
        <v>Normal</v>
      </c>
      <c r="W518" s="8">
        <f t="shared" si="88"/>
        <v>0.22167718623711044</v>
      </c>
      <c r="X518" s="8" t="str">
        <f t="shared" si="89"/>
        <v>Normal</v>
      </c>
    </row>
    <row r="519" spans="1:24" x14ac:dyDescent="0.25">
      <c r="A519" s="6">
        <v>518</v>
      </c>
      <c r="B519" s="7">
        <v>40566</v>
      </c>
      <c r="C519" s="6">
        <v>1</v>
      </c>
      <c r="D519" s="6" t="str">
        <f t="shared" si="80"/>
        <v>january</v>
      </c>
      <c r="E519" s="6">
        <v>16</v>
      </c>
      <c r="F519" s="6" t="str">
        <f t="shared" si="81"/>
        <v>Afternoon</v>
      </c>
      <c r="G519" s="6" t="b">
        <v>0</v>
      </c>
      <c r="H519" s="6">
        <f t="shared" si="82"/>
        <v>0</v>
      </c>
      <c r="I519" s="6">
        <v>0</v>
      </c>
      <c r="J519" s="6" t="str">
        <f t="shared" si="83"/>
        <v>Sunday</v>
      </c>
      <c r="K519" s="6">
        <f t="shared" si="84"/>
        <v>1</v>
      </c>
      <c r="L519" s="6">
        <v>1</v>
      </c>
      <c r="M519" s="6" t="str">
        <f t="shared" si="85"/>
        <v>Partly cloudy</v>
      </c>
      <c r="N519" s="8">
        <v>0.16</v>
      </c>
      <c r="O519" s="8">
        <v>0.13639999999999999</v>
      </c>
      <c r="P519" s="8">
        <v>0.26</v>
      </c>
      <c r="Q519" s="8">
        <v>0.32840000000000003</v>
      </c>
      <c r="R519" s="6">
        <v>9</v>
      </c>
      <c r="S519" s="6">
        <v>56</v>
      </c>
      <c r="T519" s="6">
        <v>65</v>
      </c>
      <c r="U519" s="8">
        <f t="shared" si="86"/>
        <v>0.53362820863247673</v>
      </c>
      <c r="V519" s="8" t="str">
        <f t="shared" si="87"/>
        <v>Normal</v>
      </c>
      <c r="W519" s="8">
        <f t="shared" si="88"/>
        <v>5.4641536816663616E-2</v>
      </c>
      <c r="X519" s="8" t="str">
        <f t="shared" si="89"/>
        <v>Normal</v>
      </c>
    </row>
    <row r="520" spans="1:24" x14ac:dyDescent="0.25">
      <c r="A520" s="6">
        <v>519</v>
      </c>
      <c r="B520" s="7">
        <v>40566</v>
      </c>
      <c r="C520" s="6">
        <v>1</v>
      </c>
      <c r="D520" s="6" t="str">
        <f t="shared" si="80"/>
        <v>january</v>
      </c>
      <c r="E520" s="6">
        <v>17</v>
      </c>
      <c r="F520" s="6" t="str">
        <f t="shared" si="81"/>
        <v>Evening</v>
      </c>
      <c r="G520" s="6" t="b">
        <v>0</v>
      </c>
      <c r="H520" s="6">
        <f t="shared" si="82"/>
        <v>0</v>
      </c>
      <c r="I520" s="6">
        <v>0</v>
      </c>
      <c r="J520" s="6" t="str">
        <f t="shared" si="83"/>
        <v>Sunday</v>
      </c>
      <c r="K520" s="6">
        <f t="shared" si="84"/>
        <v>1</v>
      </c>
      <c r="L520" s="6">
        <v>1</v>
      </c>
      <c r="M520" s="6" t="str">
        <f t="shared" si="85"/>
        <v>Partly cloudy</v>
      </c>
      <c r="N520" s="8">
        <v>0.14000000000000001</v>
      </c>
      <c r="O520" s="8">
        <v>0.1061</v>
      </c>
      <c r="P520" s="8">
        <v>0.26</v>
      </c>
      <c r="Q520" s="8">
        <v>0.3881</v>
      </c>
      <c r="R520" s="6">
        <v>5</v>
      </c>
      <c r="S520" s="6">
        <v>50</v>
      </c>
      <c r="T520" s="6">
        <v>55</v>
      </c>
      <c r="U520" s="8">
        <f t="shared" si="86"/>
        <v>1.0335040078932463E-2</v>
      </c>
      <c r="V520" s="8" t="str">
        <f t="shared" si="87"/>
        <v>Normal</v>
      </c>
      <c r="W520" s="8">
        <f t="shared" si="88"/>
        <v>-7.0635200248671509E-2</v>
      </c>
      <c r="X520" s="8" t="str">
        <f t="shared" si="89"/>
        <v>Normal</v>
      </c>
    </row>
    <row r="521" spans="1:24" x14ac:dyDescent="0.25">
      <c r="A521" s="6">
        <v>520</v>
      </c>
      <c r="B521" s="7">
        <v>40566</v>
      </c>
      <c r="C521" s="6">
        <v>1</v>
      </c>
      <c r="D521" s="6" t="str">
        <f t="shared" si="80"/>
        <v>january</v>
      </c>
      <c r="E521" s="6">
        <v>18</v>
      </c>
      <c r="F521" s="6" t="str">
        <f t="shared" si="81"/>
        <v>Evening</v>
      </c>
      <c r="G521" s="6" t="b">
        <v>0</v>
      </c>
      <c r="H521" s="6">
        <f t="shared" si="82"/>
        <v>0</v>
      </c>
      <c r="I521" s="6">
        <v>0</v>
      </c>
      <c r="J521" s="6" t="str">
        <f t="shared" si="83"/>
        <v>Sunday</v>
      </c>
      <c r="K521" s="6">
        <f t="shared" si="84"/>
        <v>1</v>
      </c>
      <c r="L521" s="6">
        <v>1</v>
      </c>
      <c r="M521" s="6" t="str">
        <f t="shared" si="85"/>
        <v>Partly cloudy</v>
      </c>
      <c r="N521" s="8">
        <v>0.12</v>
      </c>
      <c r="O521" s="8">
        <v>0.1212</v>
      </c>
      <c r="P521" s="8">
        <v>0.3</v>
      </c>
      <c r="Q521" s="8">
        <v>0.25369999999999998</v>
      </c>
      <c r="R521" s="6">
        <v>5</v>
      </c>
      <c r="S521" s="6">
        <v>44</v>
      </c>
      <c r="T521" s="6">
        <v>49</v>
      </c>
      <c r="U521" s="8">
        <f t="shared" si="86"/>
        <v>1.0335040078932463E-2</v>
      </c>
      <c r="V521" s="8" t="str">
        <f t="shared" si="87"/>
        <v>Normal</v>
      </c>
      <c r="W521" s="8">
        <f t="shared" si="88"/>
        <v>-0.19591193731400663</v>
      </c>
      <c r="X521" s="8" t="str">
        <f t="shared" si="89"/>
        <v>Normal</v>
      </c>
    </row>
    <row r="522" spans="1:24" x14ac:dyDescent="0.25">
      <c r="A522" s="6">
        <v>521</v>
      </c>
      <c r="B522" s="7">
        <v>40566</v>
      </c>
      <c r="C522" s="6">
        <v>1</v>
      </c>
      <c r="D522" s="6" t="str">
        <f t="shared" si="80"/>
        <v>january</v>
      </c>
      <c r="E522" s="6">
        <v>19</v>
      </c>
      <c r="F522" s="6" t="str">
        <f t="shared" si="81"/>
        <v>Evening</v>
      </c>
      <c r="G522" s="6" t="b">
        <v>0</v>
      </c>
      <c r="H522" s="6">
        <f t="shared" si="82"/>
        <v>0</v>
      </c>
      <c r="I522" s="6">
        <v>0</v>
      </c>
      <c r="J522" s="6" t="str">
        <f t="shared" si="83"/>
        <v>Sunday</v>
      </c>
      <c r="K522" s="6">
        <f t="shared" si="84"/>
        <v>1</v>
      </c>
      <c r="L522" s="6">
        <v>1</v>
      </c>
      <c r="M522" s="6" t="str">
        <f t="shared" si="85"/>
        <v>Partly cloudy</v>
      </c>
      <c r="N522" s="8">
        <v>0.12</v>
      </c>
      <c r="O522" s="8">
        <v>0.1212</v>
      </c>
      <c r="P522" s="8">
        <v>0.3</v>
      </c>
      <c r="Q522" s="8">
        <v>0.28360000000000002</v>
      </c>
      <c r="R522" s="6">
        <v>5</v>
      </c>
      <c r="S522" s="6">
        <v>45</v>
      </c>
      <c r="T522" s="6">
        <v>50</v>
      </c>
      <c r="U522" s="8">
        <f t="shared" si="86"/>
        <v>1.0335040078932463E-2</v>
      </c>
      <c r="V522" s="8" t="str">
        <f t="shared" si="87"/>
        <v>Normal</v>
      </c>
      <c r="W522" s="8">
        <f t="shared" si="88"/>
        <v>-0.17503248113645078</v>
      </c>
      <c r="X522" s="8" t="str">
        <f t="shared" si="89"/>
        <v>Normal</v>
      </c>
    </row>
    <row r="523" spans="1:24" x14ac:dyDescent="0.25">
      <c r="A523" s="6">
        <v>522</v>
      </c>
      <c r="B523" s="7">
        <v>40566</v>
      </c>
      <c r="C523" s="6">
        <v>1</v>
      </c>
      <c r="D523" s="6" t="str">
        <f t="shared" si="80"/>
        <v>january</v>
      </c>
      <c r="E523" s="6">
        <v>20</v>
      </c>
      <c r="F523" s="6" t="str">
        <f t="shared" si="81"/>
        <v>Evening</v>
      </c>
      <c r="G523" s="6" t="b">
        <v>0</v>
      </c>
      <c r="H523" s="6">
        <f t="shared" si="82"/>
        <v>0</v>
      </c>
      <c r="I523" s="6">
        <v>0</v>
      </c>
      <c r="J523" s="6" t="str">
        <f t="shared" si="83"/>
        <v>Sunday</v>
      </c>
      <c r="K523" s="6">
        <f t="shared" si="84"/>
        <v>1</v>
      </c>
      <c r="L523" s="6">
        <v>1</v>
      </c>
      <c r="M523" s="6" t="str">
        <f t="shared" si="85"/>
        <v>Partly cloudy</v>
      </c>
      <c r="N523" s="8">
        <v>0.1</v>
      </c>
      <c r="O523" s="8">
        <v>0.1061</v>
      </c>
      <c r="P523" s="8">
        <v>0.36</v>
      </c>
      <c r="Q523" s="8">
        <v>0.25369999999999998</v>
      </c>
      <c r="R523" s="6">
        <v>4</v>
      </c>
      <c r="S523" s="6">
        <v>31</v>
      </c>
      <c r="T523" s="6">
        <v>35</v>
      </c>
      <c r="U523" s="8">
        <f t="shared" si="86"/>
        <v>-0.1204882520594536</v>
      </c>
      <c r="V523" s="8" t="str">
        <f t="shared" si="87"/>
        <v>Normal</v>
      </c>
      <c r="W523" s="8">
        <f t="shared" si="88"/>
        <v>-0.46734486762223271</v>
      </c>
      <c r="X523" s="8" t="str">
        <f t="shared" si="89"/>
        <v>Normal</v>
      </c>
    </row>
    <row r="524" spans="1:24" x14ac:dyDescent="0.25">
      <c r="A524" s="6">
        <v>523</v>
      </c>
      <c r="B524" s="7">
        <v>40566</v>
      </c>
      <c r="C524" s="6">
        <v>1</v>
      </c>
      <c r="D524" s="6" t="str">
        <f t="shared" si="80"/>
        <v>january</v>
      </c>
      <c r="E524" s="6">
        <v>21</v>
      </c>
      <c r="F524" s="6" t="str">
        <f t="shared" si="81"/>
        <v>Night</v>
      </c>
      <c r="G524" s="6" t="b">
        <v>0</v>
      </c>
      <c r="H524" s="6">
        <f t="shared" si="82"/>
        <v>0</v>
      </c>
      <c r="I524" s="6">
        <v>0</v>
      </c>
      <c r="J524" s="6" t="str">
        <f t="shared" si="83"/>
        <v>Sunday</v>
      </c>
      <c r="K524" s="6">
        <f t="shared" si="84"/>
        <v>1</v>
      </c>
      <c r="L524" s="6">
        <v>1</v>
      </c>
      <c r="M524" s="6" t="str">
        <f t="shared" si="85"/>
        <v>Partly cloudy</v>
      </c>
      <c r="N524" s="8">
        <v>0.1</v>
      </c>
      <c r="O524" s="8">
        <v>0.1061</v>
      </c>
      <c r="P524" s="8">
        <v>0.36</v>
      </c>
      <c r="Q524" s="8">
        <v>0.19400000000000001</v>
      </c>
      <c r="R524" s="6">
        <v>5</v>
      </c>
      <c r="S524" s="6">
        <v>20</v>
      </c>
      <c r="T524" s="6">
        <v>25</v>
      </c>
      <c r="U524" s="8">
        <f t="shared" si="86"/>
        <v>1.0335040078932463E-2</v>
      </c>
      <c r="V524" s="8" t="str">
        <f t="shared" si="87"/>
        <v>Normal</v>
      </c>
      <c r="W524" s="8">
        <f t="shared" si="88"/>
        <v>-0.69701888557534708</v>
      </c>
      <c r="X524" s="8" t="str">
        <f t="shared" si="89"/>
        <v>Normal</v>
      </c>
    </row>
    <row r="525" spans="1:24" x14ac:dyDescent="0.25">
      <c r="A525" s="6">
        <v>524</v>
      </c>
      <c r="B525" s="7">
        <v>40566</v>
      </c>
      <c r="C525" s="6">
        <v>1</v>
      </c>
      <c r="D525" s="6" t="str">
        <f t="shared" si="80"/>
        <v>january</v>
      </c>
      <c r="E525" s="6">
        <v>22</v>
      </c>
      <c r="F525" s="6" t="str">
        <f t="shared" si="81"/>
        <v>Night</v>
      </c>
      <c r="G525" s="6" t="b">
        <v>0</v>
      </c>
      <c r="H525" s="6">
        <f t="shared" si="82"/>
        <v>0</v>
      </c>
      <c r="I525" s="6">
        <v>0</v>
      </c>
      <c r="J525" s="6" t="str">
        <f t="shared" si="83"/>
        <v>Sunday</v>
      </c>
      <c r="K525" s="6">
        <f t="shared" si="84"/>
        <v>1</v>
      </c>
      <c r="L525" s="6">
        <v>1</v>
      </c>
      <c r="M525" s="6" t="str">
        <f t="shared" si="85"/>
        <v>Partly cloudy</v>
      </c>
      <c r="N525" s="8">
        <v>0.08</v>
      </c>
      <c r="O525" s="8">
        <v>9.0899999999999995E-2</v>
      </c>
      <c r="P525" s="8">
        <v>0.38</v>
      </c>
      <c r="Q525" s="8">
        <v>0.19400000000000001</v>
      </c>
      <c r="R525" s="6">
        <v>5</v>
      </c>
      <c r="S525" s="6">
        <v>23</v>
      </c>
      <c r="T525" s="6">
        <v>28</v>
      </c>
      <c r="U525" s="8">
        <f t="shared" si="86"/>
        <v>1.0335040078932463E-2</v>
      </c>
      <c r="V525" s="8" t="str">
        <f t="shared" si="87"/>
        <v>Normal</v>
      </c>
      <c r="W525" s="8">
        <f t="shared" si="88"/>
        <v>-0.63438051704267961</v>
      </c>
      <c r="X525" s="8" t="str">
        <f t="shared" si="89"/>
        <v>Normal</v>
      </c>
    </row>
    <row r="526" spans="1:24" x14ac:dyDescent="0.25">
      <c r="A526" s="6">
        <v>525</v>
      </c>
      <c r="B526" s="7">
        <v>40566</v>
      </c>
      <c r="C526" s="6">
        <v>1</v>
      </c>
      <c r="D526" s="6" t="str">
        <f t="shared" si="80"/>
        <v>january</v>
      </c>
      <c r="E526" s="6">
        <v>23</v>
      </c>
      <c r="F526" s="6" t="str">
        <f t="shared" si="81"/>
        <v>Night</v>
      </c>
      <c r="G526" s="6" t="b">
        <v>0</v>
      </c>
      <c r="H526" s="6">
        <f t="shared" si="82"/>
        <v>0</v>
      </c>
      <c r="I526" s="6">
        <v>0</v>
      </c>
      <c r="J526" s="6" t="str">
        <f t="shared" si="83"/>
        <v>Sunday</v>
      </c>
      <c r="K526" s="6">
        <f t="shared" si="84"/>
        <v>1</v>
      </c>
      <c r="L526" s="6">
        <v>1</v>
      </c>
      <c r="M526" s="6" t="str">
        <f t="shared" si="85"/>
        <v>Partly cloudy</v>
      </c>
      <c r="N526" s="8">
        <v>0.06</v>
      </c>
      <c r="O526" s="8">
        <v>6.0600000000000001E-2</v>
      </c>
      <c r="P526" s="8">
        <v>0.41</v>
      </c>
      <c r="Q526" s="8">
        <v>0.22389999999999999</v>
      </c>
      <c r="R526" s="6">
        <v>4</v>
      </c>
      <c r="S526" s="6">
        <v>17</v>
      </c>
      <c r="T526" s="6">
        <v>21</v>
      </c>
      <c r="U526" s="8">
        <f t="shared" si="86"/>
        <v>-0.1204882520594536</v>
      </c>
      <c r="V526" s="8" t="str">
        <f t="shared" si="87"/>
        <v>Normal</v>
      </c>
      <c r="W526" s="8">
        <f t="shared" si="88"/>
        <v>-0.75965725410801466</v>
      </c>
      <c r="X526" s="8" t="str">
        <f t="shared" si="89"/>
        <v>Normal</v>
      </c>
    </row>
    <row r="527" spans="1:24" x14ac:dyDescent="0.25">
      <c r="A527" s="6">
        <v>526</v>
      </c>
      <c r="B527" s="7">
        <v>40567</v>
      </c>
      <c r="C527" s="6">
        <v>1</v>
      </c>
      <c r="D527" s="6" t="str">
        <f t="shared" si="80"/>
        <v>january</v>
      </c>
      <c r="E527" s="6">
        <v>0</v>
      </c>
      <c r="F527" s="6" t="str">
        <f t="shared" si="81"/>
        <v>Night</v>
      </c>
      <c r="G527" s="6" t="b">
        <v>0</v>
      </c>
      <c r="H527" s="6">
        <f t="shared" si="82"/>
        <v>0</v>
      </c>
      <c r="I527" s="6">
        <v>1</v>
      </c>
      <c r="J527" s="6" t="str">
        <f t="shared" si="83"/>
        <v>Monday</v>
      </c>
      <c r="K527" s="6">
        <f t="shared" si="84"/>
        <v>0</v>
      </c>
      <c r="L527" s="6">
        <v>1</v>
      </c>
      <c r="M527" s="6" t="str">
        <f t="shared" si="85"/>
        <v>Partly cloudy</v>
      </c>
      <c r="N527" s="8">
        <v>0.06</v>
      </c>
      <c r="O527" s="8">
        <v>6.0600000000000001E-2</v>
      </c>
      <c r="P527" s="8">
        <v>0.41</v>
      </c>
      <c r="Q527" s="8">
        <v>0.19400000000000001</v>
      </c>
      <c r="R527" s="6">
        <v>0</v>
      </c>
      <c r="S527" s="6">
        <v>7</v>
      </c>
      <c r="T527" s="6">
        <v>7</v>
      </c>
      <c r="U527" s="8">
        <f t="shared" si="86"/>
        <v>-0.64378142061299781</v>
      </c>
      <c r="V527" s="8" t="str">
        <f t="shared" si="87"/>
        <v>Normal</v>
      </c>
      <c r="W527" s="8">
        <f t="shared" si="88"/>
        <v>-0.96845181588357321</v>
      </c>
      <c r="X527" s="8" t="str">
        <f t="shared" si="89"/>
        <v>Normal</v>
      </c>
    </row>
    <row r="528" spans="1:24" x14ac:dyDescent="0.25">
      <c r="A528" s="6">
        <v>527</v>
      </c>
      <c r="B528" s="7">
        <v>40567</v>
      </c>
      <c r="C528" s="6">
        <v>1</v>
      </c>
      <c r="D528" s="6" t="str">
        <f t="shared" si="80"/>
        <v>january</v>
      </c>
      <c r="E528" s="6">
        <v>1</v>
      </c>
      <c r="F528" s="6" t="str">
        <f t="shared" si="81"/>
        <v>Night</v>
      </c>
      <c r="G528" s="6" t="b">
        <v>0</v>
      </c>
      <c r="H528" s="6">
        <f t="shared" si="82"/>
        <v>0</v>
      </c>
      <c r="I528" s="6">
        <v>1</v>
      </c>
      <c r="J528" s="6" t="str">
        <f t="shared" si="83"/>
        <v>Monday</v>
      </c>
      <c r="K528" s="6">
        <f t="shared" si="84"/>
        <v>0</v>
      </c>
      <c r="L528" s="6">
        <v>1</v>
      </c>
      <c r="M528" s="6" t="str">
        <f t="shared" si="85"/>
        <v>Partly cloudy</v>
      </c>
      <c r="N528" s="8">
        <v>0.04</v>
      </c>
      <c r="O528" s="8">
        <v>4.5499999999999999E-2</v>
      </c>
      <c r="P528" s="8">
        <v>0.45</v>
      </c>
      <c r="Q528" s="8">
        <v>0.19400000000000001</v>
      </c>
      <c r="R528" s="6">
        <v>0</v>
      </c>
      <c r="S528" s="6">
        <v>1</v>
      </c>
      <c r="T528" s="6">
        <v>1</v>
      </c>
      <c r="U528" s="8">
        <f t="shared" si="86"/>
        <v>-0.64378142061299781</v>
      </c>
      <c r="V528" s="8" t="str">
        <f t="shared" si="87"/>
        <v>Normal</v>
      </c>
      <c r="W528" s="8">
        <f t="shared" si="88"/>
        <v>-1.0937285529489083</v>
      </c>
      <c r="X528" s="8" t="str">
        <f t="shared" si="89"/>
        <v>Normal</v>
      </c>
    </row>
    <row r="529" spans="1:24" x14ac:dyDescent="0.25">
      <c r="A529" s="6">
        <v>528</v>
      </c>
      <c r="B529" s="7">
        <v>40567</v>
      </c>
      <c r="C529" s="6">
        <v>1</v>
      </c>
      <c r="D529" s="6" t="str">
        <f t="shared" si="80"/>
        <v>january</v>
      </c>
      <c r="E529" s="6">
        <v>3</v>
      </c>
      <c r="F529" s="6" t="str">
        <f t="shared" si="81"/>
        <v>Night</v>
      </c>
      <c r="G529" s="6" t="b">
        <v>0</v>
      </c>
      <c r="H529" s="6">
        <f t="shared" si="82"/>
        <v>0</v>
      </c>
      <c r="I529" s="6">
        <v>1</v>
      </c>
      <c r="J529" s="6" t="str">
        <f t="shared" si="83"/>
        <v>Monday</v>
      </c>
      <c r="K529" s="6">
        <f t="shared" si="84"/>
        <v>0</v>
      </c>
      <c r="L529" s="6">
        <v>1</v>
      </c>
      <c r="M529" s="6" t="str">
        <f t="shared" si="85"/>
        <v>Partly cloudy</v>
      </c>
      <c r="N529" s="8">
        <v>0.04</v>
      </c>
      <c r="O529" s="8">
        <v>3.0300000000000001E-2</v>
      </c>
      <c r="P529" s="8">
        <v>0.45</v>
      </c>
      <c r="Q529" s="8">
        <v>0.25369999999999998</v>
      </c>
      <c r="R529" s="6">
        <v>0</v>
      </c>
      <c r="S529" s="6">
        <v>1</v>
      </c>
      <c r="T529" s="6">
        <v>1</v>
      </c>
      <c r="U529" s="8">
        <f t="shared" si="86"/>
        <v>-0.64378142061299781</v>
      </c>
      <c r="V529" s="8" t="str">
        <f t="shared" si="87"/>
        <v>Normal</v>
      </c>
      <c r="W529" s="8">
        <f t="shared" si="88"/>
        <v>-1.0937285529489083</v>
      </c>
      <c r="X529" s="8" t="str">
        <f t="shared" si="89"/>
        <v>Normal</v>
      </c>
    </row>
    <row r="530" spans="1:24" x14ac:dyDescent="0.25">
      <c r="A530" s="6">
        <v>529</v>
      </c>
      <c r="B530" s="7">
        <v>40567</v>
      </c>
      <c r="C530" s="6">
        <v>1</v>
      </c>
      <c r="D530" s="6" t="str">
        <f t="shared" si="80"/>
        <v>january</v>
      </c>
      <c r="E530" s="6">
        <v>4</v>
      </c>
      <c r="F530" s="6" t="str">
        <f t="shared" si="81"/>
        <v>Night</v>
      </c>
      <c r="G530" s="6" t="b">
        <v>0</v>
      </c>
      <c r="H530" s="6">
        <f t="shared" si="82"/>
        <v>0</v>
      </c>
      <c r="I530" s="6">
        <v>1</v>
      </c>
      <c r="J530" s="6" t="str">
        <f t="shared" si="83"/>
        <v>Monday</v>
      </c>
      <c r="K530" s="6">
        <f t="shared" si="84"/>
        <v>0</v>
      </c>
      <c r="L530" s="6">
        <v>1</v>
      </c>
      <c r="M530" s="6" t="str">
        <f t="shared" si="85"/>
        <v>Partly cloudy</v>
      </c>
      <c r="N530" s="8">
        <v>0.02</v>
      </c>
      <c r="O530" s="8">
        <v>6.0600000000000001E-2</v>
      </c>
      <c r="P530" s="8">
        <v>0.48</v>
      </c>
      <c r="Q530" s="8">
        <v>0.1343</v>
      </c>
      <c r="R530" s="6">
        <v>0</v>
      </c>
      <c r="S530" s="6">
        <v>1</v>
      </c>
      <c r="T530" s="6">
        <v>1</v>
      </c>
      <c r="U530" s="8">
        <f t="shared" si="86"/>
        <v>-0.64378142061299781</v>
      </c>
      <c r="V530" s="8" t="str">
        <f t="shared" si="87"/>
        <v>Normal</v>
      </c>
      <c r="W530" s="8">
        <f t="shared" si="88"/>
        <v>-1.0937285529489083</v>
      </c>
      <c r="X530" s="8" t="str">
        <f t="shared" si="89"/>
        <v>Normal</v>
      </c>
    </row>
    <row r="531" spans="1:24" x14ac:dyDescent="0.25">
      <c r="A531" s="6">
        <v>530</v>
      </c>
      <c r="B531" s="7">
        <v>40567</v>
      </c>
      <c r="C531" s="6">
        <v>1</v>
      </c>
      <c r="D531" s="6" t="str">
        <f t="shared" si="80"/>
        <v>january</v>
      </c>
      <c r="E531" s="6">
        <v>5</v>
      </c>
      <c r="F531" s="6" t="str">
        <f t="shared" si="81"/>
        <v>Early Morning</v>
      </c>
      <c r="G531" s="6" t="b">
        <v>0</v>
      </c>
      <c r="H531" s="6">
        <f t="shared" si="82"/>
        <v>0</v>
      </c>
      <c r="I531" s="6">
        <v>1</v>
      </c>
      <c r="J531" s="6" t="str">
        <f t="shared" si="83"/>
        <v>Monday</v>
      </c>
      <c r="K531" s="6">
        <f t="shared" si="84"/>
        <v>0</v>
      </c>
      <c r="L531" s="6">
        <v>1</v>
      </c>
      <c r="M531" s="6" t="str">
        <f t="shared" si="85"/>
        <v>Partly cloudy</v>
      </c>
      <c r="N531" s="8">
        <v>0.02</v>
      </c>
      <c r="O531" s="8">
        <v>6.0600000000000001E-2</v>
      </c>
      <c r="P531" s="8">
        <v>0.48</v>
      </c>
      <c r="Q531" s="8">
        <v>0.1343</v>
      </c>
      <c r="R531" s="6">
        <v>0</v>
      </c>
      <c r="S531" s="6">
        <v>5</v>
      </c>
      <c r="T531" s="6">
        <v>5</v>
      </c>
      <c r="U531" s="8">
        <f t="shared" si="86"/>
        <v>-0.64378142061299781</v>
      </c>
      <c r="V531" s="8" t="str">
        <f t="shared" si="87"/>
        <v>Normal</v>
      </c>
      <c r="W531" s="8">
        <f t="shared" si="88"/>
        <v>-1.010210728238685</v>
      </c>
      <c r="X531" s="8" t="str">
        <f t="shared" si="89"/>
        <v>Normal</v>
      </c>
    </row>
    <row r="532" spans="1:24" x14ac:dyDescent="0.25">
      <c r="A532" s="6">
        <v>531</v>
      </c>
      <c r="B532" s="7">
        <v>40567</v>
      </c>
      <c r="C532" s="6">
        <v>1</v>
      </c>
      <c r="D532" s="6" t="str">
        <f t="shared" si="80"/>
        <v>january</v>
      </c>
      <c r="E532" s="6">
        <v>6</v>
      </c>
      <c r="F532" s="6" t="str">
        <f t="shared" si="81"/>
        <v>Early Morning</v>
      </c>
      <c r="G532" s="6" t="b">
        <v>0</v>
      </c>
      <c r="H532" s="6">
        <f t="shared" si="82"/>
        <v>0</v>
      </c>
      <c r="I532" s="6">
        <v>1</v>
      </c>
      <c r="J532" s="6" t="str">
        <f t="shared" si="83"/>
        <v>Monday</v>
      </c>
      <c r="K532" s="6">
        <f t="shared" si="84"/>
        <v>0</v>
      </c>
      <c r="L532" s="6">
        <v>1</v>
      </c>
      <c r="M532" s="6" t="str">
        <f t="shared" si="85"/>
        <v>Partly cloudy</v>
      </c>
      <c r="N532" s="8">
        <v>0.02</v>
      </c>
      <c r="O532" s="8">
        <v>7.5800000000000006E-2</v>
      </c>
      <c r="P532" s="8">
        <v>0.48</v>
      </c>
      <c r="Q532" s="8">
        <v>8.9599999999999999E-2</v>
      </c>
      <c r="R532" s="6">
        <v>0</v>
      </c>
      <c r="S532" s="6">
        <v>15</v>
      </c>
      <c r="T532" s="6">
        <v>15</v>
      </c>
      <c r="U532" s="8">
        <f t="shared" si="86"/>
        <v>-0.64378142061299781</v>
      </c>
      <c r="V532" s="8" t="str">
        <f t="shared" si="87"/>
        <v>Normal</v>
      </c>
      <c r="W532" s="8">
        <f t="shared" si="88"/>
        <v>-0.80141616646312641</v>
      </c>
      <c r="X532" s="8" t="str">
        <f t="shared" si="89"/>
        <v>Normal</v>
      </c>
    </row>
    <row r="533" spans="1:24" x14ac:dyDescent="0.25">
      <c r="A533" s="6">
        <v>532</v>
      </c>
      <c r="B533" s="7">
        <v>40567</v>
      </c>
      <c r="C533" s="6">
        <v>1</v>
      </c>
      <c r="D533" s="6" t="str">
        <f t="shared" si="80"/>
        <v>january</v>
      </c>
      <c r="E533" s="6">
        <v>7</v>
      </c>
      <c r="F533" s="6" t="str">
        <f t="shared" si="81"/>
        <v>Early Morning</v>
      </c>
      <c r="G533" s="6" t="b">
        <v>0</v>
      </c>
      <c r="H533" s="6">
        <f t="shared" si="82"/>
        <v>0</v>
      </c>
      <c r="I533" s="6">
        <v>1</v>
      </c>
      <c r="J533" s="6" t="str">
        <f t="shared" si="83"/>
        <v>Monday</v>
      </c>
      <c r="K533" s="6">
        <f t="shared" si="84"/>
        <v>0</v>
      </c>
      <c r="L533" s="6">
        <v>1</v>
      </c>
      <c r="M533" s="6" t="str">
        <f t="shared" si="85"/>
        <v>Partly cloudy</v>
      </c>
      <c r="N533" s="8">
        <v>0.02</v>
      </c>
      <c r="O533" s="8">
        <v>0.1212</v>
      </c>
      <c r="P533" s="8">
        <v>0.48</v>
      </c>
      <c r="Q533" s="8">
        <v>0</v>
      </c>
      <c r="R533" s="6">
        <v>5</v>
      </c>
      <c r="S533" s="6">
        <v>79</v>
      </c>
      <c r="T533" s="6">
        <v>84</v>
      </c>
      <c r="U533" s="8">
        <f t="shared" si="86"/>
        <v>1.0335040078932463E-2</v>
      </c>
      <c r="V533" s="8" t="str">
        <f t="shared" si="87"/>
        <v>Normal</v>
      </c>
      <c r="W533" s="8">
        <f t="shared" si="88"/>
        <v>0.5348690289004483</v>
      </c>
      <c r="X533" s="8" t="str">
        <f t="shared" si="89"/>
        <v>Normal</v>
      </c>
    </row>
    <row r="534" spans="1:24" x14ac:dyDescent="0.25">
      <c r="A534" s="6">
        <v>533</v>
      </c>
      <c r="B534" s="7">
        <v>40567</v>
      </c>
      <c r="C534" s="6">
        <v>1</v>
      </c>
      <c r="D534" s="6" t="str">
        <f t="shared" si="80"/>
        <v>january</v>
      </c>
      <c r="E534" s="6">
        <v>8</v>
      </c>
      <c r="F534" s="6" t="str">
        <f t="shared" si="81"/>
        <v>Morning</v>
      </c>
      <c r="G534" s="6" t="b">
        <v>0</v>
      </c>
      <c r="H534" s="6">
        <f t="shared" si="82"/>
        <v>0</v>
      </c>
      <c r="I534" s="6">
        <v>1</v>
      </c>
      <c r="J534" s="6" t="str">
        <f t="shared" si="83"/>
        <v>Monday</v>
      </c>
      <c r="K534" s="6">
        <f t="shared" si="84"/>
        <v>0</v>
      </c>
      <c r="L534" s="6">
        <v>1</v>
      </c>
      <c r="M534" s="6" t="str">
        <f t="shared" si="85"/>
        <v>Partly cloudy</v>
      </c>
      <c r="N534" s="8">
        <v>0.04</v>
      </c>
      <c r="O534" s="8">
        <v>0.13639999999999999</v>
      </c>
      <c r="P534" s="8">
        <v>0.49</v>
      </c>
      <c r="Q534" s="8">
        <v>0</v>
      </c>
      <c r="R534" s="6">
        <v>6</v>
      </c>
      <c r="S534" s="6">
        <v>171</v>
      </c>
      <c r="T534" s="6">
        <v>177</v>
      </c>
      <c r="U534" s="8">
        <f t="shared" si="86"/>
        <v>0.14115833221731852</v>
      </c>
      <c r="V534" s="8" t="str">
        <f t="shared" si="87"/>
        <v>Normal</v>
      </c>
      <c r="W534" s="8">
        <f t="shared" si="88"/>
        <v>2.4557789972355866</v>
      </c>
      <c r="X534" s="8" t="str">
        <f t="shared" si="89"/>
        <v>Peak</v>
      </c>
    </row>
    <row r="535" spans="1:24" x14ac:dyDescent="0.25">
      <c r="A535" s="6">
        <v>534</v>
      </c>
      <c r="B535" s="7">
        <v>40567</v>
      </c>
      <c r="C535" s="6">
        <v>1</v>
      </c>
      <c r="D535" s="6" t="str">
        <f t="shared" si="80"/>
        <v>january</v>
      </c>
      <c r="E535" s="6">
        <v>9</v>
      </c>
      <c r="F535" s="6" t="str">
        <f t="shared" si="81"/>
        <v>Morning</v>
      </c>
      <c r="G535" s="6" t="b">
        <v>0</v>
      </c>
      <c r="H535" s="6">
        <f t="shared" si="82"/>
        <v>0</v>
      </c>
      <c r="I535" s="6">
        <v>1</v>
      </c>
      <c r="J535" s="6" t="str">
        <f t="shared" si="83"/>
        <v>Monday</v>
      </c>
      <c r="K535" s="6">
        <f t="shared" si="84"/>
        <v>0</v>
      </c>
      <c r="L535" s="6">
        <v>1</v>
      </c>
      <c r="M535" s="6" t="str">
        <f t="shared" si="85"/>
        <v>Partly cloudy</v>
      </c>
      <c r="N535" s="8">
        <v>0.06</v>
      </c>
      <c r="O535" s="8">
        <v>0.1515</v>
      </c>
      <c r="P535" s="8">
        <v>0.41</v>
      </c>
      <c r="Q535" s="8">
        <v>0</v>
      </c>
      <c r="R535" s="6">
        <v>4</v>
      </c>
      <c r="S535" s="6">
        <v>98</v>
      </c>
      <c r="T535" s="6">
        <v>102</v>
      </c>
      <c r="U535" s="8">
        <f t="shared" si="86"/>
        <v>-0.1204882520594536</v>
      </c>
      <c r="V535" s="8" t="str">
        <f t="shared" si="87"/>
        <v>Normal</v>
      </c>
      <c r="W535" s="8">
        <f t="shared" si="88"/>
        <v>0.93157869627400947</v>
      </c>
      <c r="X535" s="8" t="str">
        <f t="shared" si="89"/>
        <v>Normal</v>
      </c>
    </row>
    <row r="536" spans="1:24" x14ac:dyDescent="0.25">
      <c r="A536" s="6">
        <v>535</v>
      </c>
      <c r="B536" s="7">
        <v>40567</v>
      </c>
      <c r="C536" s="6">
        <v>1</v>
      </c>
      <c r="D536" s="6" t="str">
        <f t="shared" si="80"/>
        <v>january</v>
      </c>
      <c r="E536" s="6">
        <v>10</v>
      </c>
      <c r="F536" s="6" t="str">
        <f t="shared" si="81"/>
        <v>Morning</v>
      </c>
      <c r="G536" s="6" t="b">
        <v>0</v>
      </c>
      <c r="H536" s="6">
        <f t="shared" si="82"/>
        <v>0</v>
      </c>
      <c r="I536" s="6">
        <v>1</v>
      </c>
      <c r="J536" s="6" t="str">
        <f t="shared" si="83"/>
        <v>Monday</v>
      </c>
      <c r="K536" s="6">
        <f t="shared" si="84"/>
        <v>0</v>
      </c>
      <c r="L536" s="6">
        <v>1</v>
      </c>
      <c r="M536" s="6" t="str">
        <f t="shared" si="85"/>
        <v>Partly cloudy</v>
      </c>
      <c r="N536" s="8">
        <v>0.1</v>
      </c>
      <c r="O536" s="8">
        <v>0.13639999999999999</v>
      </c>
      <c r="P536" s="8">
        <v>0.42</v>
      </c>
      <c r="Q536" s="8">
        <v>0</v>
      </c>
      <c r="R536" s="6">
        <v>6</v>
      </c>
      <c r="S536" s="6">
        <v>34</v>
      </c>
      <c r="T536" s="6">
        <v>40</v>
      </c>
      <c r="U536" s="8">
        <f t="shared" si="86"/>
        <v>0.14115833221731852</v>
      </c>
      <c r="V536" s="8" t="str">
        <f t="shared" si="87"/>
        <v>Normal</v>
      </c>
      <c r="W536" s="8">
        <f t="shared" si="88"/>
        <v>-0.40470649908956519</v>
      </c>
      <c r="X536" s="8" t="str">
        <f t="shared" si="89"/>
        <v>Normal</v>
      </c>
    </row>
    <row r="537" spans="1:24" x14ac:dyDescent="0.25">
      <c r="A537" s="6">
        <v>536</v>
      </c>
      <c r="B537" s="7">
        <v>40567</v>
      </c>
      <c r="C537" s="6">
        <v>1</v>
      </c>
      <c r="D537" s="6" t="str">
        <f t="shared" si="80"/>
        <v>january</v>
      </c>
      <c r="E537" s="6">
        <v>11</v>
      </c>
      <c r="F537" s="6" t="str">
        <f t="shared" si="81"/>
        <v>Morning</v>
      </c>
      <c r="G537" s="6" t="b">
        <v>0</v>
      </c>
      <c r="H537" s="6">
        <f t="shared" si="82"/>
        <v>0</v>
      </c>
      <c r="I537" s="6">
        <v>1</v>
      </c>
      <c r="J537" s="6" t="str">
        <f t="shared" si="83"/>
        <v>Monday</v>
      </c>
      <c r="K537" s="6">
        <f t="shared" si="84"/>
        <v>0</v>
      </c>
      <c r="L537" s="6">
        <v>1</v>
      </c>
      <c r="M537" s="6" t="str">
        <f t="shared" si="85"/>
        <v>Partly cloudy</v>
      </c>
      <c r="N537" s="8">
        <v>0.1</v>
      </c>
      <c r="O537" s="8">
        <v>0.1212</v>
      </c>
      <c r="P537" s="8">
        <v>0.46</v>
      </c>
      <c r="Q537" s="8">
        <v>0.1343</v>
      </c>
      <c r="R537" s="6">
        <v>3</v>
      </c>
      <c r="S537" s="6">
        <v>43</v>
      </c>
      <c r="T537" s="6">
        <v>46</v>
      </c>
      <c r="U537" s="8">
        <f t="shared" si="86"/>
        <v>-0.25131154419783963</v>
      </c>
      <c r="V537" s="8" t="str">
        <f t="shared" si="87"/>
        <v>Normal</v>
      </c>
      <c r="W537" s="8">
        <f t="shared" si="88"/>
        <v>-0.21679139349156248</v>
      </c>
      <c r="X537" s="8" t="str">
        <f t="shared" si="89"/>
        <v>Normal</v>
      </c>
    </row>
    <row r="538" spans="1:24" x14ac:dyDescent="0.25">
      <c r="A538" s="6">
        <v>537</v>
      </c>
      <c r="B538" s="7">
        <v>40567</v>
      </c>
      <c r="C538" s="6">
        <v>1</v>
      </c>
      <c r="D538" s="6" t="str">
        <f t="shared" si="80"/>
        <v>january</v>
      </c>
      <c r="E538" s="6">
        <v>12</v>
      </c>
      <c r="F538" s="6" t="str">
        <f t="shared" si="81"/>
        <v>Afternoon</v>
      </c>
      <c r="G538" s="6" t="b">
        <v>0</v>
      </c>
      <c r="H538" s="6">
        <f t="shared" si="82"/>
        <v>0</v>
      </c>
      <c r="I538" s="6">
        <v>1</v>
      </c>
      <c r="J538" s="6" t="str">
        <f t="shared" si="83"/>
        <v>Monday</v>
      </c>
      <c r="K538" s="6">
        <f t="shared" si="84"/>
        <v>0</v>
      </c>
      <c r="L538" s="6">
        <v>2</v>
      </c>
      <c r="M538" s="6" t="str">
        <f t="shared" si="85"/>
        <v>Cloudy</v>
      </c>
      <c r="N538" s="8">
        <v>0.12</v>
      </c>
      <c r="O538" s="8">
        <v>0.13639999999999999</v>
      </c>
      <c r="P538" s="8">
        <v>0.42</v>
      </c>
      <c r="Q538" s="8">
        <v>0.19400000000000001</v>
      </c>
      <c r="R538" s="6">
        <v>11</v>
      </c>
      <c r="S538" s="6">
        <v>52</v>
      </c>
      <c r="T538" s="6">
        <v>63</v>
      </c>
      <c r="U538" s="8">
        <f t="shared" si="86"/>
        <v>0.79527479290924885</v>
      </c>
      <c r="V538" s="8" t="str">
        <f t="shared" si="87"/>
        <v>Normal</v>
      </c>
      <c r="W538" s="8">
        <f t="shared" si="88"/>
        <v>-2.8876287893559803E-2</v>
      </c>
      <c r="X538" s="8" t="str">
        <f t="shared" si="89"/>
        <v>Normal</v>
      </c>
    </row>
    <row r="539" spans="1:24" x14ac:dyDescent="0.25">
      <c r="A539" s="6">
        <v>538</v>
      </c>
      <c r="B539" s="7">
        <v>40567</v>
      </c>
      <c r="C539" s="6">
        <v>1</v>
      </c>
      <c r="D539" s="6" t="str">
        <f t="shared" si="80"/>
        <v>january</v>
      </c>
      <c r="E539" s="6">
        <v>13</v>
      </c>
      <c r="F539" s="6" t="str">
        <f t="shared" si="81"/>
        <v>Afternoon</v>
      </c>
      <c r="G539" s="6" t="b">
        <v>0</v>
      </c>
      <c r="H539" s="6">
        <f t="shared" si="82"/>
        <v>0</v>
      </c>
      <c r="I539" s="6">
        <v>1</v>
      </c>
      <c r="J539" s="6" t="str">
        <f t="shared" si="83"/>
        <v>Monday</v>
      </c>
      <c r="K539" s="6">
        <f t="shared" si="84"/>
        <v>0</v>
      </c>
      <c r="L539" s="6">
        <v>2</v>
      </c>
      <c r="M539" s="6" t="str">
        <f t="shared" si="85"/>
        <v>Cloudy</v>
      </c>
      <c r="N539" s="8">
        <v>0.14000000000000001</v>
      </c>
      <c r="O539" s="8">
        <v>0.13639999999999999</v>
      </c>
      <c r="P539" s="8">
        <v>0.43</v>
      </c>
      <c r="Q539" s="8">
        <v>0.22389999999999999</v>
      </c>
      <c r="R539" s="6">
        <v>6</v>
      </c>
      <c r="S539" s="6">
        <v>54</v>
      </c>
      <c r="T539" s="6">
        <v>60</v>
      </c>
      <c r="U539" s="8">
        <f t="shared" si="86"/>
        <v>0.14115833221731852</v>
      </c>
      <c r="V539" s="8" t="str">
        <f t="shared" si="87"/>
        <v>Normal</v>
      </c>
      <c r="W539" s="8">
        <f t="shared" si="88"/>
        <v>1.2882624461551907E-2</v>
      </c>
      <c r="X539" s="8" t="str">
        <f t="shared" si="89"/>
        <v>Normal</v>
      </c>
    </row>
    <row r="540" spans="1:24" x14ac:dyDescent="0.25">
      <c r="A540" s="6">
        <v>539</v>
      </c>
      <c r="B540" s="7">
        <v>40567</v>
      </c>
      <c r="C540" s="6">
        <v>1</v>
      </c>
      <c r="D540" s="6" t="str">
        <f t="shared" si="80"/>
        <v>january</v>
      </c>
      <c r="E540" s="6">
        <v>14</v>
      </c>
      <c r="F540" s="6" t="str">
        <f t="shared" si="81"/>
        <v>Afternoon</v>
      </c>
      <c r="G540" s="6" t="b">
        <v>0</v>
      </c>
      <c r="H540" s="6">
        <f t="shared" si="82"/>
        <v>0</v>
      </c>
      <c r="I540" s="6">
        <v>1</v>
      </c>
      <c r="J540" s="6" t="str">
        <f t="shared" si="83"/>
        <v>Monday</v>
      </c>
      <c r="K540" s="6">
        <f t="shared" si="84"/>
        <v>0</v>
      </c>
      <c r="L540" s="6">
        <v>2</v>
      </c>
      <c r="M540" s="6" t="str">
        <f t="shared" si="85"/>
        <v>Cloudy</v>
      </c>
      <c r="N540" s="8">
        <v>0.14000000000000001</v>
      </c>
      <c r="O540" s="8">
        <v>0.13639999999999999</v>
      </c>
      <c r="P540" s="8">
        <v>0.46</v>
      </c>
      <c r="Q540" s="8">
        <v>0.22389999999999999</v>
      </c>
      <c r="R540" s="6">
        <v>2</v>
      </c>
      <c r="S540" s="6">
        <v>43</v>
      </c>
      <c r="T540" s="6">
        <v>45</v>
      </c>
      <c r="U540" s="8">
        <f t="shared" si="86"/>
        <v>-0.38213483633622569</v>
      </c>
      <c r="V540" s="8" t="str">
        <f t="shared" si="87"/>
        <v>Normal</v>
      </c>
      <c r="W540" s="8">
        <f t="shared" si="88"/>
        <v>-0.21679139349156248</v>
      </c>
      <c r="X540" s="8" t="str">
        <f t="shared" si="89"/>
        <v>Normal</v>
      </c>
    </row>
    <row r="541" spans="1:24" x14ac:dyDescent="0.25">
      <c r="A541" s="6">
        <v>540</v>
      </c>
      <c r="B541" s="7">
        <v>40567</v>
      </c>
      <c r="C541" s="6">
        <v>1</v>
      </c>
      <c r="D541" s="6" t="str">
        <f t="shared" si="80"/>
        <v>january</v>
      </c>
      <c r="E541" s="6">
        <v>15</v>
      </c>
      <c r="F541" s="6" t="str">
        <f t="shared" si="81"/>
        <v>Afternoon</v>
      </c>
      <c r="G541" s="6" t="b">
        <v>0</v>
      </c>
      <c r="H541" s="6">
        <f t="shared" si="82"/>
        <v>0</v>
      </c>
      <c r="I541" s="6">
        <v>1</v>
      </c>
      <c r="J541" s="6" t="str">
        <f t="shared" si="83"/>
        <v>Monday</v>
      </c>
      <c r="K541" s="6">
        <f t="shared" si="84"/>
        <v>0</v>
      </c>
      <c r="L541" s="6">
        <v>1</v>
      </c>
      <c r="M541" s="6" t="str">
        <f t="shared" si="85"/>
        <v>Partly cloudy</v>
      </c>
      <c r="N541" s="8">
        <v>0.16</v>
      </c>
      <c r="O541" s="8">
        <v>0.16669999999999999</v>
      </c>
      <c r="P541" s="8">
        <v>0.4</v>
      </c>
      <c r="Q541" s="8">
        <v>0.16420000000000001</v>
      </c>
      <c r="R541" s="6">
        <v>7</v>
      </c>
      <c r="S541" s="6">
        <v>50</v>
      </c>
      <c r="T541" s="6">
        <v>57</v>
      </c>
      <c r="U541" s="8">
        <f t="shared" si="86"/>
        <v>0.27198162435570455</v>
      </c>
      <c r="V541" s="8" t="str">
        <f t="shared" si="87"/>
        <v>Normal</v>
      </c>
      <c r="W541" s="8">
        <f t="shared" si="88"/>
        <v>-7.0635200248671509E-2</v>
      </c>
      <c r="X541" s="8" t="str">
        <f t="shared" si="89"/>
        <v>Normal</v>
      </c>
    </row>
    <row r="542" spans="1:24" x14ac:dyDescent="0.25">
      <c r="A542" s="6">
        <v>541</v>
      </c>
      <c r="B542" s="7">
        <v>40567</v>
      </c>
      <c r="C542" s="6">
        <v>1</v>
      </c>
      <c r="D542" s="6" t="str">
        <f t="shared" si="80"/>
        <v>january</v>
      </c>
      <c r="E542" s="6">
        <v>16</v>
      </c>
      <c r="F542" s="6" t="str">
        <f t="shared" si="81"/>
        <v>Afternoon</v>
      </c>
      <c r="G542" s="6" t="b">
        <v>0</v>
      </c>
      <c r="H542" s="6">
        <f t="shared" si="82"/>
        <v>0</v>
      </c>
      <c r="I542" s="6">
        <v>1</v>
      </c>
      <c r="J542" s="6" t="str">
        <f t="shared" si="83"/>
        <v>Monday</v>
      </c>
      <c r="K542" s="6">
        <f t="shared" si="84"/>
        <v>0</v>
      </c>
      <c r="L542" s="6">
        <v>1</v>
      </c>
      <c r="M542" s="6" t="str">
        <f t="shared" si="85"/>
        <v>Partly cloudy</v>
      </c>
      <c r="N542" s="8">
        <v>0.16</v>
      </c>
      <c r="O542" s="8">
        <v>0.1515</v>
      </c>
      <c r="P542" s="8">
        <v>0.47</v>
      </c>
      <c r="Q542" s="8">
        <v>0.25369999999999998</v>
      </c>
      <c r="R542" s="6">
        <v>4</v>
      </c>
      <c r="S542" s="6">
        <v>66</v>
      </c>
      <c r="T542" s="6">
        <v>70</v>
      </c>
      <c r="U542" s="8">
        <f t="shared" si="86"/>
        <v>-0.1204882520594536</v>
      </c>
      <c r="V542" s="8" t="str">
        <f t="shared" si="87"/>
        <v>Normal</v>
      </c>
      <c r="W542" s="8">
        <f t="shared" si="88"/>
        <v>0.26343609859222217</v>
      </c>
      <c r="X542" s="8" t="str">
        <f t="shared" si="89"/>
        <v>Normal</v>
      </c>
    </row>
    <row r="543" spans="1:24" x14ac:dyDescent="0.25">
      <c r="A543" s="6">
        <v>542</v>
      </c>
      <c r="B543" s="7">
        <v>40567</v>
      </c>
      <c r="C543" s="6">
        <v>1</v>
      </c>
      <c r="D543" s="6" t="str">
        <f t="shared" si="80"/>
        <v>january</v>
      </c>
      <c r="E543" s="6">
        <v>17</v>
      </c>
      <c r="F543" s="6" t="str">
        <f t="shared" si="81"/>
        <v>Evening</v>
      </c>
      <c r="G543" s="6" t="b">
        <v>0</v>
      </c>
      <c r="H543" s="6">
        <f t="shared" si="82"/>
        <v>0</v>
      </c>
      <c r="I543" s="6">
        <v>1</v>
      </c>
      <c r="J543" s="6" t="str">
        <f t="shared" si="83"/>
        <v>Monday</v>
      </c>
      <c r="K543" s="6">
        <f t="shared" si="84"/>
        <v>0</v>
      </c>
      <c r="L543" s="6">
        <v>1</v>
      </c>
      <c r="M543" s="6" t="str">
        <f t="shared" si="85"/>
        <v>Partly cloudy</v>
      </c>
      <c r="N543" s="8">
        <v>0.14000000000000001</v>
      </c>
      <c r="O543" s="8">
        <v>0.1212</v>
      </c>
      <c r="P543" s="8">
        <v>0.5</v>
      </c>
      <c r="Q543" s="8">
        <v>0.25369999999999998</v>
      </c>
      <c r="R543" s="6">
        <v>6</v>
      </c>
      <c r="S543" s="6">
        <v>178</v>
      </c>
      <c r="T543" s="6">
        <v>184</v>
      </c>
      <c r="U543" s="8">
        <f t="shared" si="86"/>
        <v>0.14115833221731852</v>
      </c>
      <c r="V543" s="8" t="str">
        <f t="shared" si="87"/>
        <v>Normal</v>
      </c>
      <c r="W543" s="8">
        <f t="shared" si="88"/>
        <v>2.6019351904784775</v>
      </c>
      <c r="X543" s="8" t="str">
        <f t="shared" si="89"/>
        <v>Peak</v>
      </c>
    </row>
    <row r="544" spans="1:24" x14ac:dyDescent="0.25">
      <c r="A544" s="6">
        <v>543</v>
      </c>
      <c r="B544" s="7">
        <v>40567</v>
      </c>
      <c r="C544" s="6">
        <v>1</v>
      </c>
      <c r="D544" s="6" t="str">
        <f t="shared" si="80"/>
        <v>january</v>
      </c>
      <c r="E544" s="6">
        <v>18</v>
      </c>
      <c r="F544" s="6" t="str">
        <f t="shared" si="81"/>
        <v>Evening</v>
      </c>
      <c r="G544" s="6" t="b">
        <v>0</v>
      </c>
      <c r="H544" s="6">
        <f t="shared" si="82"/>
        <v>0</v>
      </c>
      <c r="I544" s="6">
        <v>1</v>
      </c>
      <c r="J544" s="6" t="str">
        <f t="shared" si="83"/>
        <v>Monday</v>
      </c>
      <c r="K544" s="6">
        <f t="shared" si="84"/>
        <v>0</v>
      </c>
      <c r="L544" s="6">
        <v>1</v>
      </c>
      <c r="M544" s="6" t="str">
        <f t="shared" si="85"/>
        <v>Partly cloudy</v>
      </c>
      <c r="N544" s="8">
        <v>0.14000000000000001</v>
      </c>
      <c r="O544" s="8">
        <v>0.13639999999999999</v>
      </c>
      <c r="P544" s="8">
        <v>0.59</v>
      </c>
      <c r="Q544" s="8">
        <v>0.19400000000000001</v>
      </c>
      <c r="R544" s="6">
        <v>8</v>
      </c>
      <c r="S544" s="6">
        <v>145</v>
      </c>
      <c r="T544" s="6">
        <v>153</v>
      </c>
      <c r="U544" s="8">
        <f t="shared" si="86"/>
        <v>0.40280491649409061</v>
      </c>
      <c r="V544" s="8" t="str">
        <f t="shared" si="87"/>
        <v>Normal</v>
      </c>
      <c r="W544" s="8">
        <f t="shared" si="88"/>
        <v>1.9129131366191345</v>
      </c>
      <c r="X544" s="8" t="str">
        <f t="shared" si="89"/>
        <v>Normal</v>
      </c>
    </row>
    <row r="545" spans="1:24" x14ac:dyDescent="0.25">
      <c r="A545" s="6">
        <v>544</v>
      </c>
      <c r="B545" s="7">
        <v>40567</v>
      </c>
      <c r="C545" s="6">
        <v>1</v>
      </c>
      <c r="D545" s="6" t="str">
        <f t="shared" si="80"/>
        <v>january</v>
      </c>
      <c r="E545" s="6">
        <v>19</v>
      </c>
      <c r="F545" s="6" t="str">
        <f t="shared" si="81"/>
        <v>Evening</v>
      </c>
      <c r="G545" s="6" t="b">
        <v>0</v>
      </c>
      <c r="H545" s="6">
        <f t="shared" si="82"/>
        <v>0</v>
      </c>
      <c r="I545" s="6">
        <v>1</v>
      </c>
      <c r="J545" s="6" t="str">
        <f t="shared" si="83"/>
        <v>Monday</v>
      </c>
      <c r="K545" s="6">
        <f t="shared" si="84"/>
        <v>0</v>
      </c>
      <c r="L545" s="6">
        <v>1</v>
      </c>
      <c r="M545" s="6" t="str">
        <f t="shared" si="85"/>
        <v>Partly cloudy</v>
      </c>
      <c r="N545" s="8">
        <v>0.14000000000000001</v>
      </c>
      <c r="O545" s="8">
        <v>0.1515</v>
      </c>
      <c r="P545" s="8">
        <v>0.54</v>
      </c>
      <c r="Q545" s="8">
        <v>0.16420000000000001</v>
      </c>
      <c r="R545" s="6">
        <v>5</v>
      </c>
      <c r="S545" s="6">
        <v>101</v>
      </c>
      <c r="T545" s="6">
        <v>106</v>
      </c>
      <c r="U545" s="8">
        <f t="shared" si="86"/>
        <v>1.0335040078932463E-2</v>
      </c>
      <c r="V545" s="8" t="str">
        <f t="shared" si="87"/>
        <v>Normal</v>
      </c>
      <c r="W545" s="8">
        <f t="shared" si="88"/>
        <v>0.99421706480667704</v>
      </c>
      <c r="X545" s="8" t="str">
        <f t="shared" si="89"/>
        <v>Normal</v>
      </c>
    </row>
    <row r="546" spans="1:24" x14ac:dyDescent="0.25">
      <c r="A546" s="6">
        <v>545</v>
      </c>
      <c r="B546" s="7">
        <v>40567</v>
      </c>
      <c r="C546" s="6">
        <v>1</v>
      </c>
      <c r="D546" s="6" t="str">
        <f t="shared" si="80"/>
        <v>january</v>
      </c>
      <c r="E546" s="6">
        <v>20</v>
      </c>
      <c r="F546" s="6" t="str">
        <f t="shared" si="81"/>
        <v>Evening</v>
      </c>
      <c r="G546" s="6" t="b">
        <v>0</v>
      </c>
      <c r="H546" s="6">
        <f t="shared" si="82"/>
        <v>0</v>
      </c>
      <c r="I546" s="6">
        <v>1</v>
      </c>
      <c r="J546" s="6" t="str">
        <f t="shared" si="83"/>
        <v>Monday</v>
      </c>
      <c r="K546" s="6">
        <f t="shared" si="84"/>
        <v>0</v>
      </c>
      <c r="L546" s="6">
        <v>1</v>
      </c>
      <c r="M546" s="6" t="str">
        <f t="shared" si="85"/>
        <v>Partly cloudy</v>
      </c>
      <c r="N546" s="8">
        <v>0.14000000000000001</v>
      </c>
      <c r="O546" s="8">
        <v>0.13639999999999999</v>
      </c>
      <c r="P546" s="8">
        <v>0.59</v>
      </c>
      <c r="Q546" s="8">
        <v>0.19400000000000001</v>
      </c>
      <c r="R546" s="6">
        <v>1</v>
      </c>
      <c r="S546" s="6">
        <v>80</v>
      </c>
      <c r="T546" s="6">
        <v>81</v>
      </c>
      <c r="U546" s="8">
        <f t="shared" si="86"/>
        <v>-0.51295812847461175</v>
      </c>
      <c r="V546" s="8" t="str">
        <f t="shared" si="87"/>
        <v>Normal</v>
      </c>
      <c r="W546" s="8">
        <f t="shared" si="88"/>
        <v>0.55574848507800412</v>
      </c>
      <c r="X546" s="8" t="str">
        <f t="shared" si="89"/>
        <v>Normal</v>
      </c>
    </row>
    <row r="547" spans="1:24" x14ac:dyDescent="0.25">
      <c r="A547" s="6">
        <v>546</v>
      </c>
      <c r="B547" s="7">
        <v>40567</v>
      </c>
      <c r="C547" s="6">
        <v>1</v>
      </c>
      <c r="D547" s="6" t="str">
        <f t="shared" si="80"/>
        <v>january</v>
      </c>
      <c r="E547" s="6">
        <v>21</v>
      </c>
      <c r="F547" s="6" t="str">
        <f t="shared" si="81"/>
        <v>Night</v>
      </c>
      <c r="G547" s="6" t="b">
        <v>0</v>
      </c>
      <c r="H547" s="6">
        <f t="shared" si="82"/>
        <v>0</v>
      </c>
      <c r="I547" s="6">
        <v>1</v>
      </c>
      <c r="J547" s="6" t="str">
        <f t="shared" si="83"/>
        <v>Monday</v>
      </c>
      <c r="K547" s="6">
        <f t="shared" si="84"/>
        <v>0</v>
      </c>
      <c r="L547" s="6">
        <v>1</v>
      </c>
      <c r="M547" s="6" t="str">
        <f t="shared" si="85"/>
        <v>Partly cloudy</v>
      </c>
      <c r="N547" s="8">
        <v>0.14000000000000001</v>
      </c>
      <c r="O547" s="8">
        <v>0.1515</v>
      </c>
      <c r="P547" s="8">
        <v>0.63</v>
      </c>
      <c r="Q547" s="8">
        <v>0.16420000000000001</v>
      </c>
      <c r="R547" s="6">
        <v>6</v>
      </c>
      <c r="S547" s="6">
        <v>53</v>
      </c>
      <c r="T547" s="6">
        <v>59</v>
      </c>
      <c r="U547" s="8">
        <f t="shared" si="86"/>
        <v>0.14115833221731852</v>
      </c>
      <c r="V547" s="8" t="str">
        <f t="shared" si="87"/>
        <v>Normal</v>
      </c>
      <c r="W547" s="8">
        <f t="shared" si="88"/>
        <v>-7.9968317160039482E-3</v>
      </c>
      <c r="X547" s="8" t="str">
        <f t="shared" si="89"/>
        <v>Normal</v>
      </c>
    </row>
    <row r="548" spans="1:24" x14ac:dyDescent="0.25">
      <c r="A548" s="6">
        <v>547</v>
      </c>
      <c r="B548" s="7">
        <v>40567</v>
      </c>
      <c r="C548" s="6">
        <v>1</v>
      </c>
      <c r="D548" s="6" t="str">
        <f t="shared" si="80"/>
        <v>january</v>
      </c>
      <c r="E548" s="6">
        <v>22</v>
      </c>
      <c r="F548" s="6" t="str">
        <f t="shared" si="81"/>
        <v>Night</v>
      </c>
      <c r="G548" s="6" t="b">
        <v>0</v>
      </c>
      <c r="H548" s="6">
        <f t="shared" si="82"/>
        <v>0</v>
      </c>
      <c r="I548" s="6">
        <v>1</v>
      </c>
      <c r="J548" s="6" t="str">
        <f t="shared" si="83"/>
        <v>Monday</v>
      </c>
      <c r="K548" s="6">
        <f t="shared" si="84"/>
        <v>0</v>
      </c>
      <c r="L548" s="6">
        <v>2</v>
      </c>
      <c r="M548" s="6" t="str">
        <f t="shared" si="85"/>
        <v>Cloudy</v>
      </c>
      <c r="N548" s="8">
        <v>0.14000000000000001</v>
      </c>
      <c r="O548" s="8">
        <v>0.13639999999999999</v>
      </c>
      <c r="P548" s="8">
        <v>0.63</v>
      </c>
      <c r="Q548" s="8">
        <v>0.22389999999999999</v>
      </c>
      <c r="R548" s="6">
        <v>3</v>
      </c>
      <c r="S548" s="6">
        <v>32</v>
      </c>
      <c r="T548" s="6">
        <v>35</v>
      </c>
      <c r="U548" s="8">
        <f t="shared" si="86"/>
        <v>-0.25131154419783963</v>
      </c>
      <c r="V548" s="8" t="str">
        <f t="shared" si="87"/>
        <v>Normal</v>
      </c>
      <c r="W548" s="8">
        <f t="shared" si="88"/>
        <v>-0.44646541144467689</v>
      </c>
      <c r="X548" s="8" t="str">
        <f t="shared" si="89"/>
        <v>Normal</v>
      </c>
    </row>
    <row r="549" spans="1:24" x14ac:dyDescent="0.25">
      <c r="A549" s="6">
        <v>548</v>
      </c>
      <c r="B549" s="7">
        <v>40567</v>
      </c>
      <c r="C549" s="6">
        <v>1</v>
      </c>
      <c r="D549" s="6" t="str">
        <f t="shared" si="80"/>
        <v>january</v>
      </c>
      <c r="E549" s="6">
        <v>23</v>
      </c>
      <c r="F549" s="6" t="str">
        <f t="shared" si="81"/>
        <v>Night</v>
      </c>
      <c r="G549" s="6" t="b">
        <v>0</v>
      </c>
      <c r="H549" s="6">
        <f t="shared" si="82"/>
        <v>0</v>
      </c>
      <c r="I549" s="6">
        <v>1</v>
      </c>
      <c r="J549" s="6" t="str">
        <f t="shared" si="83"/>
        <v>Monday</v>
      </c>
      <c r="K549" s="6">
        <f t="shared" si="84"/>
        <v>0</v>
      </c>
      <c r="L549" s="6">
        <v>2</v>
      </c>
      <c r="M549" s="6" t="str">
        <f t="shared" si="85"/>
        <v>Cloudy</v>
      </c>
      <c r="N549" s="8">
        <v>0.16</v>
      </c>
      <c r="O549" s="8">
        <v>0.1515</v>
      </c>
      <c r="P549" s="8">
        <v>0.64</v>
      </c>
      <c r="Q549" s="8">
        <v>0.25369999999999998</v>
      </c>
      <c r="R549" s="6">
        <v>3</v>
      </c>
      <c r="S549" s="6">
        <v>21</v>
      </c>
      <c r="T549" s="6">
        <v>24</v>
      </c>
      <c r="U549" s="8">
        <f t="shared" si="86"/>
        <v>-0.25131154419783963</v>
      </c>
      <c r="V549" s="8" t="str">
        <f t="shared" si="87"/>
        <v>Normal</v>
      </c>
      <c r="W549" s="8">
        <f t="shared" si="88"/>
        <v>-0.67613942939779126</v>
      </c>
      <c r="X549" s="8" t="str">
        <f t="shared" si="89"/>
        <v>Normal</v>
      </c>
    </row>
    <row r="550" spans="1:24" x14ac:dyDescent="0.25">
      <c r="A550" s="6">
        <v>549</v>
      </c>
      <c r="B550" s="7">
        <v>40568</v>
      </c>
      <c r="C550" s="6">
        <v>1</v>
      </c>
      <c r="D550" s="6" t="str">
        <f t="shared" si="80"/>
        <v>january</v>
      </c>
      <c r="E550" s="6">
        <v>0</v>
      </c>
      <c r="F550" s="6" t="str">
        <f t="shared" si="81"/>
        <v>Night</v>
      </c>
      <c r="G550" s="6" t="b">
        <v>0</v>
      </c>
      <c r="H550" s="6">
        <f t="shared" si="82"/>
        <v>0</v>
      </c>
      <c r="I550" s="6">
        <v>2</v>
      </c>
      <c r="J550" s="6" t="str">
        <f t="shared" si="83"/>
        <v>Tuesday</v>
      </c>
      <c r="K550" s="6">
        <f t="shared" si="84"/>
        <v>0</v>
      </c>
      <c r="L550" s="6">
        <v>2</v>
      </c>
      <c r="M550" s="6" t="str">
        <f t="shared" si="85"/>
        <v>Cloudy</v>
      </c>
      <c r="N550" s="8">
        <v>0.16</v>
      </c>
      <c r="O550" s="8">
        <v>0.13639999999999999</v>
      </c>
      <c r="P550" s="8">
        <v>0.69</v>
      </c>
      <c r="Q550" s="8">
        <v>0.28360000000000002</v>
      </c>
      <c r="R550" s="6">
        <v>3</v>
      </c>
      <c r="S550" s="6">
        <v>6</v>
      </c>
      <c r="T550" s="6">
        <v>9</v>
      </c>
      <c r="U550" s="8">
        <f t="shared" si="86"/>
        <v>-0.25131154419783963</v>
      </c>
      <c r="V550" s="8" t="str">
        <f t="shared" si="87"/>
        <v>Normal</v>
      </c>
      <c r="W550" s="8">
        <f t="shared" si="88"/>
        <v>-0.98933127206112903</v>
      </c>
      <c r="X550" s="8" t="str">
        <f t="shared" si="89"/>
        <v>Normal</v>
      </c>
    </row>
    <row r="551" spans="1:24" x14ac:dyDescent="0.25">
      <c r="A551" s="6">
        <v>550</v>
      </c>
      <c r="B551" s="7">
        <v>40568</v>
      </c>
      <c r="C551" s="6">
        <v>1</v>
      </c>
      <c r="D551" s="6" t="str">
        <f t="shared" si="80"/>
        <v>january</v>
      </c>
      <c r="E551" s="6">
        <v>1</v>
      </c>
      <c r="F551" s="6" t="str">
        <f t="shared" si="81"/>
        <v>Night</v>
      </c>
      <c r="G551" s="6" t="b">
        <v>0</v>
      </c>
      <c r="H551" s="6">
        <f t="shared" si="82"/>
        <v>0</v>
      </c>
      <c r="I551" s="6">
        <v>2</v>
      </c>
      <c r="J551" s="6" t="str">
        <f t="shared" si="83"/>
        <v>Tuesday</v>
      </c>
      <c r="K551" s="6">
        <f t="shared" si="84"/>
        <v>0</v>
      </c>
      <c r="L551" s="6">
        <v>2</v>
      </c>
      <c r="M551" s="6" t="str">
        <f t="shared" si="85"/>
        <v>Cloudy</v>
      </c>
      <c r="N551" s="8">
        <v>0.16</v>
      </c>
      <c r="O551" s="8">
        <v>0.16669999999999999</v>
      </c>
      <c r="P551" s="8">
        <v>0.69</v>
      </c>
      <c r="Q551" s="8">
        <v>0.16420000000000001</v>
      </c>
      <c r="R551" s="6">
        <v>0</v>
      </c>
      <c r="S551" s="6">
        <v>5</v>
      </c>
      <c r="T551" s="6">
        <v>5</v>
      </c>
      <c r="U551" s="8">
        <f t="shared" si="86"/>
        <v>-0.64378142061299781</v>
      </c>
      <c r="V551" s="8" t="str">
        <f t="shared" si="87"/>
        <v>Normal</v>
      </c>
      <c r="W551" s="8">
        <f t="shared" si="88"/>
        <v>-1.010210728238685</v>
      </c>
      <c r="X551" s="8" t="str">
        <f t="shared" si="89"/>
        <v>Normal</v>
      </c>
    </row>
    <row r="552" spans="1:24" x14ac:dyDescent="0.25">
      <c r="A552" s="6">
        <v>551</v>
      </c>
      <c r="B552" s="7">
        <v>40568</v>
      </c>
      <c r="C552" s="6">
        <v>1</v>
      </c>
      <c r="D552" s="6" t="str">
        <f t="shared" si="80"/>
        <v>january</v>
      </c>
      <c r="E552" s="6">
        <v>2</v>
      </c>
      <c r="F552" s="6" t="str">
        <f t="shared" si="81"/>
        <v>Night</v>
      </c>
      <c r="G552" s="6" t="b">
        <v>0</v>
      </c>
      <c r="H552" s="6">
        <f t="shared" si="82"/>
        <v>0</v>
      </c>
      <c r="I552" s="6">
        <v>2</v>
      </c>
      <c r="J552" s="6" t="str">
        <f t="shared" si="83"/>
        <v>Tuesday</v>
      </c>
      <c r="K552" s="6">
        <f t="shared" si="84"/>
        <v>0</v>
      </c>
      <c r="L552" s="6">
        <v>1</v>
      </c>
      <c r="M552" s="6" t="str">
        <f t="shared" si="85"/>
        <v>Partly cloudy</v>
      </c>
      <c r="N552" s="8">
        <v>0.16</v>
      </c>
      <c r="O552" s="8">
        <v>0.1515</v>
      </c>
      <c r="P552" s="8">
        <v>0.69</v>
      </c>
      <c r="Q552" s="8">
        <v>0.22389999999999999</v>
      </c>
      <c r="R552" s="6">
        <v>0</v>
      </c>
      <c r="S552" s="6">
        <v>2</v>
      </c>
      <c r="T552" s="6">
        <v>2</v>
      </c>
      <c r="U552" s="8">
        <f t="shared" si="86"/>
        <v>-0.64378142061299781</v>
      </c>
      <c r="V552" s="8" t="str">
        <f t="shared" si="87"/>
        <v>Normal</v>
      </c>
      <c r="W552" s="8">
        <f t="shared" si="88"/>
        <v>-1.0728490967713524</v>
      </c>
      <c r="X552" s="8" t="str">
        <f t="shared" si="89"/>
        <v>Normal</v>
      </c>
    </row>
    <row r="553" spans="1:24" x14ac:dyDescent="0.25">
      <c r="A553" s="6">
        <v>552</v>
      </c>
      <c r="B553" s="7">
        <v>40568</v>
      </c>
      <c r="C553" s="6">
        <v>1</v>
      </c>
      <c r="D553" s="6" t="str">
        <f t="shared" si="80"/>
        <v>january</v>
      </c>
      <c r="E553" s="6">
        <v>4</v>
      </c>
      <c r="F553" s="6" t="str">
        <f t="shared" si="81"/>
        <v>Night</v>
      </c>
      <c r="G553" s="6" t="b">
        <v>0</v>
      </c>
      <c r="H553" s="6">
        <f t="shared" si="82"/>
        <v>0</v>
      </c>
      <c r="I553" s="6">
        <v>2</v>
      </c>
      <c r="J553" s="6" t="str">
        <f t="shared" si="83"/>
        <v>Tuesday</v>
      </c>
      <c r="K553" s="6">
        <f t="shared" si="84"/>
        <v>0</v>
      </c>
      <c r="L553" s="6">
        <v>1</v>
      </c>
      <c r="M553" s="6" t="str">
        <f t="shared" si="85"/>
        <v>Partly cloudy</v>
      </c>
      <c r="N553" s="8">
        <v>0.14000000000000001</v>
      </c>
      <c r="O553" s="8">
        <v>0.16669999999999999</v>
      </c>
      <c r="P553" s="8">
        <v>0.74</v>
      </c>
      <c r="Q553" s="8">
        <v>0.1045</v>
      </c>
      <c r="R553" s="6">
        <v>0</v>
      </c>
      <c r="S553" s="6">
        <v>1</v>
      </c>
      <c r="T553" s="6">
        <v>1</v>
      </c>
      <c r="U553" s="8">
        <f t="shared" si="86"/>
        <v>-0.64378142061299781</v>
      </c>
      <c r="V553" s="8" t="str">
        <f t="shared" si="87"/>
        <v>Normal</v>
      </c>
      <c r="W553" s="8">
        <f t="shared" si="88"/>
        <v>-1.0937285529489083</v>
      </c>
      <c r="X553" s="8" t="str">
        <f t="shared" si="89"/>
        <v>Normal</v>
      </c>
    </row>
    <row r="554" spans="1:24" x14ac:dyDescent="0.25">
      <c r="A554" s="6">
        <v>553</v>
      </c>
      <c r="B554" s="7">
        <v>40568</v>
      </c>
      <c r="C554" s="6">
        <v>1</v>
      </c>
      <c r="D554" s="6" t="str">
        <f t="shared" si="80"/>
        <v>january</v>
      </c>
      <c r="E554" s="6">
        <v>5</v>
      </c>
      <c r="F554" s="6" t="str">
        <f t="shared" si="81"/>
        <v>Early Morning</v>
      </c>
      <c r="G554" s="6" t="b">
        <v>0</v>
      </c>
      <c r="H554" s="6">
        <f t="shared" si="82"/>
        <v>0</v>
      </c>
      <c r="I554" s="6">
        <v>2</v>
      </c>
      <c r="J554" s="6" t="str">
        <f t="shared" si="83"/>
        <v>Tuesday</v>
      </c>
      <c r="K554" s="6">
        <f t="shared" si="84"/>
        <v>0</v>
      </c>
      <c r="L554" s="6">
        <v>1</v>
      </c>
      <c r="M554" s="6" t="str">
        <f t="shared" si="85"/>
        <v>Partly cloudy</v>
      </c>
      <c r="N554" s="8">
        <v>0.14000000000000001</v>
      </c>
      <c r="O554" s="8">
        <v>0.13639999999999999</v>
      </c>
      <c r="P554" s="8">
        <v>0.74</v>
      </c>
      <c r="Q554" s="8">
        <v>0.22389999999999999</v>
      </c>
      <c r="R554" s="6">
        <v>0</v>
      </c>
      <c r="S554" s="6">
        <v>9</v>
      </c>
      <c r="T554" s="6">
        <v>9</v>
      </c>
      <c r="U554" s="8">
        <f t="shared" si="86"/>
        <v>-0.64378142061299781</v>
      </c>
      <c r="V554" s="8" t="str">
        <f t="shared" si="87"/>
        <v>Normal</v>
      </c>
      <c r="W554" s="8">
        <f t="shared" si="88"/>
        <v>-0.92669290352846156</v>
      </c>
      <c r="X554" s="8" t="str">
        <f t="shared" si="89"/>
        <v>Normal</v>
      </c>
    </row>
    <row r="555" spans="1:24" x14ac:dyDescent="0.25">
      <c r="A555" s="6">
        <v>554</v>
      </c>
      <c r="B555" s="7">
        <v>40568</v>
      </c>
      <c r="C555" s="6">
        <v>1</v>
      </c>
      <c r="D555" s="6" t="str">
        <f t="shared" si="80"/>
        <v>january</v>
      </c>
      <c r="E555" s="6">
        <v>6</v>
      </c>
      <c r="F555" s="6" t="str">
        <f t="shared" si="81"/>
        <v>Early Morning</v>
      </c>
      <c r="G555" s="6" t="b">
        <v>0</v>
      </c>
      <c r="H555" s="6">
        <f t="shared" si="82"/>
        <v>0</v>
      </c>
      <c r="I555" s="6">
        <v>2</v>
      </c>
      <c r="J555" s="6" t="str">
        <f t="shared" si="83"/>
        <v>Tuesday</v>
      </c>
      <c r="K555" s="6">
        <f t="shared" si="84"/>
        <v>0</v>
      </c>
      <c r="L555" s="6">
        <v>1</v>
      </c>
      <c r="M555" s="6" t="str">
        <f t="shared" si="85"/>
        <v>Partly cloudy</v>
      </c>
      <c r="N555" s="8">
        <v>0.16</v>
      </c>
      <c r="O555" s="8">
        <v>0.18179999999999999</v>
      </c>
      <c r="P555" s="8">
        <v>0.74</v>
      </c>
      <c r="Q555" s="8">
        <v>0.1045</v>
      </c>
      <c r="R555" s="6">
        <v>1</v>
      </c>
      <c r="S555" s="6">
        <v>35</v>
      </c>
      <c r="T555" s="6">
        <v>36</v>
      </c>
      <c r="U555" s="8">
        <f t="shared" si="86"/>
        <v>-0.51295812847461175</v>
      </c>
      <c r="V555" s="8" t="str">
        <f t="shared" si="87"/>
        <v>Normal</v>
      </c>
      <c r="W555" s="8">
        <f t="shared" si="88"/>
        <v>-0.38382704291200931</v>
      </c>
      <c r="X555" s="8" t="str">
        <f t="shared" si="89"/>
        <v>Normal</v>
      </c>
    </row>
    <row r="556" spans="1:24" x14ac:dyDescent="0.25">
      <c r="A556" s="6">
        <v>555</v>
      </c>
      <c r="B556" s="7">
        <v>40568</v>
      </c>
      <c r="C556" s="6">
        <v>1</v>
      </c>
      <c r="D556" s="6" t="str">
        <f t="shared" si="80"/>
        <v>january</v>
      </c>
      <c r="E556" s="6">
        <v>7</v>
      </c>
      <c r="F556" s="6" t="str">
        <f t="shared" si="81"/>
        <v>Early Morning</v>
      </c>
      <c r="G556" s="6" t="b">
        <v>0</v>
      </c>
      <c r="H556" s="6">
        <f t="shared" si="82"/>
        <v>0</v>
      </c>
      <c r="I556" s="6">
        <v>2</v>
      </c>
      <c r="J556" s="6" t="str">
        <f t="shared" si="83"/>
        <v>Tuesday</v>
      </c>
      <c r="K556" s="6">
        <f t="shared" si="84"/>
        <v>0</v>
      </c>
      <c r="L556" s="6">
        <v>1</v>
      </c>
      <c r="M556" s="6" t="str">
        <f t="shared" si="85"/>
        <v>Partly cloudy</v>
      </c>
      <c r="N556" s="8">
        <v>0.16</v>
      </c>
      <c r="O556" s="8">
        <v>0.1515</v>
      </c>
      <c r="P556" s="8">
        <v>0.74</v>
      </c>
      <c r="Q556" s="8">
        <v>0.22389999999999999</v>
      </c>
      <c r="R556" s="6">
        <v>5</v>
      </c>
      <c r="S556" s="6">
        <v>103</v>
      </c>
      <c r="T556" s="6">
        <v>108</v>
      </c>
      <c r="U556" s="8">
        <f t="shared" si="86"/>
        <v>1.0335040078932463E-2</v>
      </c>
      <c r="V556" s="8" t="str">
        <f t="shared" si="87"/>
        <v>Normal</v>
      </c>
      <c r="W556" s="8">
        <f t="shared" si="88"/>
        <v>1.0359759771617887</v>
      </c>
      <c r="X556" s="8" t="str">
        <f t="shared" si="89"/>
        <v>Normal</v>
      </c>
    </row>
    <row r="557" spans="1:24" x14ac:dyDescent="0.25">
      <c r="A557" s="6">
        <v>556</v>
      </c>
      <c r="B557" s="7">
        <v>40568</v>
      </c>
      <c r="C557" s="6">
        <v>1</v>
      </c>
      <c r="D557" s="6" t="str">
        <f t="shared" si="80"/>
        <v>january</v>
      </c>
      <c r="E557" s="6">
        <v>8</v>
      </c>
      <c r="F557" s="6" t="str">
        <f t="shared" si="81"/>
        <v>Morning</v>
      </c>
      <c r="G557" s="6" t="b">
        <v>0</v>
      </c>
      <c r="H557" s="6">
        <f t="shared" si="82"/>
        <v>0</v>
      </c>
      <c r="I557" s="6">
        <v>2</v>
      </c>
      <c r="J557" s="6" t="str">
        <f t="shared" si="83"/>
        <v>Tuesday</v>
      </c>
      <c r="K557" s="6">
        <f t="shared" si="84"/>
        <v>0</v>
      </c>
      <c r="L557" s="6">
        <v>2</v>
      </c>
      <c r="M557" s="6" t="str">
        <f t="shared" si="85"/>
        <v>Cloudy</v>
      </c>
      <c r="N557" s="8">
        <v>0.16</v>
      </c>
      <c r="O557" s="8">
        <v>0.18179999999999999</v>
      </c>
      <c r="P557" s="8">
        <v>0.74</v>
      </c>
      <c r="Q557" s="8">
        <v>0.1343</v>
      </c>
      <c r="R557" s="6">
        <v>5</v>
      </c>
      <c r="S557" s="6">
        <v>233</v>
      </c>
      <c r="T557" s="6">
        <v>238</v>
      </c>
      <c r="U557" s="8">
        <f t="shared" si="86"/>
        <v>1.0335040078932463E-2</v>
      </c>
      <c r="V557" s="8" t="str">
        <f t="shared" si="87"/>
        <v>Normal</v>
      </c>
      <c r="W557" s="8">
        <f t="shared" si="88"/>
        <v>3.7503052802440497</v>
      </c>
      <c r="X557" s="8" t="str">
        <f t="shared" si="89"/>
        <v>Peak</v>
      </c>
    </row>
    <row r="558" spans="1:24" x14ac:dyDescent="0.25">
      <c r="A558" s="6">
        <v>557</v>
      </c>
      <c r="B558" s="7">
        <v>40568</v>
      </c>
      <c r="C558" s="6">
        <v>1</v>
      </c>
      <c r="D558" s="6" t="str">
        <f t="shared" si="80"/>
        <v>january</v>
      </c>
      <c r="E558" s="6">
        <v>9</v>
      </c>
      <c r="F558" s="6" t="str">
        <f t="shared" si="81"/>
        <v>Morning</v>
      </c>
      <c r="G558" s="6" t="b">
        <v>0</v>
      </c>
      <c r="H558" s="6">
        <f t="shared" si="82"/>
        <v>0</v>
      </c>
      <c r="I558" s="6">
        <v>2</v>
      </c>
      <c r="J558" s="6" t="str">
        <f t="shared" si="83"/>
        <v>Tuesday</v>
      </c>
      <c r="K558" s="6">
        <f t="shared" si="84"/>
        <v>0</v>
      </c>
      <c r="L558" s="6">
        <v>2</v>
      </c>
      <c r="M558" s="6" t="str">
        <f t="shared" si="85"/>
        <v>Cloudy</v>
      </c>
      <c r="N558" s="8">
        <v>0.2</v>
      </c>
      <c r="O558" s="8">
        <v>0.2273</v>
      </c>
      <c r="P558" s="8">
        <v>0.64</v>
      </c>
      <c r="Q558" s="8">
        <v>8.9599999999999999E-2</v>
      </c>
      <c r="R558" s="6">
        <v>10</v>
      </c>
      <c r="S558" s="6">
        <v>134</v>
      </c>
      <c r="T558" s="6">
        <v>144</v>
      </c>
      <c r="U558" s="8">
        <f t="shared" si="86"/>
        <v>0.66445150077086279</v>
      </c>
      <c r="V558" s="8" t="str">
        <f t="shared" si="87"/>
        <v>Normal</v>
      </c>
      <c r="W558" s="8">
        <f t="shared" si="88"/>
        <v>1.6832391186660201</v>
      </c>
      <c r="X558" s="8" t="str">
        <f t="shared" si="89"/>
        <v>Normal</v>
      </c>
    </row>
    <row r="559" spans="1:24" x14ac:dyDescent="0.25">
      <c r="A559" s="6">
        <v>558</v>
      </c>
      <c r="B559" s="7">
        <v>40568</v>
      </c>
      <c r="C559" s="6">
        <v>1</v>
      </c>
      <c r="D559" s="6" t="str">
        <f t="shared" si="80"/>
        <v>january</v>
      </c>
      <c r="E559" s="6">
        <v>10</v>
      </c>
      <c r="F559" s="6" t="str">
        <f t="shared" si="81"/>
        <v>Morning</v>
      </c>
      <c r="G559" s="6" t="b">
        <v>0</v>
      </c>
      <c r="H559" s="6">
        <f t="shared" si="82"/>
        <v>0</v>
      </c>
      <c r="I559" s="6">
        <v>2</v>
      </c>
      <c r="J559" s="6" t="str">
        <f t="shared" si="83"/>
        <v>Tuesday</v>
      </c>
      <c r="K559" s="6">
        <f t="shared" si="84"/>
        <v>0</v>
      </c>
      <c r="L559" s="6">
        <v>2</v>
      </c>
      <c r="M559" s="6" t="str">
        <f t="shared" si="85"/>
        <v>Cloudy</v>
      </c>
      <c r="N559" s="8">
        <v>0.22</v>
      </c>
      <c r="O559" s="8">
        <v>0.2424</v>
      </c>
      <c r="P559" s="8">
        <v>0.6</v>
      </c>
      <c r="Q559" s="8">
        <v>0.1045</v>
      </c>
      <c r="R559" s="6">
        <v>6</v>
      </c>
      <c r="S559" s="6">
        <v>49</v>
      </c>
      <c r="T559" s="6">
        <v>55</v>
      </c>
      <c r="U559" s="8">
        <f t="shared" si="86"/>
        <v>0.14115833221731852</v>
      </c>
      <c r="V559" s="8" t="str">
        <f t="shared" si="87"/>
        <v>Normal</v>
      </c>
      <c r="W559" s="8">
        <f t="shared" si="88"/>
        <v>-9.1514656426227359E-2</v>
      </c>
      <c r="X559" s="8" t="str">
        <f t="shared" si="89"/>
        <v>Normal</v>
      </c>
    </row>
    <row r="560" spans="1:24" x14ac:dyDescent="0.25">
      <c r="A560" s="6">
        <v>559</v>
      </c>
      <c r="B560" s="7">
        <v>40568</v>
      </c>
      <c r="C560" s="6">
        <v>1</v>
      </c>
      <c r="D560" s="6" t="str">
        <f t="shared" si="80"/>
        <v>january</v>
      </c>
      <c r="E560" s="6">
        <v>11</v>
      </c>
      <c r="F560" s="6" t="str">
        <f t="shared" si="81"/>
        <v>Morning</v>
      </c>
      <c r="G560" s="6" t="b">
        <v>0</v>
      </c>
      <c r="H560" s="6">
        <f t="shared" si="82"/>
        <v>0</v>
      </c>
      <c r="I560" s="6">
        <v>2</v>
      </c>
      <c r="J560" s="6" t="str">
        <f t="shared" si="83"/>
        <v>Tuesday</v>
      </c>
      <c r="K560" s="6">
        <f t="shared" si="84"/>
        <v>0</v>
      </c>
      <c r="L560" s="6">
        <v>2</v>
      </c>
      <c r="M560" s="6" t="str">
        <f t="shared" si="85"/>
        <v>Cloudy</v>
      </c>
      <c r="N560" s="8">
        <v>0.24</v>
      </c>
      <c r="O560" s="8">
        <v>0.2424</v>
      </c>
      <c r="P560" s="8">
        <v>0.6</v>
      </c>
      <c r="Q560" s="8">
        <v>0.1343</v>
      </c>
      <c r="R560" s="6">
        <v>6</v>
      </c>
      <c r="S560" s="6">
        <v>55</v>
      </c>
      <c r="T560" s="6">
        <v>61</v>
      </c>
      <c r="U560" s="8">
        <f t="shared" si="86"/>
        <v>0.14115833221731852</v>
      </c>
      <c r="V560" s="8" t="str">
        <f t="shared" si="87"/>
        <v>Normal</v>
      </c>
      <c r="W560" s="8">
        <f t="shared" si="88"/>
        <v>3.376208063910776E-2</v>
      </c>
      <c r="X560" s="8" t="str">
        <f t="shared" si="89"/>
        <v>Normal</v>
      </c>
    </row>
    <row r="561" spans="1:24" x14ac:dyDescent="0.25">
      <c r="A561" s="6">
        <v>560</v>
      </c>
      <c r="B561" s="7">
        <v>40568</v>
      </c>
      <c r="C561" s="6">
        <v>1</v>
      </c>
      <c r="D561" s="6" t="str">
        <f t="shared" si="80"/>
        <v>january</v>
      </c>
      <c r="E561" s="6">
        <v>12</v>
      </c>
      <c r="F561" s="6" t="str">
        <f t="shared" si="81"/>
        <v>Afternoon</v>
      </c>
      <c r="G561" s="6" t="b">
        <v>0</v>
      </c>
      <c r="H561" s="6">
        <f t="shared" si="82"/>
        <v>0</v>
      </c>
      <c r="I561" s="6">
        <v>2</v>
      </c>
      <c r="J561" s="6" t="str">
        <f t="shared" si="83"/>
        <v>Tuesday</v>
      </c>
      <c r="K561" s="6">
        <f t="shared" si="84"/>
        <v>0</v>
      </c>
      <c r="L561" s="6">
        <v>2</v>
      </c>
      <c r="M561" s="6" t="str">
        <f t="shared" si="85"/>
        <v>Cloudy</v>
      </c>
      <c r="N561" s="8">
        <v>0.26</v>
      </c>
      <c r="O561" s="8">
        <v>0.28789999999999999</v>
      </c>
      <c r="P561" s="8">
        <v>0.56000000000000005</v>
      </c>
      <c r="Q561" s="8">
        <v>8.9599999999999999E-2</v>
      </c>
      <c r="R561" s="6">
        <v>21</v>
      </c>
      <c r="S561" s="6">
        <v>85</v>
      </c>
      <c r="T561" s="6">
        <v>106</v>
      </c>
      <c r="U561" s="8">
        <f t="shared" si="86"/>
        <v>2.1035077142931096</v>
      </c>
      <c r="V561" s="8" t="str">
        <f t="shared" si="87"/>
        <v>Peak</v>
      </c>
      <c r="W561" s="8">
        <f t="shared" si="88"/>
        <v>0.66014576596578334</v>
      </c>
      <c r="X561" s="8" t="str">
        <f t="shared" si="89"/>
        <v>Normal</v>
      </c>
    </row>
    <row r="562" spans="1:24" x14ac:dyDescent="0.25">
      <c r="A562" s="6">
        <v>561</v>
      </c>
      <c r="B562" s="7">
        <v>40568</v>
      </c>
      <c r="C562" s="6">
        <v>1</v>
      </c>
      <c r="D562" s="6" t="str">
        <f t="shared" si="80"/>
        <v>january</v>
      </c>
      <c r="E562" s="6">
        <v>13</v>
      </c>
      <c r="F562" s="6" t="str">
        <f t="shared" si="81"/>
        <v>Afternoon</v>
      </c>
      <c r="G562" s="6" t="b">
        <v>0</v>
      </c>
      <c r="H562" s="6">
        <f t="shared" si="82"/>
        <v>0</v>
      </c>
      <c r="I562" s="6">
        <v>2</v>
      </c>
      <c r="J562" s="6" t="str">
        <f t="shared" si="83"/>
        <v>Tuesday</v>
      </c>
      <c r="K562" s="6">
        <f t="shared" si="84"/>
        <v>0</v>
      </c>
      <c r="L562" s="6">
        <v>2</v>
      </c>
      <c r="M562" s="6" t="str">
        <f t="shared" si="85"/>
        <v>Cloudy</v>
      </c>
      <c r="N562" s="8">
        <v>0.26</v>
      </c>
      <c r="O562" s="8">
        <v>0.2727</v>
      </c>
      <c r="P562" s="8">
        <v>0.56000000000000005</v>
      </c>
      <c r="Q562" s="8">
        <v>0.1343</v>
      </c>
      <c r="R562" s="6">
        <v>21</v>
      </c>
      <c r="S562" s="6">
        <v>72</v>
      </c>
      <c r="T562" s="6">
        <v>93</v>
      </c>
      <c r="U562" s="8">
        <f t="shared" si="86"/>
        <v>2.1035077142931096</v>
      </c>
      <c r="V562" s="8" t="str">
        <f t="shared" si="87"/>
        <v>Peak</v>
      </c>
      <c r="W562" s="8">
        <f t="shared" si="88"/>
        <v>0.38871283565755727</v>
      </c>
      <c r="X562" s="8" t="str">
        <f t="shared" si="89"/>
        <v>Normal</v>
      </c>
    </row>
    <row r="563" spans="1:24" x14ac:dyDescent="0.25">
      <c r="A563" s="6">
        <v>562</v>
      </c>
      <c r="B563" s="7">
        <v>40568</v>
      </c>
      <c r="C563" s="6">
        <v>1</v>
      </c>
      <c r="D563" s="6" t="str">
        <f t="shared" si="80"/>
        <v>january</v>
      </c>
      <c r="E563" s="6">
        <v>14</v>
      </c>
      <c r="F563" s="6" t="str">
        <f t="shared" si="81"/>
        <v>Afternoon</v>
      </c>
      <c r="G563" s="6" t="b">
        <v>0</v>
      </c>
      <c r="H563" s="6">
        <f t="shared" si="82"/>
        <v>0</v>
      </c>
      <c r="I563" s="6">
        <v>2</v>
      </c>
      <c r="J563" s="6" t="str">
        <f t="shared" si="83"/>
        <v>Tuesday</v>
      </c>
      <c r="K563" s="6">
        <f t="shared" si="84"/>
        <v>0</v>
      </c>
      <c r="L563" s="6">
        <v>2</v>
      </c>
      <c r="M563" s="6" t="str">
        <f t="shared" si="85"/>
        <v>Cloudy</v>
      </c>
      <c r="N563" s="8">
        <v>0.3</v>
      </c>
      <c r="O563" s="8">
        <v>0.33329999999999999</v>
      </c>
      <c r="P563" s="8">
        <v>0.45</v>
      </c>
      <c r="Q563" s="8">
        <v>0</v>
      </c>
      <c r="R563" s="6">
        <v>11</v>
      </c>
      <c r="S563" s="6">
        <v>57</v>
      </c>
      <c r="T563" s="6">
        <v>68</v>
      </c>
      <c r="U563" s="8">
        <f t="shared" si="86"/>
        <v>0.79527479290924885</v>
      </c>
      <c r="V563" s="8" t="str">
        <f t="shared" si="87"/>
        <v>Normal</v>
      </c>
      <c r="W563" s="8">
        <f t="shared" si="88"/>
        <v>7.5520992994219466E-2</v>
      </c>
      <c r="X563" s="8" t="str">
        <f t="shared" si="89"/>
        <v>Normal</v>
      </c>
    </row>
    <row r="564" spans="1:24" x14ac:dyDescent="0.25">
      <c r="A564" s="6">
        <v>563</v>
      </c>
      <c r="B564" s="7">
        <v>40568</v>
      </c>
      <c r="C564" s="6">
        <v>1</v>
      </c>
      <c r="D564" s="6" t="str">
        <f t="shared" si="80"/>
        <v>january</v>
      </c>
      <c r="E564" s="6">
        <v>15</v>
      </c>
      <c r="F564" s="6" t="str">
        <f t="shared" si="81"/>
        <v>Afternoon</v>
      </c>
      <c r="G564" s="6" t="b">
        <v>0</v>
      </c>
      <c r="H564" s="6">
        <f t="shared" si="82"/>
        <v>0</v>
      </c>
      <c r="I564" s="6">
        <v>2</v>
      </c>
      <c r="J564" s="6" t="str">
        <f t="shared" si="83"/>
        <v>Tuesday</v>
      </c>
      <c r="K564" s="6">
        <f t="shared" si="84"/>
        <v>0</v>
      </c>
      <c r="L564" s="6">
        <v>2</v>
      </c>
      <c r="M564" s="6" t="str">
        <f t="shared" si="85"/>
        <v>Cloudy</v>
      </c>
      <c r="N564" s="8">
        <v>0.32</v>
      </c>
      <c r="O564" s="8">
        <v>0.34849999999999998</v>
      </c>
      <c r="P564" s="8">
        <v>0.42</v>
      </c>
      <c r="Q564" s="8">
        <v>0</v>
      </c>
      <c r="R564" s="6">
        <v>21</v>
      </c>
      <c r="S564" s="6">
        <v>63</v>
      </c>
      <c r="T564" s="6">
        <v>84</v>
      </c>
      <c r="U564" s="8">
        <f t="shared" si="86"/>
        <v>2.1035077142931096</v>
      </c>
      <c r="V564" s="8" t="str">
        <f t="shared" si="87"/>
        <v>Peak</v>
      </c>
      <c r="W564" s="8">
        <f t="shared" si="88"/>
        <v>0.20079773005955459</v>
      </c>
      <c r="X564" s="8" t="str">
        <f t="shared" si="89"/>
        <v>Normal</v>
      </c>
    </row>
    <row r="565" spans="1:24" x14ac:dyDescent="0.25">
      <c r="A565" s="6">
        <v>564</v>
      </c>
      <c r="B565" s="7">
        <v>40568</v>
      </c>
      <c r="C565" s="6">
        <v>1</v>
      </c>
      <c r="D565" s="6" t="str">
        <f t="shared" si="80"/>
        <v>january</v>
      </c>
      <c r="E565" s="6">
        <v>16</v>
      </c>
      <c r="F565" s="6" t="str">
        <f t="shared" si="81"/>
        <v>Afternoon</v>
      </c>
      <c r="G565" s="6" t="b">
        <v>0</v>
      </c>
      <c r="H565" s="6">
        <f t="shared" si="82"/>
        <v>0</v>
      </c>
      <c r="I565" s="6">
        <v>2</v>
      </c>
      <c r="J565" s="6" t="str">
        <f t="shared" si="83"/>
        <v>Tuesday</v>
      </c>
      <c r="K565" s="6">
        <f t="shared" si="84"/>
        <v>0</v>
      </c>
      <c r="L565" s="6">
        <v>2</v>
      </c>
      <c r="M565" s="6" t="str">
        <f t="shared" si="85"/>
        <v>Cloudy</v>
      </c>
      <c r="N565" s="8">
        <v>0.32</v>
      </c>
      <c r="O565" s="8">
        <v>0.34849999999999998</v>
      </c>
      <c r="P565" s="8">
        <v>0.42</v>
      </c>
      <c r="Q565" s="8">
        <v>0</v>
      </c>
      <c r="R565" s="6">
        <v>14</v>
      </c>
      <c r="S565" s="6">
        <v>102</v>
      </c>
      <c r="T565" s="6">
        <v>116</v>
      </c>
      <c r="U565" s="8">
        <f t="shared" si="86"/>
        <v>1.1877446693244071</v>
      </c>
      <c r="V565" s="8" t="str">
        <f t="shared" si="87"/>
        <v>Normal</v>
      </c>
      <c r="W565" s="8">
        <f t="shared" si="88"/>
        <v>1.0150965209842329</v>
      </c>
      <c r="X565" s="8" t="str">
        <f t="shared" si="89"/>
        <v>Normal</v>
      </c>
    </row>
    <row r="566" spans="1:24" x14ac:dyDescent="0.25">
      <c r="A566" s="6">
        <v>565</v>
      </c>
      <c r="B566" s="7">
        <v>40568</v>
      </c>
      <c r="C566" s="6">
        <v>1</v>
      </c>
      <c r="D566" s="6" t="str">
        <f t="shared" si="80"/>
        <v>january</v>
      </c>
      <c r="E566" s="6">
        <v>17</v>
      </c>
      <c r="F566" s="6" t="str">
        <f t="shared" si="81"/>
        <v>Evening</v>
      </c>
      <c r="G566" s="6" t="b">
        <v>0</v>
      </c>
      <c r="H566" s="6">
        <f t="shared" si="82"/>
        <v>0</v>
      </c>
      <c r="I566" s="6">
        <v>2</v>
      </c>
      <c r="J566" s="6" t="str">
        <f t="shared" si="83"/>
        <v>Tuesday</v>
      </c>
      <c r="K566" s="6">
        <f t="shared" si="84"/>
        <v>0</v>
      </c>
      <c r="L566" s="6">
        <v>1</v>
      </c>
      <c r="M566" s="6" t="str">
        <f t="shared" si="85"/>
        <v>Partly cloudy</v>
      </c>
      <c r="N566" s="8">
        <v>0.3</v>
      </c>
      <c r="O566" s="8">
        <v>0.33329999999999999</v>
      </c>
      <c r="P566" s="8">
        <v>0.45</v>
      </c>
      <c r="Q566" s="8">
        <v>0</v>
      </c>
      <c r="R566" s="6">
        <v>14</v>
      </c>
      <c r="S566" s="6">
        <v>208</v>
      </c>
      <c r="T566" s="6">
        <v>222</v>
      </c>
      <c r="U566" s="8">
        <f t="shared" si="86"/>
        <v>1.1877446693244071</v>
      </c>
      <c r="V566" s="8" t="str">
        <f t="shared" si="87"/>
        <v>Normal</v>
      </c>
      <c r="W566" s="8">
        <f t="shared" si="88"/>
        <v>3.2283188758051531</v>
      </c>
      <c r="X566" s="8" t="str">
        <f t="shared" si="89"/>
        <v>Peak</v>
      </c>
    </row>
    <row r="567" spans="1:24" x14ac:dyDescent="0.25">
      <c r="A567" s="6">
        <v>566</v>
      </c>
      <c r="B567" s="7">
        <v>40568</v>
      </c>
      <c r="C567" s="6">
        <v>1</v>
      </c>
      <c r="D567" s="6" t="str">
        <f t="shared" si="80"/>
        <v>january</v>
      </c>
      <c r="E567" s="6">
        <v>18</v>
      </c>
      <c r="F567" s="6" t="str">
        <f t="shared" si="81"/>
        <v>Evening</v>
      </c>
      <c r="G567" s="6" t="b">
        <v>0</v>
      </c>
      <c r="H567" s="6">
        <f t="shared" si="82"/>
        <v>0</v>
      </c>
      <c r="I567" s="6">
        <v>2</v>
      </c>
      <c r="J567" s="6" t="str">
        <f t="shared" si="83"/>
        <v>Tuesday</v>
      </c>
      <c r="K567" s="6">
        <f t="shared" si="84"/>
        <v>0</v>
      </c>
      <c r="L567" s="6">
        <v>2</v>
      </c>
      <c r="M567" s="6" t="str">
        <f t="shared" si="85"/>
        <v>Cloudy</v>
      </c>
      <c r="N567" s="8">
        <v>0.3</v>
      </c>
      <c r="O567" s="8">
        <v>0.31819999999999998</v>
      </c>
      <c r="P567" s="8">
        <v>0.49</v>
      </c>
      <c r="Q567" s="8">
        <v>8.9599999999999999E-2</v>
      </c>
      <c r="R567" s="6">
        <v>7</v>
      </c>
      <c r="S567" s="6">
        <v>218</v>
      </c>
      <c r="T567" s="6">
        <v>225</v>
      </c>
      <c r="U567" s="8">
        <f t="shared" si="86"/>
        <v>0.27198162435570455</v>
      </c>
      <c r="V567" s="8" t="str">
        <f t="shared" si="87"/>
        <v>Normal</v>
      </c>
      <c r="W567" s="8">
        <f t="shared" si="88"/>
        <v>3.4371134375807118</v>
      </c>
      <c r="X567" s="8" t="str">
        <f t="shared" si="89"/>
        <v>Peak</v>
      </c>
    </row>
    <row r="568" spans="1:24" x14ac:dyDescent="0.25">
      <c r="A568" s="6">
        <v>567</v>
      </c>
      <c r="B568" s="7">
        <v>40568</v>
      </c>
      <c r="C568" s="6">
        <v>1</v>
      </c>
      <c r="D568" s="6" t="str">
        <f t="shared" si="80"/>
        <v>january</v>
      </c>
      <c r="E568" s="6">
        <v>19</v>
      </c>
      <c r="F568" s="6" t="str">
        <f t="shared" si="81"/>
        <v>Evening</v>
      </c>
      <c r="G568" s="6" t="b">
        <v>0</v>
      </c>
      <c r="H568" s="6">
        <f t="shared" si="82"/>
        <v>0</v>
      </c>
      <c r="I568" s="6">
        <v>2</v>
      </c>
      <c r="J568" s="6" t="str">
        <f t="shared" si="83"/>
        <v>Tuesday</v>
      </c>
      <c r="K568" s="6">
        <f t="shared" si="84"/>
        <v>0</v>
      </c>
      <c r="L568" s="6">
        <v>2</v>
      </c>
      <c r="M568" s="6" t="str">
        <f t="shared" si="85"/>
        <v>Cloudy</v>
      </c>
      <c r="N568" s="8">
        <v>0.26</v>
      </c>
      <c r="O568" s="8">
        <v>0.2576</v>
      </c>
      <c r="P568" s="8">
        <v>0.65</v>
      </c>
      <c r="Q568" s="8">
        <v>0.16420000000000001</v>
      </c>
      <c r="R568" s="6">
        <v>13</v>
      </c>
      <c r="S568" s="6">
        <v>133</v>
      </c>
      <c r="T568" s="6">
        <v>146</v>
      </c>
      <c r="U568" s="8">
        <f t="shared" si="86"/>
        <v>1.0569213771860211</v>
      </c>
      <c r="V568" s="8" t="str">
        <f t="shared" si="87"/>
        <v>Normal</v>
      </c>
      <c r="W568" s="8">
        <f t="shared" si="88"/>
        <v>1.6623596624884642</v>
      </c>
      <c r="X568" s="8" t="str">
        <f t="shared" si="89"/>
        <v>Normal</v>
      </c>
    </row>
    <row r="569" spans="1:24" x14ac:dyDescent="0.25">
      <c r="A569" s="6">
        <v>568</v>
      </c>
      <c r="B569" s="7">
        <v>40568</v>
      </c>
      <c r="C569" s="6">
        <v>1</v>
      </c>
      <c r="D569" s="6" t="str">
        <f t="shared" si="80"/>
        <v>january</v>
      </c>
      <c r="E569" s="6">
        <v>20</v>
      </c>
      <c r="F569" s="6" t="str">
        <f t="shared" si="81"/>
        <v>Evening</v>
      </c>
      <c r="G569" s="6" t="b">
        <v>0</v>
      </c>
      <c r="H569" s="6">
        <f t="shared" si="82"/>
        <v>0</v>
      </c>
      <c r="I569" s="6">
        <v>2</v>
      </c>
      <c r="J569" s="6" t="str">
        <f t="shared" si="83"/>
        <v>Tuesday</v>
      </c>
      <c r="K569" s="6">
        <f t="shared" si="84"/>
        <v>0</v>
      </c>
      <c r="L569" s="6">
        <v>1</v>
      </c>
      <c r="M569" s="6" t="str">
        <f t="shared" si="85"/>
        <v>Partly cloudy</v>
      </c>
      <c r="N569" s="8">
        <v>0.24</v>
      </c>
      <c r="O569" s="8">
        <v>0.2273</v>
      </c>
      <c r="P569" s="8">
        <v>0.65</v>
      </c>
      <c r="Q569" s="8">
        <v>0.19400000000000001</v>
      </c>
      <c r="R569" s="6">
        <v>16</v>
      </c>
      <c r="S569" s="6">
        <v>103</v>
      </c>
      <c r="T569" s="6">
        <v>119</v>
      </c>
      <c r="U569" s="8">
        <f t="shared" si="86"/>
        <v>1.4493912536011793</v>
      </c>
      <c r="V569" s="8" t="str">
        <f t="shared" si="87"/>
        <v>Normal</v>
      </c>
      <c r="W569" s="8">
        <f t="shared" si="88"/>
        <v>1.0359759771617887</v>
      </c>
      <c r="X569" s="8" t="str">
        <f t="shared" si="89"/>
        <v>Normal</v>
      </c>
    </row>
    <row r="570" spans="1:24" x14ac:dyDescent="0.25">
      <c r="A570" s="6">
        <v>569</v>
      </c>
      <c r="B570" s="7">
        <v>40568</v>
      </c>
      <c r="C570" s="6">
        <v>1</v>
      </c>
      <c r="D570" s="6" t="str">
        <f t="shared" si="80"/>
        <v>january</v>
      </c>
      <c r="E570" s="6">
        <v>21</v>
      </c>
      <c r="F570" s="6" t="str">
        <f t="shared" si="81"/>
        <v>Night</v>
      </c>
      <c r="G570" s="6" t="b">
        <v>0</v>
      </c>
      <c r="H570" s="6">
        <f t="shared" si="82"/>
        <v>0</v>
      </c>
      <c r="I570" s="6">
        <v>2</v>
      </c>
      <c r="J570" s="6" t="str">
        <f t="shared" si="83"/>
        <v>Tuesday</v>
      </c>
      <c r="K570" s="6">
        <f t="shared" si="84"/>
        <v>0</v>
      </c>
      <c r="L570" s="6">
        <v>1</v>
      </c>
      <c r="M570" s="6" t="str">
        <f t="shared" si="85"/>
        <v>Partly cloudy</v>
      </c>
      <c r="N570" s="8">
        <v>0.24</v>
      </c>
      <c r="O570" s="8">
        <v>0.2273</v>
      </c>
      <c r="P570" s="8">
        <v>0.65</v>
      </c>
      <c r="Q570" s="8">
        <v>0.19400000000000001</v>
      </c>
      <c r="R570" s="6">
        <v>5</v>
      </c>
      <c r="S570" s="6">
        <v>40</v>
      </c>
      <c r="T570" s="6">
        <v>45</v>
      </c>
      <c r="U570" s="8">
        <f t="shared" si="86"/>
        <v>1.0335040078932463E-2</v>
      </c>
      <c r="V570" s="8" t="str">
        <f t="shared" si="87"/>
        <v>Normal</v>
      </c>
      <c r="W570" s="8">
        <f t="shared" si="88"/>
        <v>-0.27942976202423003</v>
      </c>
      <c r="X570" s="8" t="str">
        <f t="shared" si="89"/>
        <v>Normal</v>
      </c>
    </row>
    <row r="571" spans="1:24" x14ac:dyDescent="0.25">
      <c r="A571" s="6">
        <v>570</v>
      </c>
      <c r="B571" s="7">
        <v>40568</v>
      </c>
      <c r="C571" s="6">
        <v>1</v>
      </c>
      <c r="D571" s="6" t="str">
        <f t="shared" si="80"/>
        <v>january</v>
      </c>
      <c r="E571" s="6">
        <v>22</v>
      </c>
      <c r="F571" s="6" t="str">
        <f t="shared" si="81"/>
        <v>Night</v>
      </c>
      <c r="G571" s="6" t="b">
        <v>0</v>
      </c>
      <c r="H571" s="6">
        <f t="shared" si="82"/>
        <v>0</v>
      </c>
      <c r="I571" s="6">
        <v>2</v>
      </c>
      <c r="J571" s="6" t="str">
        <f t="shared" si="83"/>
        <v>Tuesday</v>
      </c>
      <c r="K571" s="6">
        <f t="shared" si="84"/>
        <v>0</v>
      </c>
      <c r="L571" s="6">
        <v>1</v>
      </c>
      <c r="M571" s="6" t="str">
        <f t="shared" si="85"/>
        <v>Partly cloudy</v>
      </c>
      <c r="N571" s="8">
        <v>0.22</v>
      </c>
      <c r="O571" s="8">
        <v>0.2273</v>
      </c>
      <c r="P571" s="8">
        <v>0.64</v>
      </c>
      <c r="Q571" s="8">
        <v>0.16420000000000001</v>
      </c>
      <c r="R571" s="6">
        <v>4</v>
      </c>
      <c r="S571" s="6">
        <v>49</v>
      </c>
      <c r="T571" s="6">
        <v>53</v>
      </c>
      <c r="U571" s="8">
        <f t="shared" si="86"/>
        <v>-0.1204882520594536</v>
      </c>
      <c r="V571" s="8" t="str">
        <f t="shared" si="87"/>
        <v>Normal</v>
      </c>
      <c r="W571" s="8">
        <f t="shared" si="88"/>
        <v>-9.1514656426227359E-2</v>
      </c>
      <c r="X571" s="8" t="str">
        <f t="shared" si="89"/>
        <v>Normal</v>
      </c>
    </row>
    <row r="572" spans="1:24" x14ac:dyDescent="0.25">
      <c r="A572" s="6">
        <v>571</v>
      </c>
      <c r="B572" s="7">
        <v>40568</v>
      </c>
      <c r="C572" s="6">
        <v>1</v>
      </c>
      <c r="D572" s="6" t="str">
        <f t="shared" si="80"/>
        <v>january</v>
      </c>
      <c r="E572" s="6">
        <v>23</v>
      </c>
      <c r="F572" s="6" t="str">
        <f t="shared" si="81"/>
        <v>Night</v>
      </c>
      <c r="G572" s="6" t="b">
        <v>0</v>
      </c>
      <c r="H572" s="6">
        <f t="shared" si="82"/>
        <v>0</v>
      </c>
      <c r="I572" s="6">
        <v>2</v>
      </c>
      <c r="J572" s="6" t="str">
        <f t="shared" si="83"/>
        <v>Tuesday</v>
      </c>
      <c r="K572" s="6">
        <f t="shared" si="84"/>
        <v>0</v>
      </c>
      <c r="L572" s="6">
        <v>2</v>
      </c>
      <c r="M572" s="6" t="str">
        <f t="shared" si="85"/>
        <v>Cloudy</v>
      </c>
      <c r="N572" s="8">
        <v>0.22</v>
      </c>
      <c r="O572" s="8">
        <v>0.2273</v>
      </c>
      <c r="P572" s="8">
        <v>0.64</v>
      </c>
      <c r="Q572" s="8">
        <v>0.16420000000000001</v>
      </c>
      <c r="R572" s="6">
        <v>3</v>
      </c>
      <c r="S572" s="6">
        <v>37</v>
      </c>
      <c r="T572" s="6">
        <v>40</v>
      </c>
      <c r="U572" s="8">
        <f t="shared" si="86"/>
        <v>-0.25131154419783963</v>
      </c>
      <c r="V572" s="8" t="str">
        <f t="shared" si="87"/>
        <v>Normal</v>
      </c>
      <c r="W572" s="8">
        <f t="shared" si="88"/>
        <v>-0.34206813055689761</v>
      </c>
      <c r="X572" s="8" t="str">
        <f t="shared" si="89"/>
        <v>Normal</v>
      </c>
    </row>
    <row r="573" spans="1:24" x14ac:dyDescent="0.25">
      <c r="A573" s="6">
        <v>572</v>
      </c>
      <c r="B573" s="7">
        <v>40569</v>
      </c>
      <c r="C573" s="6">
        <v>1</v>
      </c>
      <c r="D573" s="6" t="str">
        <f t="shared" si="80"/>
        <v>january</v>
      </c>
      <c r="E573" s="6">
        <v>0</v>
      </c>
      <c r="F573" s="6" t="str">
        <f t="shared" si="81"/>
        <v>Night</v>
      </c>
      <c r="G573" s="6" t="b">
        <v>0</v>
      </c>
      <c r="H573" s="6">
        <f t="shared" si="82"/>
        <v>0</v>
      </c>
      <c r="I573" s="6">
        <v>3</v>
      </c>
      <c r="J573" s="6" t="str">
        <f t="shared" si="83"/>
        <v>Wednesday</v>
      </c>
      <c r="K573" s="6">
        <f t="shared" si="84"/>
        <v>0</v>
      </c>
      <c r="L573" s="6">
        <v>2</v>
      </c>
      <c r="M573" s="6" t="str">
        <f t="shared" si="85"/>
        <v>Cloudy</v>
      </c>
      <c r="N573" s="8">
        <v>0.22</v>
      </c>
      <c r="O573" s="8">
        <v>0.2273</v>
      </c>
      <c r="P573" s="8">
        <v>0.69</v>
      </c>
      <c r="Q573" s="8">
        <v>0.1343</v>
      </c>
      <c r="R573" s="6">
        <v>3</v>
      </c>
      <c r="S573" s="6">
        <v>14</v>
      </c>
      <c r="T573" s="6">
        <v>17</v>
      </c>
      <c r="U573" s="8">
        <f t="shared" si="86"/>
        <v>-0.25131154419783963</v>
      </c>
      <c r="V573" s="8" t="str">
        <f t="shared" si="87"/>
        <v>Normal</v>
      </c>
      <c r="W573" s="8">
        <f t="shared" si="88"/>
        <v>-0.82229562264068223</v>
      </c>
      <c r="X573" s="8" t="str">
        <f t="shared" si="89"/>
        <v>Normal</v>
      </c>
    </row>
    <row r="574" spans="1:24" x14ac:dyDescent="0.25">
      <c r="A574" s="6">
        <v>573</v>
      </c>
      <c r="B574" s="7">
        <v>40569</v>
      </c>
      <c r="C574" s="6">
        <v>1</v>
      </c>
      <c r="D574" s="6" t="str">
        <f t="shared" si="80"/>
        <v>january</v>
      </c>
      <c r="E574" s="6">
        <v>1</v>
      </c>
      <c r="F574" s="6" t="str">
        <f t="shared" si="81"/>
        <v>Night</v>
      </c>
      <c r="G574" s="6" t="b">
        <v>0</v>
      </c>
      <c r="H574" s="6">
        <f t="shared" si="82"/>
        <v>0</v>
      </c>
      <c r="I574" s="6">
        <v>3</v>
      </c>
      <c r="J574" s="6" t="str">
        <f t="shared" si="83"/>
        <v>Wednesday</v>
      </c>
      <c r="K574" s="6">
        <f t="shared" si="84"/>
        <v>0</v>
      </c>
      <c r="L574" s="6">
        <v>2</v>
      </c>
      <c r="M574" s="6" t="str">
        <f t="shared" si="85"/>
        <v>Cloudy</v>
      </c>
      <c r="N574" s="8">
        <v>0.24</v>
      </c>
      <c r="O574" s="8">
        <v>0.2424</v>
      </c>
      <c r="P574" s="8">
        <v>0.65</v>
      </c>
      <c r="Q574" s="8">
        <v>0.1343</v>
      </c>
      <c r="R574" s="6">
        <v>0</v>
      </c>
      <c r="S574" s="6">
        <v>5</v>
      </c>
      <c r="T574" s="6">
        <v>5</v>
      </c>
      <c r="U574" s="8">
        <f t="shared" si="86"/>
        <v>-0.64378142061299781</v>
      </c>
      <c r="V574" s="8" t="str">
        <f t="shared" si="87"/>
        <v>Normal</v>
      </c>
      <c r="W574" s="8">
        <f t="shared" si="88"/>
        <v>-1.010210728238685</v>
      </c>
      <c r="X574" s="8" t="str">
        <f t="shared" si="89"/>
        <v>Normal</v>
      </c>
    </row>
    <row r="575" spans="1:24" x14ac:dyDescent="0.25">
      <c r="A575" s="6">
        <v>574</v>
      </c>
      <c r="B575" s="7">
        <v>40569</v>
      </c>
      <c r="C575" s="6">
        <v>1</v>
      </c>
      <c r="D575" s="6" t="str">
        <f t="shared" si="80"/>
        <v>january</v>
      </c>
      <c r="E575" s="6">
        <v>2</v>
      </c>
      <c r="F575" s="6" t="str">
        <f t="shared" si="81"/>
        <v>Night</v>
      </c>
      <c r="G575" s="6" t="b">
        <v>0</v>
      </c>
      <c r="H575" s="6">
        <f t="shared" si="82"/>
        <v>0</v>
      </c>
      <c r="I575" s="6">
        <v>3</v>
      </c>
      <c r="J575" s="6" t="str">
        <f t="shared" si="83"/>
        <v>Wednesday</v>
      </c>
      <c r="K575" s="6">
        <f t="shared" si="84"/>
        <v>0</v>
      </c>
      <c r="L575" s="6">
        <v>3</v>
      </c>
      <c r="M575" s="6" t="str">
        <f t="shared" si="85"/>
        <v>Light rain</v>
      </c>
      <c r="N575" s="8">
        <v>0.22</v>
      </c>
      <c r="O575" s="8">
        <v>0.2273</v>
      </c>
      <c r="P575" s="8">
        <v>0.69</v>
      </c>
      <c r="Q575" s="8">
        <v>0.19400000000000001</v>
      </c>
      <c r="R575" s="6">
        <v>3</v>
      </c>
      <c r="S575" s="6">
        <v>7</v>
      </c>
      <c r="T575" s="6">
        <v>10</v>
      </c>
      <c r="U575" s="8">
        <f t="shared" si="86"/>
        <v>-0.25131154419783963</v>
      </c>
      <c r="V575" s="8" t="str">
        <f t="shared" si="87"/>
        <v>Normal</v>
      </c>
      <c r="W575" s="8">
        <f t="shared" si="88"/>
        <v>-0.96845181588357321</v>
      </c>
      <c r="X575" s="8" t="str">
        <f t="shared" si="89"/>
        <v>Normal</v>
      </c>
    </row>
    <row r="576" spans="1:24" x14ac:dyDescent="0.25">
      <c r="A576" s="6">
        <v>575</v>
      </c>
      <c r="B576" s="7">
        <v>40569</v>
      </c>
      <c r="C576" s="6">
        <v>1</v>
      </c>
      <c r="D576" s="6" t="str">
        <f t="shared" si="80"/>
        <v>january</v>
      </c>
      <c r="E576" s="6">
        <v>5</v>
      </c>
      <c r="F576" s="6" t="str">
        <f t="shared" si="81"/>
        <v>Early Morning</v>
      </c>
      <c r="G576" s="6" t="b">
        <v>0</v>
      </c>
      <c r="H576" s="6">
        <f t="shared" si="82"/>
        <v>0</v>
      </c>
      <c r="I576" s="6">
        <v>3</v>
      </c>
      <c r="J576" s="6" t="str">
        <f t="shared" si="83"/>
        <v>Wednesday</v>
      </c>
      <c r="K576" s="6">
        <f t="shared" si="84"/>
        <v>0</v>
      </c>
      <c r="L576" s="6">
        <v>3</v>
      </c>
      <c r="M576" s="6" t="str">
        <f t="shared" si="85"/>
        <v>Light rain</v>
      </c>
      <c r="N576" s="8">
        <v>0.2</v>
      </c>
      <c r="O576" s="8">
        <v>0.18179999999999999</v>
      </c>
      <c r="P576" s="8">
        <v>0.86</v>
      </c>
      <c r="Q576" s="8">
        <v>0.28360000000000002</v>
      </c>
      <c r="R576" s="6">
        <v>0</v>
      </c>
      <c r="S576" s="6">
        <v>1</v>
      </c>
      <c r="T576" s="6">
        <v>1</v>
      </c>
      <c r="U576" s="8">
        <f t="shared" si="86"/>
        <v>-0.64378142061299781</v>
      </c>
      <c r="V576" s="8" t="str">
        <f t="shared" si="87"/>
        <v>Normal</v>
      </c>
      <c r="W576" s="8">
        <f t="shared" si="88"/>
        <v>-1.0937285529489083</v>
      </c>
      <c r="X576" s="8" t="str">
        <f t="shared" si="89"/>
        <v>Normal</v>
      </c>
    </row>
    <row r="577" spans="1:24" x14ac:dyDescent="0.25">
      <c r="A577" s="6">
        <v>576</v>
      </c>
      <c r="B577" s="7">
        <v>40569</v>
      </c>
      <c r="C577" s="6">
        <v>1</v>
      </c>
      <c r="D577" s="6" t="str">
        <f t="shared" si="80"/>
        <v>january</v>
      </c>
      <c r="E577" s="6">
        <v>6</v>
      </c>
      <c r="F577" s="6" t="str">
        <f t="shared" si="81"/>
        <v>Early Morning</v>
      </c>
      <c r="G577" s="6" t="b">
        <v>0</v>
      </c>
      <c r="H577" s="6">
        <f t="shared" si="82"/>
        <v>0</v>
      </c>
      <c r="I577" s="6">
        <v>3</v>
      </c>
      <c r="J577" s="6" t="str">
        <f t="shared" si="83"/>
        <v>Wednesday</v>
      </c>
      <c r="K577" s="6">
        <f t="shared" si="84"/>
        <v>0</v>
      </c>
      <c r="L577" s="6">
        <v>3</v>
      </c>
      <c r="M577" s="6" t="str">
        <f t="shared" si="85"/>
        <v>Light rain</v>
      </c>
      <c r="N577" s="8">
        <v>0.2</v>
      </c>
      <c r="O577" s="8">
        <v>0.18179999999999999</v>
      </c>
      <c r="P577" s="8">
        <v>0.86</v>
      </c>
      <c r="Q577" s="8">
        <v>0.28360000000000002</v>
      </c>
      <c r="R577" s="6">
        <v>0</v>
      </c>
      <c r="S577" s="6">
        <v>8</v>
      </c>
      <c r="T577" s="6">
        <v>8</v>
      </c>
      <c r="U577" s="8">
        <f t="shared" si="86"/>
        <v>-0.64378142061299781</v>
      </c>
      <c r="V577" s="8" t="str">
        <f t="shared" si="87"/>
        <v>Normal</v>
      </c>
      <c r="W577" s="8">
        <f t="shared" si="88"/>
        <v>-0.94757235970601739</v>
      </c>
      <c r="X577" s="8" t="str">
        <f t="shared" si="89"/>
        <v>Normal</v>
      </c>
    </row>
    <row r="578" spans="1:24" x14ac:dyDescent="0.25">
      <c r="A578" s="6">
        <v>577</v>
      </c>
      <c r="B578" s="7">
        <v>40569</v>
      </c>
      <c r="C578" s="6">
        <v>1</v>
      </c>
      <c r="D578" s="6" t="str">
        <f t="shared" ref="D578:D641" si="90">IF(C578=1,"january",IF(C578=2,"february"))</f>
        <v>january</v>
      </c>
      <c r="E578" s="6">
        <v>7</v>
      </c>
      <c r="F578" s="6" t="str">
        <f t="shared" ref="F578:F641" si="91">IF(AND(E578&gt;=5,E578&lt;8),"Early Morning", IF(AND(E578&gt;=8,E578&lt;12),"Morning", IF(AND(E578&gt;=12,E578&lt;17),"Afternoon", IF(AND(E578&gt;=17,E578&lt;21),"Evening","Night"))))</f>
        <v>Early Morning</v>
      </c>
      <c r="G578" s="6" t="b">
        <v>0</v>
      </c>
      <c r="H578" s="6">
        <f t="shared" ref="H578:H641" si="92">IF(G578=FALSE,0,IF(G578=TRUE,1))</f>
        <v>0</v>
      </c>
      <c r="I578" s="6">
        <v>3</v>
      </c>
      <c r="J578" s="6" t="str">
        <f t="shared" ref="J578:J641" si="93">TEXT(B578,"dddd")</f>
        <v>Wednesday</v>
      </c>
      <c r="K578" s="6">
        <f t="shared" ref="K578:K641" si="94">IF(OR(J578="Saturday",J578="Sunday"),1,0)</f>
        <v>0</v>
      </c>
      <c r="L578" s="6">
        <v>3</v>
      </c>
      <c r="M578" s="6" t="str">
        <f t="shared" ref="M578:M641" si="95">IF(L578=0,"clear sky",IF(L578=1,"Partly cloudy",IF(L578=2,"Cloudy",IF(L578=3,"Light rain",IF(L578=4,"Heavy rain")))))</f>
        <v>Light rain</v>
      </c>
      <c r="N578" s="8">
        <v>0.22</v>
      </c>
      <c r="O578" s="8">
        <v>0.21210000000000001</v>
      </c>
      <c r="P578" s="8">
        <v>0.87</v>
      </c>
      <c r="Q578" s="8">
        <v>0.29849999999999999</v>
      </c>
      <c r="R578" s="6">
        <v>1</v>
      </c>
      <c r="S578" s="6">
        <v>29</v>
      </c>
      <c r="T578" s="6">
        <v>30</v>
      </c>
      <c r="U578" s="8">
        <f t="shared" ref="U578:U641" si="96">(R578-$AA$7)/$AA$9</f>
        <v>-0.51295812847461175</v>
      </c>
      <c r="V578" s="8" t="str">
        <f t="shared" ref="V578:V641" si="97">IF(ABS(U578)&gt;2,"Peak","Normal")</f>
        <v>Normal</v>
      </c>
      <c r="W578" s="8">
        <f t="shared" ref="W578:W641" si="98">(S578-$AA$11)/$AA$13</f>
        <v>-0.50910377997734446</v>
      </c>
      <c r="X578" s="8" t="str">
        <f t="shared" ref="X578:X641" si="99">IF(ABS(W578)&gt;2,"Peak","Normal")</f>
        <v>Normal</v>
      </c>
    </row>
    <row r="579" spans="1:24" x14ac:dyDescent="0.25">
      <c r="A579" s="6">
        <v>578</v>
      </c>
      <c r="B579" s="7">
        <v>40569</v>
      </c>
      <c r="C579" s="6">
        <v>1</v>
      </c>
      <c r="D579" s="6" t="str">
        <f t="shared" si="90"/>
        <v>january</v>
      </c>
      <c r="E579" s="6">
        <v>8</v>
      </c>
      <c r="F579" s="6" t="str">
        <f t="shared" si="91"/>
        <v>Morning</v>
      </c>
      <c r="G579" s="6" t="b">
        <v>0</v>
      </c>
      <c r="H579" s="6">
        <f t="shared" si="92"/>
        <v>0</v>
      </c>
      <c r="I579" s="6">
        <v>3</v>
      </c>
      <c r="J579" s="6" t="str">
        <f t="shared" si="93"/>
        <v>Wednesday</v>
      </c>
      <c r="K579" s="6">
        <f t="shared" si="94"/>
        <v>0</v>
      </c>
      <c r="L579" s="6">
        <v>3</v>
      </c>
      <c r="M579" s="6" t="str">
        <f t="shared" si="95"/>
        <v>Light rain</v>
      </c>
      <c r="N579" s="8">
        <v>0.22</v>
      </c>
      <c r="O579" s="8">
        <v>0.21210000000000001</v>
      </c>
      <c r="P579" s="8">
        <v>0.87</v>
      </c>
      <c r="Q579" s="8">
        <v>0.29849999999999999</v>
      </c>
      <c r="R579" s="6">
        <v>3</v>
      </c>
      <c r="S579" s="6">
        <v>69</v>
      </c>
      <c r="T579" s="6">
        <v>72</v>
      </c>
      <c r="U579" s="8">
        <f t="shared" si="96"/>
        <v>-0.25131154419783963</v>
      </c>
      <c r="V579" s="8" t="str">
        <f t="shared" si="97"/>
        <v>Normal</v>
      </c>
      <c r="W579" s="8">
        <f t="shared" si="98"/>
        <v>0.32607446712488969</v>
      </c>
      <c r="X579" s="8" t="str">
        <f t="shared" si="99"/>
        <v>Normal</v>
      </c>
    </row>
    <row r="580" spans="1:24" x14ac:dyDescent="0.25">
      <c r="A580" s="6">
        <v>579</v>
      </c>
      <c r="B580" s="7">
        <v>40569</v>
      </c>
      <c r="C580" s="6">
        <v>1</v>
      </c>
      <c r="D580" s="6" t="str">
        <f t="shared" si="90"/>
        <v>january</v>
      </c>
      <c r="E580" s="6">
        <v>9</v>
      </c>
      <c r="F580" s="6" t="str">
        <f t="shared" si="91"/>
        <v>Morning</v>
      </c>
      <c r="G580" s="6" t="b">
        <v>0</v>
      </c>
      <c r="H580" s="6">
        <f t="shared" si="92"/>
        <v>0</v>
      </c>
      <c r="I580" s="6">
        <v>3</v>
      </c>
      <c r="J580" s="6" t="str">
        <f t="shared" si="93"/>
        <v>Wednesday</v>
      </c>
      <c r="K580" s="6">
        <f t="shared" si="94"/>
        <v>0</v>
      </c>
      <c r="L580" s="6">
        <v>3</v>
      </c>
      <c r="M580" s="6" t="str">
        <f t="shared" si="95"/>
        <v>Light rain</v>
      </c>
      <c r="N580" s="8">
        <v>0.22</v>
      </c>
      <c r="O580" s="8">
        <v>0.21210000000000001</v>
      </c>
      <c r="P580" s="8">
        <v>0.87</v>
      </c>
      <c r="Q580" s="8">
        <v>0.29849999999999999</v>
      </c>
      <c r="R580" s="6">
        <v>3</v>
      </c>
      <c r="S580" s="6">
        <v>55</v>
      </c>
      <c r="T580" s="6">
        <v>58</v>
      </c>
      <c r="U580" s="8">
        <f t="shared" si="96"/>
        <v>-0.25131154419783963</v>
      </c>
      <c r="V580" s="8" t="str">
        <f t="shared" si="97"/>
        <v>Normal</v>
      </c>
      <c r="W580" s="8">
        <f t="shared" si="98"/>
        <v>3.376208063910776E-2</v>
      </c>
      <c r="X580" s="8" t="str">
        <f t="shared" si="99"/>
        <v>Normal</v>
      </c>
    </row>
    <row r="581" spans="1:24" x14ac:dyDescent="0.25">
      <c r="A581" s="6">
        <v>580</v>
      </c>
      <c r="B581" s="7">
        <v>40569</v>
      </c>
      <c r="C581" s="6">
        <v>1</v>
      </c>
      <c r="D581" s="6" t="str">
        <f t="shared" si="90"/>
        <v>january</v>
      </c>
      <c r="E581" s="6">
        <v>10</v>
      </c>
      <c r="F581" s="6" t="str">
        <f t="shared" si="91"/>
        <v>Morning</v>
      </c>
      <c r="G581" s="6" t="b">
        <v>0</v>
      </c>
      <c r="H581" s="6">
        <f t="shared" si="92"/>
        <v>0</v>
      </c>
      <c r="I581" s="6">
        <v>3</v>
      </c>
      <c r="J581" s="6" t="str">
        <f t="shared" si="93"/>
        <v>Wednesday</v>
      </c>
      <c r="K581" s="6">
        <f t="shared" si="94"/>
        <v>0</v>
      </c>
      <c r="L581" s="6">
        <v>3</v>
      </c>
      <c r="M581" s="6" t="str">
        <f t="shared" si="95"/>
        <v>Light rain</v>
      </c>
      <c r="N581" s="8">
        <v>0.22</v>
      </c>
      <c r="O581" s="8">
        <v>0.21210000000000001</v>
      </c>
      <c r="P581" s="8">
        <v>0.93</v>
      </c>
      <c r="Q581" s="8">
        <v>0.28360000000000002</v>
      </c>
      <c r="R581" s="6">
        <v>2</v>
      </c>
      <c r="S581" s="6">
        <v>26</v>
      </c>
      <c r="T581" s="6">
        <v>28</v>
      </c>
      <c r="U581" s="8">
        <f t="shared" si="96"/>
        <v>-0.38213483633622569</v>
      </c>
      <c r="V581" s="8" t="str">
        <f t="shared" si="97"/>
        <v>Normal</v>
      </c>
      <c r="W581" s="8">
        <f t="shared" si="98"/>
        <v>-0.57174214851001204</v>
      </c>
      <c r="X581" s="8" t="str">
        <f t="shared" si="99"/>
        <v>Normal</v>
      </c>
    </row>
    <row r="582" spans="1:24" x14ac:dyDescent="0.25">
      <c r="A582" s="6">
        <v>581</v>
      </c>
      <c r="B582" s="7">
        <v>40569</v>
      </c>
      <c r="C582" s="6">
        <v>1</v>
      </c>
      <c r="D582" s="6" t="str">
        <f t="shared" si="90"/>
        <v>january</v>
      </c>
      <c r="E582" s="6">
        <v>11</v>
      </c>
      <c r="F582" s="6" t="str">
        <f t="shared" si="91"/>
        <v>Morning</v>
      </c>
      <c r="G582" s="6" t="b">
        <v>0</v>
      </c>
      <c r="H582" s="6">
        <f t="shared" si="92"/>
        <v>0</v>
      </c>
      <c r="I582" s="6">
        <v>3</v>
      </c>
      <c r="J582" s="6" t="str">
        <f t="shared" si="93"/>
        <v>Wednesday</v>
      </c>
      <c r="K582" s="6">
        <f t="shared" si="94"/>
        <v>0</v>
      </c>
      <c r="L582" s="6">
        <v>3</v>
      </c>
      <c r="M582" s="6" t="str">
        <f t="shared" si="95"/>
        <v>Light rain</v>
      </c>
      <c r="N582" s="8">
        <v>0.22</v>
      </c>
      <c r="O582" s="8">
        <v>0.19700000000000001</v>
      </c>
      <c r="P582" s="8">
        <v>0.93</v>
      </c>
      <c r="Q582" s="8">
        <v>0.32840000000000003</v>
      </c>
      <c r="R582" s="6">
        <v>6</v>
      </c>
      <c r="S582" s="6">
        <v>35</v>
      </c>
      <c r="T582" s="6">
        <v>41</v>
      </c>
      <c r="U582" s="8">
        <f t="shared" si="96"/>
        <v>0.14115833221731852</v>
      </c>
      <c r="V582" s="8" t="str">
        <f t="shared" si="97"/>
        <v>Normal</v>
      </c>
      <c r="W582" s="8">
        <f t="shared" si="98"/>
        <v>-0.38382704291200931</v>
      </c>
      <c r="X582" s="8" t="str">
        <f t="shared" si="99"/>
        <v>Normal</v>
      </c>
    </row>
    <row r="583" spans="1:24" x14ac:dyDescent="0.25">
      <c r="A583" s="6">
        <v>582</v>
      </c>
      <c r="B583" s="7">
        <v>40569</v>
      </c>
      <c r="C583" s="6">
        <v>1</v>
      </c>
      <c r="D583" s="6" t="str">
        <f t="shared" si="90"/>
        <v>january</v>
      </c>
      <c r="E583" s="6">
        <v>12</v>
      </c>
      <c r="F583" s="6" t="str">
        <f t="shared" si="91"/>
        <v>Afternoon</v>
      </c>
      <c r="G583" s="6" t="b">
        <v>0</v>
      </c>
      <c r="H583" s="6">
        <f t="shared" si="92"/>
        <v>0</v>
      </c>
      <c r="I583" s="6">
        <v>3</v>
      </c>
      <c r="J583" s="6" t="str">
        <f t="shared" si="93"/>
        <v>Wednesday</v>
      </c>
      <c r="K583" s="6">
        <f t="shared" si="94"/>
        <v>0</v>
      </c>
      <c r="L583" s="6">
        <v>3</v>
      </c>
      <c r="M583" s="6" t="str">
        <f t="shared" si="95"/>
        <v>Light rain</v>
      </c>
      <c r="N583" s="8">
        <v>0.22</v>
      </c>
      <c r="O583" s="8">
        <v>0.19700000000000001</v>
      </c>
      <c r="P583" s="8">
        <v>0.93</v>
      </c>
      <c r="Q583" s="8">
        <v>0.32840000000000003</v>
      </c>
      <c r="R583" s="6">
        <v>7</v>
      </c>
      <c r="S583" s="6">
        <v>41</v>
      </c>
      <c r="T583" s="6">
        <v>48</v>
      </c>
      <c r="U583" s="8">
        <f t="shared" si="96"/>
        <v>0.27198162435570455</v>
      </c>
      <c r="V583" s="8" t="str">
        <f t="shared" si="97"/>
        <v>Normal</v>
      </c>
      <c r="W583" s="8">
        <f t="shared" si="98"/>
        <v>-0.25855030584667421</v>
      </c>
      <c r="X583" s="8" t="str">
        <f t="shared" si="99"/>
        <v>Normal</v>
      </c>
    </row>
    <row r="584" spans="1:24" x14ac:dyDescent="0.25">
      <c r="A584" s="6">
        <v>583</v>
      </c>
      <c r="B584" s="7">
        <v>40569</v>
      </c>
      <c r="C584" s="6">
        <v>1</v>
      </c>
      <c r="D584" s="6" t="str">
        <f t="shared" si="90"/>
        <v>january</v>
      </c>
      <c r="E584" s="6">
        <v>13</v>
      </c>
      <c r="F584" s="6" t="str">
        <f t="shared" si="91"/>
        <v>Afternoon</v>
      </c>
      <c r="G584" s="6" t="b">
        <v>0</v>
      </c>
      <c r="H584" s="6">
        <f t="shared" si="92"/>
        <v>0</v>
      </c>
      <c r="I584" s="6">
        <v>3</v>
      </c>
      <c r="J584" s="6" t="str">
        <f t="shared" si="93"/>
        <v>Wednesday</v>
      </c>
      <c r="K584" s="6">
        <f t="shared" si="94"/>
        <v>0</v>
      </c>
      <c r="L584" s="6">
        <v>3</v>
      </c>
      <c r="M584" s="6" t="str">
        <f t="shared" si="95"/>
        <v>Light rain</v>
      </c>
      <c r="N584" s="8">
        <v>0.22</v>
      </c>
      <c r="O584" s="8">
        <v>0.19700000000000001</v>
      </c>
      <c r="P584" s="8">
        <v>0.93</v>
      </c>
      <c r="Q584" s="8">
        <v>0.32840000000000003</v>
      </c>
      <c r="R584" s="6">
        <v>4</v>
      </c>
      <c r="S584" s="6">
        <v>43</v>
      </c>
      <c r="T584" s="6">
        <v>47</v>
      </c>
      <c r="U584" s="8">
        <f t="shared" si="96"/>
        <v>-0.1204882520594536</v>
      </c>
      <c r="V584" s="8" t="str">
        <f t="shared" si="97"/>
        <v>Normal</v>
      </c>
      <c r="W584" s="8">
        <f t="shared" si="98"/>
        <v>-0.21679139349156248</v>
      </c>
      <c r="X584" s="8" t="str">
        <f t="shared" si="99"/>
        <v>Normal</v>
      </c>
    </row>
    <row r="585" spans="1:24" x14ac:dyDescent="0.25">
      <c r="A585" s="6">
        <v>584</v>
      </c>
      <c r="B585" s="7">
        <v>40569</v>
      </c>
      <c r="C585" s="6">
        <v>1</v>
      </c>
      <c r="D585" s="6" t="str">
        <f t="shared" si="90"/>
        <v>january</v>
      </c>
      <c r="E585" s="6">
        <v>14</v>
      </c>
      <c r="F585" s="6" t="str">
        <f t="shared" si="91"/>
        <v>Afternoon</v>
      </c>
      <c r="G585" s="6" t="b">
        <v>0</v>
      </c>
      <c r="H585" s="6">
        <f t="shared" si="92"/>
        <v>0</v>
      </c>
      <c r="I585" s="6">
        <v>3</v>
      </c>
      <c r="J585" s="6" t="str">
        <f t="shared" si="93"/>
        <v>Wednesday</v>
      </c>
      <c r="K585" s="6">
        <f t="shared" si="94"/>
        <v>0</v>
      </c>
      <c r="L585" s="6">
        <v>3</v>
      </c>
      <c r="M585" s="6" t="str">
        <f t="shared" si="95"/>
        <v>Light rain</v>
      </c>
      <c r="N585" s="8">
        <v>0.22</v>
      </c>
      <c r="O585" s="8">
        <v>0.19700000000000001</v>
      </c>
      <c r="P585" s="8">
        <v>0.93</v>
      </c>
      <c r="Q585" s="8">
        <v>0.35820000000000002</v>
      </c>
      <c r="R585" s="6">
        <v>0</v>
      </c>
      <c r="S585" s="6">
        <v>36</v>
      </c>
      <c r="T585" s="6">
        <v>36</v>
      </c>
      <c r="U585" s="8">
        <f t="shared" si="96"/>
        <v>-0.64378142061299781</v>
      </c>
      <c r="V585" s="8" t="str">
        <f t="shared" si="97"/>
        <v>Normal</v>
      </c>
      <c r="W585" s="8">
        <f t="shared" si="98"/>
        <v>-0.36294758673445349</v>
      </c>
      <c r="X585" s="8" t="str">
        <f t="shared" si="99"/>
        <v>Normal</v>
      </c>
    </row>
    <row r="586" spans="1:24" x14ac:dyDescent="0.25">
      <c r="A586" s="6">
        <v>585</v>
      </c>
      <c r="B586" s="7">
        <v>40569</v>
      </c>
      <c r="C586" s="6">
        <v>1</v>
      </c>
      <c r="D586" s="6" t="str">
        <f t="shared" si="90"/>
        <v>january</v>
      </c>
      <c r="E586" s="6">
        <v>15</v>
      </c>
      <c r="F586" s="6" t="str">
        <f t="shared" si="91"/>
        <v>Afternoon</v>
      </c>
      <c r="G586" s="6" t="b">
        <v>0</v>
      </c>
      <c r="H586" s="6">
        <f t="shared" si="92"/>
        <v>0</v>
      </c>
      <c r="I586" s="6">
        <v>3</v>
      </c>
      <c r="J586" s="6" t="str">
        <f t="shared" si="93"/>
        <v>Wednesday</v>
      </c>
      <c r="K586" s="6">
        <f t="shared" si="94"/>
        <v>0</v>
      </c>
      <c r="L586" s="6">
        <v>3</v>
      </c>
      <c r="M586" s="6" t="str">
        <f t="shared" si="95"/>
        <v>Light rain</v>
      </c>
      <c r="N586" s="8">
        <v>0.22</v>
      </c>
      <c r="O586" s="8">
        <v>0.18179999999999999</v>
      </c>
      <c r="P586" s="8">
        <v>0.93</v>
      </c>
      <c r="Q586" s="8">
        <v>0.4627</v>
      </c>
      <c r="R586" s="6">
        <v>1</v>
      </c>
      <c r="S586" s="6">
        <v>42</v>
      </c>
      <c r="T586" s="6">
        <v>43</v>
      </c>
      <c r="U586" s="8">
        <f t="shared" si="96"/>
        <v>-0.51295812847461175</v>
      </c>
      <c r="V586" s="8" t="str">
        <f t="shared" si="97"/>
        <v>Normal</v>
      </c>
      <c r="W586" s="8">
        <f t="shared" si="98"/>
        <v>-0.23767084966911833</v>
      </c>
      <c r="X586" s="8" t="str">
        <f t="shared" si="99"/>
        <v>Normal</v>
      </c>
    </row>
    <row r="587" spans="1:24" x14ac:dyDescent="0.25">
      <c r="A587" s="6">
        <v>586</v>
      </c>
      <c r="B587" s="7">
        <v>40569</v>
      </c>
      <c r="C587" s="6">
        <v>1</v>
      </c>
      <c r="D587" s="6" t="str">
        <f t="shared" si="90"/>
        <v>january</v>
      </c>
      <c r="E587" s="6">
        <v>16</v>
      </c>
      <c r="F587" s="6" t="str">
        <f t="shared" si="91"/>
        <v>Afternoon</v>
      </c>
      <c r="G587" s="6" t="b">
        <v>0</v>
      </c>
      <c r="H587" s="6">
        <f t="shared" si="92"/>
        <v>0</v>
      </c>
      <c r="I587" s="6">
        <v>3</v>
      </c>
      <c r="J587" s="6" t="str">
        <f t="shared" si="93"/>
        <v>Wednesday</v>
      </c>
      <c r="K587" s="6">
        <f t="shared" si="94"/>
        <v>0</v>
      </c>
      <c r="L587" s="6">
        <v>4</v>
      </c>
      <c r="M587" s="6" t="str">
        <f t="shared" si="95"/>
        <v>Heavy rain</v>
      </c>
      <c r="N587" s="8">
        <v>0.22</v>
      </c>
      <c r="O587" s="8">
        <v>0.19700000000000001</v>
      </c>
      <c r="P587" s="8">
        <v>0.93</v>
      </c>
      <c r="Q587" s="8">
        <v>0.32840000000000003</v>
      </c>
      <c r="R587" s="6">
        <v>1</v>
      </c>
      <c r="S587" s="6">
        <v>35</v>
      </c>
      <c r="T587" s="6">
        <v>36</v>
      </c>
      <c r="U587" s="8">
        <f t="shared" si="96"/>
        <v>-0.51295812847461175</v>
      </c>
      <c r="V587" s="8" t="str">
        <f t="shared" si="97"/>
        <v>Normal</v>
      </c>
      <c r="W587" s="8">
        <f t="shared" si="98"/>
        <v>-0.38382704291200931</v>
      </c>
      <c r="X587" s="8" t="str">
        <f t="shared" si="99"/>
        <v>Normal</v>
      </c>
    </row>
    <row r="588" spans="1:24" x14ac:dyDescent="0.25">
      <c r="A588" s="6">
        <v>587</v>
      </c>
      <c r="B588" s="7">
        <v>40569</v>
      </c>
      <c r="C588" s="6">
        <v>1</v>
      </c>
      <c r="D588" s="6" t="str">
        <f t="shared" si="90"/>
        <v>january</v>
      </c>
      <c r="E588" s="6">
        <v>17</v>
      </c>
      <c r="F588" s="6" t="str">
        <f t="shared" si="91"/>
        <v>Evening</v>
      </c>
      <c r="G588" s="6" t="b">
        <v>0</v>
      </c>
      <c r="H588" s="6">
        <f t="shared" si="92"/>
        <v>0</v>
      </c>
      <c r="I588" s="6">
        <v>3</v>
      </c>
      <c r="J588" s="6" t="str">
        <f t="shared" si="93"/>
        <v>Wednesday</v>
      </c>
      <c r="K588" s="6">
        <f t="shared" si="94"/>
        <v>0</v>
      </c>
      <c r="L588" s="6">
        <v>3</v>
      </c>
      <c r="M588" s="6" t="str">
        <f t="shared" si="95"/>
        <v>Light rain</v>
      </c>
      <c r="N588" s="8">
        <v>0.2</v>
      </c>
      <c r="O588" s="8">
        <v>0.18179999999999999</v>
      </c>
      <c r="P588" s="8">
        <v>0.93</v>
      </c>
      <c r="Q588" s="8">
        <v>0.35820000000000002</v>
      </c>
      <c r="R588" s="6">
        <v>0</v>
      </c>
      <c r="S588" s="6">
        <v>26</v>
      </c>
      <c r="T588" s="6">
        <v>26</v>
      </c>
      <c r="U588" s="8">
        <f t="shared" si="96"/>
        <v>-0.64378142061299781</v>
      </c>
      <c r="V588" s="8" t="str">
        <f t="shared" si="97"/>
        <v>Normal</v>
      </c>
      <c r="W588" s="8">
        <f t="shared" si="98"/>
        <v>-0.57174214851001204</v>
      </c>
      <c r="X588" s="8" t="str">
        <f t="shared" si="99"/>
        <v>Normal</v>
      </c>
    </row>
    <row r="589" spans="1:24" x14ac:dyDescent="0.25">
      <c r="A589" s="6">
        <v>588</v>
      </c>
      <c r="B589" s="7">
        <v>40570</v>
      </c>
      <c r="C589" s="6">
        <v>1</v>
      </c>
      <c r="D589" s="6" t="str">
        <f t="shared" si="90"/>
        <v>january</v>
      </c>
      <c r="E589" s="6">
        <v>16</v>
      </c>
      <c r="F589" s="6" t="str">
        <f t="shared" si="91"/>
        <v>Afternoon</v>
      </c>
      <c r="G589" s="6" t="b">
        <v>0</v>
      </c>
      <c r="H589" s="6">
        <f t="shared" si="92"/>
        <v>0</v>
      </c>
      <c r="I589" s="6">
        <v>4</v>
      </c>
      <c r="J589" s="6" t="str">
        <f t="shared" si="93"/>
        <v>Thursday</v>
      </c>
      <c r="K589" s="6">
        <f t="shared" si="94"/>
        <v>0</v>
      </c>
      <c r="L589" s="6">
        <v>1</v>
      </c>
      <c r="M589" s="6" t="str">
        <f t="shared" si="95"/>
        <v>Partly cloudy</v>
      </c>
      <c r="N589" s="8">
        <v>0.22</v>
      </c>
      <c r="O589" s="8">
        <v>0.2273</v>
      </c>
      <c r="P589" s="8">
        <v>0.55000000000000004</v>
      </c>
      <c r="Q589" s="8">
        <v>0.19400000000000001</v>
      </c>
      <c r="R589" s="6">
        <v>1</v>
      </c>
      <c r="S589" s="6">
        <v>23</v>
      </c>
      <c r="T589" s="6">
        <v>24</v>
      </c>
      <c r="U589" s="8">
        <f t="shared" si="96"/>
        <v>-0.51295812847461175</v>
      </c>
      <c r="V589" s="8" t="str">
        <f t="shared" si="97"/>
        <v>Normal</v>
      </c>
      <c r="W589" s="8">
        <f t="shared" si="98"/>
        <v>-0.63438051704267961</v>
      </c>
      <c r="X589" s="8" t="str">
        <f t="shared" si="99"/>
        <v>Normal</v>
      </c>
    </row>
    <row r="590" spans="1:24" x14ac:dyDescent="0.25">
      <c r="A590" s="6">
        <v>589</v>
      </c>
      <c r="B590" s="7">
        <v>40570</v>
      </c>
      <c r="C590" s="6">
        <v>1</v>
      </c>
      <c r="D590" s="6" t="str">
        <f t="shared" si="90"/>
        <v>january</v>
      </c>
      <c r="E590" s="6">
        <v>17</v>
      </c>
      <c r="F590" s="6" t="str">
        <f t="shared" si="91"/>
        <v>Evening</v>
      </c>
      <c r="G590" s="6" t="b">
        <v>0</v>
      </c>
      <c r="H590" s="6">
        <f t="shared" si="92"/>
        <v>0</v>
      </c>
      <c r="I590" s="6">
        <v>4</v>
      </c>
      <c r="J590" s="6" t="str">
        <f t="shared" si="93"/>
        <v>Thursday</v>
      </c>
      <c r="K590" s="6">
        <f t="shared" si="94"/>
        <v>0</v>
      </c>
      <c r="L590" s="6">
        <v>1</v>
      </c>
      <c r="M590" s="6" t="str">
        <f t="shared" si="95"/>
        <v>Partly cloudy</v>
      </c>
      <c r="N590" s="8">
        <v>0.22</v>
      </c>
      <c r="O590" s="8">
        <v>0.2424</v>
      </c>
      <c r="P590" s="8">
        <v>0.55000000000000004</v>
      </c>
      <c r="Q590" s="8">
        <v>0.1045</v>
      </c>
      <c r="R590" s="6">
        <v>2</v>
      </c>
      <c r="S590" s="6">
        <v>82</v>
      </c>
      <c r="T590" s="6">
        <v>84</v>
      </c>
      <c r="U590" s="8">
        <f t="shared" si="96"/>
        <v>-0.38213483633622569</v>
      </c>
      <c r="V590" s="8" t="str">
        <f t="shared" si="97"/>
        <v>Normal</v>
      </c>
      <c r="W590" s="8">
        <f t="shared" si="98"/>
        <v>0.59750739743311576</v>
      </c>
      <c r="X590" s="8" t="str">
        <f t="shared" si="99"/>
        <v>Normal</v>
      </c>
    </row>
    <row r="591" spans="1:24" x14ac:dyDescent="0.25">
      <c r="A591" s="6">
        <v>590</v>
      </c>
      <c r="B591" s="7">
        <v>40570</v>
      </c>
      <c r="C591" s="6">
        <v>1</v>
      </c>
      <c r="D591" s="6" t="str">
        <f t="shared" si="90"/>
        <v>january</v>
      </c>
      <c r="E591" s="6">
        <v>18</v>
      </c>
      <c r="F591" s="6" t="str">
        <f t="shared" si="91"/>
        <v>Evening</v>
      </c>
      <c r="G591" s="6" t="b">
        <v>0</v>
      </c>
      <c r="H591" s="6">
        <f t="shared" si="92"/>
        <v>0</v>
      </c>
      <c r="I591" s="6">
        <v>4</v>
      </c>
      <c r="J591" s="6" t="str">
        <f t="shared" si="93"/>
        <v>Thursday</v>
      </c>
      <c r="K591" s="6">
        <f t="shared" si="94"/>
        <v>0</v>
      </c>
      <c r="L591" s="6">
        <v>1</v>
      </c>
      <c r="M591" s="6" t="str">
        <f t="shared" si="95"/>
        <v>Partly cloudy</v>
      </c>
      <c r="N591" s="8">
        <v>0.2</v>
      </c>
      <c r="O591" s="8">
        <v>0.2273</v>
      </c>
      <c r="P591" s="8">
        <v>0.69</v>
      </c>
      <c r="Q591" s="8">
        <v>8.9599999999999999E-2</v>
      </c>
      <c r="R591" s="6">
        <v>3</v>
      </c>
      <c r="S591" s="6">
        <v>101</v>
      </c>
      <c r="T591" s="6">
        <v>104</v>
      </c>
      <c r="U591" s="8">
        <f t="shared" si="96"/>
        <v>-0.25131154419783963</v>
      </c>
      <c r="V591" s="8" t="str">
        <f t="shared" si="97"/>
        <v>Normal</v>
      </c>
      <c r="W591" s="8">
        <f t="shared" si="98"/>
        <v>0.99421706480667704</v>
      </c>
      <c r="X591" s="8" t="str">
        <f t="shared" si="99"/>
        <v>Normal</v>
      </c>
    </row>
    <row r="592" spans="1:24" x14ac:dyDescent="0.25">
      <c r="A592" s="6">
        <v>591</v>
      </c>
      <c r="B592" s="7">
        <v>40570</v>
      </c>
      <c r="C592" s="6">
        <v>1</v>
      </c>
      <c r="D592" s="6" t="str">
        <f t="shared" si="90"/>
        <v>january</v>
      </c>
      <c r="E592" s="6">
        <v>19</v>
      </c>
      <c r="F592" s="6" t="str">
        <f t="shared" si="91"/>
        <v>Evening</v>
      </c>
      <c r="G592" s="6" t="b">
        <v>0</v>
      </c>
      <c r="H592" s="6">
        <f t="shared" si="92"/>
        <v>0</v>
      </c>
      <c r="I592" s="6">
        <v>4</v>
      </c>
      <c r="J592" s="6" t="str">
        <f t="shared" si="93"/>
        <v>Thursday</v>
      </c>
      <c r="K592" s="6">
        <f t="shared" si="94"/>
        <v>0</v>
      </c>
      <c r="L592" s="6">
        <v>1</v>
      </c>
      <c r="M592" s="6" t="str">
        <f t="shared" si="95"/>
        <v>Partly cloudy</v>
      </c>
      <c r="N592" s="8">
        <v>0.2</v>
      </c>
      <c r="O592" s="8">
        <v>0.2273</v>
      </c>
      <c r="P592" s="8">
        <v>0.69</v>
      </c>
      <c r="Q592" s="8">
        <v>8.9599999999999999E-2</v>
      </c>
      <c r="R592" s="6">
        <v>3</v>
      </c>
      <c r="S592" s="6">
        <v>76</v>
      </c>
      <c r="T592" s="6">
        <v>79</v>
      </c>
      <c r="U592" s="8">
        <f t="shared" si="96"/>
        <v>-0.25131154419783963</v>
      </c>
      <c r="V592" s="8" t="str">
        <f t="shared" si="97"/>
        <v>Normal</v>
      </c>
      <c r="W592" s="8">
        <f t="shared" si="98"/>
        <v>0.47223066036778072</v>
      </c>
      <c r="X592" s="8" t="str">
        <f t="shared" si="99"/>
        <v>Normal</v>
      </c>
    </row>
    <row r="593" spans="1:24" x14ac:dyDescent="0.25">
      <c r="A593" s="6">
        <v>592</v>
      </c>
      <c r="B593" s="7">
        <v>40570</v>
      </c>
      <c r="C593" s="6">
        <v>1</v>
      </c>
      <c r="D593" s="6" t="str">
        <f t="shared" si="90"/>
        <v>january</v>
      </c>
      <c r="E593" s="6">
        <v>20</v>
      </c>
      <c r="F593" s="6" t="str">
        <f t="shared" si="91"/>
        <v>Evening</v>
      </c>
      <c r="G593" s="6" t="b">
        <v>0</v>
      </c>
      <c r="H593" s="6">
        <f t="shared" si="92"/>
        <v>0</v>
      </c>
      <c r="I593" s="6">
        <v>4</v>
      </c>
      <c r="J593" s="6" t="str">
        <f t="shared" si="93"/>
        <v>Thursday</v>
      </c>
      <c r="K593" s="6">
        <f t="shared" si="94"/>
        <v>0</v>
      </c>
      <c r="L593" s="6">
        <v>1</v>
      </c>
      <c r="M593" s="6" t="str">
        <f t="shared" si="95"/>
        <v>Partly cloudy</v>
      </c>
      <c r="N593" s="8">
        <v>0.18</v>
      </c>
      <c r="O593" s="8">
        <v>0.21210000000000001</v>
      </c>
      <c r="P593" s="8">
        <v>0.74</v>
      </c>
      <c r="Q593" s="8">
        <v>8.9599999999999999E-2</v>
      </c>
      <c r="R593" s="6">
        <v>4</v>
      </c>
      <c r="S593" s="6">
        <v>55</v>
      </c>
      <c r="T593" s="6">
        <v>59</v>
      </c>
      <c r="U593" s="8">
        <f t="shared" si="96"/>
        <v>-0.1204882520594536</v>
      </c>
      <c r="V593" s="8" t="str">
        <f t="shared" si="97"/>
        <v>Normal</v>
      </c>
      <c r="W593" s="8">
        <f t="shared" si="98"/>
        <v>3.376208063910776E-2</v>
      </c>
      <c r="X593" s="8" t="str">
        <f t="shared" si="99"/>
        <v>Normal</v>
      </c>
    </row>
    <row r="594" spans="1:24" x14ac:dyDescent="0.25">
      <c r="A594" s="6">
        <v>593</v>
      </c>
      <c r="B594" s="7">
        <v>40570</v>
      </c>
      <c r="C594" s="6">
        <v>1</v>
      </c>
      <c r="D594" s="6" t="str">
        <f t="shared" si="90"/>
        <v>january</v>
      </c>
      <c r="E594" s="6">
        <v>21</v>
      </c>
      <c r="F594" s="6" t="str">
        <f t="shared" si="91"/>
        <v>Night</v>
      </c>
      <c r="G594" s="6" t="b">
        <v>0</v>
      </c>
      <c r="H594" s="6">
        <f t="shared" si="92"/>
        <v>0</v>
      </c>
      <c r="I594" s="6">
        <v>4</v>
      </c>
      <c r="J594" s="6" t="str">
        <f t="shared" si="93"/>
        <v>Thursday</v>
      </c>
      <c r="K594" s="6">
        <f t="shared" si="94"/>
        <v>0</v>
      </c>
      <c r="L594" s="6">
        <v>1</v>
      </c>
      <c r="M594" s="6" t="str">
        <f t="shared" si="95"/>
        <v>Partly cloudy</v>
      </c>
      <c r="N594" s="8">
        <v>0.18</v>
      </c>
      <c r="O594" s="8">
        <v>0.21210000000000001</v>
      </c>
      <c r="P594" s="8">
        <v>0.74</v>
      </c>
      <c r="Q594" s="8">
        <v>8.9599999999999999E-2</v>
      </c>
      <c r="R594" s="6">
        <v>2</v>
      </c>
      <c r="S594" s="6">
        <v>36</v>
      </c>
      <c r="T594" s="6">
        <v>38</v>
      </c>
      <c r="U594" s="8">
        <f t="shared" si="96"/>
        <v>-0.38213483633622569</v>
      </c>
      <c r="V594" s="8" t="str">
        <f t="shared" si="97"/>
        <v>Normal</v>
      </c>
      <c r="W594" s="8">
        <f t="shared" si="98"/>
        <v>-0.36294758673445349</v>
      </c>
      <c r="X594" s="8" t="str">
        <f t="shared" si="99"/>
        <v>Normal</v>
      </c>
    </row>
    <row r="595" spans="1:24" x14ac:dyDescent="0.25">
      <c r="A595" s="6">
        <v>594</v>
      </c>
      <c r="B595" s="7">
        <v>40570</v>
      </c>
      <c r="C595" s="6">
        <v>1</v>
      </c>
      <c r="D595" s="6" t="str">
        <f t="shared" si="90"/>
        <v>january</v>
      </c>
      <c r="E595" s="6">
        <v>22</v>
      </c>
      <c r="F595" s="6" t="str">
        <f t="shared" si="91"/>
        <v>Night</v>
      </c>
      <c r="G595" s="6" t="b">
        <v>0</v>
      </c>
      <c r="H595" s="6">
        <f t="shared" si="92"/>
        <v>0</v>
      </c>
      <c r="I595" s="6">
        <v>4</v>
      </c>
      <c r="J595" s="6" t="str">
        <f t="shared" si="93"/>
        <v>Thursday</v>
      </c>
      <c r="K595" s="6">
        <f t="shared" si="94"/>
        <v>0</v>
      </c>
      <c r="L595" s="6">
        <v>1</v>
      </c>
      <c r="M595" s="6" t="str">
        <f t="shared" si="95"/>
        <v>Partly cloudy</v>
      </c>
      <c r="N595" s="8">
        <v>0.18</v>
      </c>
      <c r="O595" s="8">
        <v>0.21210000000000001</v>
      </c>
      <c r="P595" s="8">
        <v>0.74</v>
      </c>
      <c r="Q595" s="8">
        <v>8.9599999999999999E-2</v>
      </c>
      <c r="R595" s="6">
        <v>0</v>
      </c>
      <c r="S595" s="6">
        <v>27</v>
      </c>
      <c r="T595" s="6">
        <v>27</v>
      </c>
      <c r="U595" s="8">
        <f t="shared" si="96"/>
        <v>-0.64378142061299781</v>
      </c>
      <c r="V595" s="8" t="str">
        <f t="shared" si="97"/>
        <v>Normal</v>
      </c>
      <c r="W595" s="8">
        <f t="shared" si="98"/>
        <v>-0.55086269233245611</v>
      </c>
      <c r="X595" s="8" t="str">
        <f t="shared" si="99"/>
        <v>Normal</v>
      </c>
    </row>
    <row r="596" spans="1:24" x14ac:dyDescent="0.25">
      <c r="A596" s="6">
        <v>595</v>
      </c>
      <c r="B596" s="7">
        <v>40570</v>
      </c>
      <c r="C596" s="6">
        <v>1</v>
      </c>
      <c r="D596" s="6" t="str">
        <f t="shared" si="90"/>
        <v>january</v>
      </c>
      <c r="E596" s="6">
        <v>23</v>
      </c>
      <c r="F596" s="6" t="str">
        <f t="shared" si="91"/>
        <v>Night</v>
      </c>
      <c r="G596" s="6" t="b">
        <v>0</v>
      </c>
      <c r="H596" s="6">
        <f t="shared" si="92"/>
        <v>0</v>
      </c>
      <c r="I596" s="6">
        <v>4</v>
      </c>
      <c r="J596" s="6" t="str">
        <f t="shared" si="93"/>
        <v>Thursday</v>
      </c>
      <c r="K596" s="6">
        <f t="shared" si="94"/>
        <v>0</v>
      </c>
      <c r="L596" s="6">
        <v>1</v>
      </c>
      <c r="M596" s="6" t="str">
        <f t="shared" si="95"/>
        <v>Partly cloudy</v>
      </c>
      <c r="N596" s="8">
        <v>0.18</v>
      </c>
      <c r="O596" s="8">
        <v>0.19700000000000001</v>
      </c>
      <c r="P596" s="8">
        <v>0.8</v>
      </c>
      <c r="Q596" s="8">
        <v>0.16420000000000001</v>
      </c>
      <c r="R596" s="6">
        <v>0</v>
      </c>
      <c r="S596" s="6">
        <v>16</v>
      </c>
      <c r="T596" s="6">
        <v>16</v>
      </c>
      <c r="U596" s="8">
        <f t="shared" si="96"/>
        <v>-0.64378142061299781</v>
      </c>
      <c r="V596" s="8" t="str">
        <f t="shared" si="97"/>
        <v>Normal</v>
      </c>
      <c r="W596" s="8">
        <f t="shared" si="98"/>
        <v>-0.78053671028557059</v>
      </c>
      <c r="X596" s="8" t="str">
        <f t="shared" si="99"/>
        <v>Normal</v>
      </c>
    </row>
    <row r="597" spans="1:24" x14ac:dyDescent="0.25">
      <c r="A597" s="6">
        <v>596</v>
      </c>
      <c r="B597" s="7">
        <v>40571</v>
      </c>
      <c r="C597" s="6">
        <v>1</v>
      </c>
      <c r="D597" s="6" t="str">
        <f t="shared" si="90"/>
        <v>january</v>
      </c>
      <c r="E597" s="6">
        <v>0</v>
      </c>
      <c r="F597" s="6" t="str">
        <f t="shared" si="91"/>
        <v>Night</v>
      </c>
      <c r="G597" s="6" t="b">
        <v>0</v>
      </c>
      <c r="H597" s="6">
        <f t="shared" si="92"/>
        <v>0</v>
      </c>
      <c r="I597" s="6">
        <v>5</v>
      </c>
      <c r="J597" s="6" t="str">
        <f t="shared" si="93"/>
        <v>Friday</v>
      </c>
      <c r="K597" s="6">
        <f t="shared" si="94"/>
        <v>0</v>
      </c>
      <c r="L597" s="6">
        <v>2</v>
      </c>
      <c r="M597" s="6" t="str">
        <f t="shared" si="95"/>
        <v>Cloudy</v>
      </c>
      <c r="N597" s="8">
        <v>0.2</v>
      </c>
      <c r="O597" s="8">
        <v>0.21210000000000001</v>
      </c>
      <c r="P597" s="8">
        <v>0.75</v>
      </c>
      <c r="Q597" s="8">
        <v>0.1343</v>
      </c>
      <c r="R597" s="6">
        <v>0</v>
      </c>
      <c r="S597" s="6">
        <v>9</v>
      </c>
      <c r="T597" s="6">
        <v>9</v>
      </c>
      <c r="U597" s="8">
        <f t="shared" si="96"/>
        <v>-0.64378142061299781</v>
      </c>
      <c r="V597" s="8" t="str">
        <f t="shared" si="97"/>
        <v>Normal</v>
      </c>
      <c r="W597" s="8">
        <f t="shared" si="98"/>
        <v>-0.92669290352846156</v>
      </c>
      <c r="X597" s="8" t="str">
        <f t="shared" si="99"/>
        <v>Normal</v>
      </c>
    </row>
    <row r="598" spans="1:24" x14ac:dyDescent="0.25">
      <c r="A598" s="6">
        <v>597</v>
      </c>
      <c r="B598" s="7">
        <v>40571</v>
      </c>
      <c r="C598" s="6">
        <v>1</v>
      </c>
      <c r="D598" s="6" t="str">
        <f t="shared" si="90"/>
        <v>january</v>
      </c>
      <c r="E598" s="6">
        <v>1</v>
      </c>
      <c r="F598" s="6" t="str">
        <f t="shared" si="91"/>
        <v>Night</v>
      </c>
      <c r="G598" s="6" t="b">
        <v>0</v>
      </c>
      <c r="H598" s="6">
        <f t="shared" si="92"/>
        <v>0</v>
      </c>
      <c r="I598" s="6">
        <v>5</v>
      </c>
      <c r="J598" s="6" t="str">
        <f t="shared" si="93"/>
        <v>Friday</v>
      </c>
      <c r="K598" s="6">
        <f t="shared" si="94"/>
        <v>0</v>
      </c>
      <c r="L598" s="6">
        <v>2</v>
      </c>
      <c r="M598" s="6" t="str">
        <f t="shared" si="95"/>
        <v>Cloudy</v>
      </c>
      <c r="N598" s="8">
        <v>0.2</v>
      </c>
      <c r="O598" s="8">
        <v>0.21210000000000001</v>
      </c>
      <c r="P598" s="8">
        <v>0.75</v>
      </c>
      <c r="Q598" s="8">
        <v>0.1343</v>
      </c>
      <c r="R598" s="6">
        <v>1</v>
      </c>
      <c r="S598" s="6">
        <v>2</v>
      </c>
      <c r="T598" s="6">
        <v>3</v>
      </c>
      <c r="U598" s="8">
        <f t="shared" si="96"/>
        <v>-0.51295812847461175</v>
      </c>
      <c r="V598" s="8" t="str">
        <f t="shared" si="97"/>
        <v>Normal</v>
      </c>
      <c r="W598" s="8">
        <f t="shared" si="98"/>
        <v>-1.0728490967713524</v>
      </c>
      <c r="X598" s="8" t="str">
        <f t="shared" si="99"/>
        <v>Normal</v>
      </c>
    </row>
    <row r="599" spans="1:24" x14ac:dyDescent="0.25">
      <c r="A599" s="6">
        <v>598</v>
      </c>
      <c r="B599" s="7">
        <v>40571</v>
      </c>
      <c r="C599" s="6">
        <v>1</v>
      </c>
      <c r="D599" s="6" t="str">
        <f t="shared" si="90"/>
        <v>january</v>
      </c>
      <c r="E599" s="6">
        <v>2</v>
      </c>
      <c r="F599" s="6" t="str">
        <f t="shared" si="91"/>
        <v>Night</v>
      </c>
      <c r="G599" s="6" t="b">
        <v>0</v>
      </c>
      <c r="H599" s="6">
        <f t="shared" si="92"/>
        <v>0</v>
      </c>
      <c r="I599" s="6">
        <v>5</v>
      </c>
      <c r="J599" s="6" t="str">
        <f t="shared" si="93"/>
        <v>Friday</v>
      </c>
      <c r="K599" s="6">
        <f t="shared" si="94"/>
        <v>0</v>
      </c>
      <c r="L599" s="6">
        <v>2</v>
      </c>
      <c r="M599" s="6" t="str">
        <f t="shared" si="95"/>
        <v>Cloudy</v>
      </c>
      <c r="N599" s="8">
        <v>0.2</v>
      </c>
      <c r="O599" s="8">
        <v>0.21210000000000001</v>
      </c>
      <c r="P599" s="8">
        <v>0.75</v>
      </c>
      <c r="Q599" s="8">
        <v>0.16420000000000001</v>
      </c>
      <c r="R599" s="6">
        <v>0</v>
      </c>
      <c r="S599" s="6">
        <v>2</v>
      </c>
      <c r="T599" s="6">
        <v>2</v>
      </c>
      <c r="U599" s="8">
        <f t="shared" si="96"/>
        <v>-0.64378142061299781</v>
      </c>
      <c r="V599" s="8" t="str">
        <f t="shared" si="97"/>
        <v>Normal</v>
      </c>
      <c r="W599" s="8">
        <f t="shared" si="98"/>
        <v>-1.0728490967713524</v>
      </c>
      <c r="X599" s="8" t="str">
        <f t="shared" si="99"/>
        <v>Normal</v>
      </c>
    </row>
    <row r="600" spans="1:24" x14ac:dyDescent="0.25">
      <c r="A600" s="6">
        <v>599</v>
      </c>
      <c r="B600" s="7">
        <v>40571</v>
      </c>
      <c r="C600" s="6">
        <v>1</v>
      </c>
      <c r="D600" s="6" t="str">
        <f t="shared" si="90"/>
        <v>january</v>
      </c>
      <c r="E600" s="6">
        <v>3</v>
      </c>
      <c r="F600" s="6" t="str">
        <f t="shared" si="91"/>
        <v>Night</v>
      </c>
      <c r="G600" s="6" t="b">
        <v>0</v>
      </c>
      <c r="H600" s="6">
        <f t="shared" si="92"/>
        <v>0</v>
      </c>
      <c r="I600" s="6">
        <v>5</v>
      </c>
      <c r="J600" s="6" t="str">
        <f t="shared" si="93"/>
        <v>Friday</v>
      </c>
      <c r="K600" s="6">
        <f t="shared" si="94"/>
        <v>0</v>
      </c>
      <c r="L600" s="6">
        <v>2</v>
      </c>
      <c r="M600" s="6" t="str">
        <f t="shared" si="95"/>
        <v>Cloudy</v>
      </c>
      <c r="N600" s="8">
        <v>0.2</v>
      </c>
      <c r="O600" s="8">
        <v>0.2273</v>
      </c>
      <c r="P600" s="8">
        <v>0.75</v>
      </c>
      <c r="Q600" s="8">
        <v>0.1045</v>
      </c>
      <c r="R600" s="6">
        <v>1</v>
      </c>
      <c r="S600" s="6">
        <v>0</v>
      </c>
      <c r="T600" s="6">
        <v>1</v>
      </c>
      <c r="U600" s="8">
        <f t="shared" si="96"/>
        <v>-0.51295812847461175</v>
      </c>
      <c r="V600" s="8" t="str">
        <f t="shared" si="97"/>
        <v>Normal</v>
      </c>
      <c r="W600" s="8">
        <f t="shared" si="98"/>
        <v>-1.1146080091264643</v>
      </c>
      <c r="X600" s="8" t="str">
        <f t="shared" si="99"/>
        <v>Normal</v>
      </c>
    </row>
    <row r="601" spans="1:24" x14ac:dyDescent="0.25">
      <c r="A601" s="6">
        <v>600</v>
      </c>
      <c r="B601" s="7">
        <v>40571</v>
      </c>
      <c r="C601" s="6">
        <v>1</v>
      </c>
      <c r="D601" s="6" t="str">
        <f t="shared" si="90"/>
        <v>january</v>
      </c>
      <c r="E601" s="6">
        <v>5</v>
      </c>
      <c r="F601" s="6" t="str">
        <f t="shared" si="91"/>
        <v>Early Morning</v>
      </c>
      <c r="G601" s="6" t="b">
        <v>0</v>
      </c>
      <c r="H601" s="6">
        <f t="shared" si="92"/>
        <v>0</v>
      </c>
      <c r="I601" s="6">
        <v>5</v>
      </c>
      <c r="J601" s="6" t="str">
        <f t="shared" si="93"/>
        <v>Friday</v>
      </c>
      <c r="K601" s="6">
        <f t="shared" si="94"/>
        <v>0</v>
      </c>
      <c r="L601" s="6">
        <v>2</v>
      </c>
      <c r="M601" s="6" t="str">
        <f t="shared" si="95"/>
        <v>Cloudy</v>
      </c>
      <c r="N601" s="8">
        <v>0.18</v>
      </c>
      <c r="O601" s="8">
        <v>0.21210000000000001</v>
      </c>
      <c r="P601" s="8">
        <v>0.8</v>
      </c>
      <c r="Q601" s="8">
        <v>0.1045</v>
      </c>
      <c r="R601" s="6">
        <v>0</v>
      </c>
      <c r="S601" s="6">
        <v>4</v>
      </c>
      <c r="T601" s="6">
        <v>4</v>
      </c>
      <c r="U601" s="8">
        <f t="shared" si="96"/>
        <v>-0.64378142061299781</v>
      </c>
      <c r="V601" s="8" t="str">
        <f t="shared" si="97"/>
        <v>Normal</v>
      </c>
      <c r="W601" s="8">
        <f t="shared" si="98"/>
        <v>-1.0310901844162408</v>
      </c>
      <c r="X601" s="8" t="str">
        <f t="shared" si="99"/>
        <v>Normal</v>
      </c>
    </row>
    <row r="602" spans="1:24" x14ac:dyDescent="0.25">
      <c r="A602" s="6">
        <v>601</v>
      </c>
      <c r="B602" s="7">
        <v>40571</v>
      </c>
      <c r="C602" s="6">
        <v>1</v>
      </c>
      <c r="D602" s="6" t="str">
        <f t="shared" si="90"/>
        <v>january</v>
      </c>
      <c r="E602" s="6">
        <v>6</v>
      </c>
      <c r="F602" s="6" t="str">
        <f t="shared" si="91"/>
        <v>Early Morning</v>
      </c>
      <c r="G602" s="6" t="b">
        <v>0</v>
      </c>
      <c r="H602" s="6">
        <f t="shared" si="92"/>
        <v>0</v>
      </c>
      <c r="I602" s="6">
        <v>5</v>
      </c>
      <c r="J602" s="6" t="str">
        <f t="shared" si="93"/>
        <v>Friday</v>
      </c>
      <c r="K602" s="6">
        <f t="shared" si="94"/>
        <v>0</v>
      </c>
      <c r="L602" s="6">
        <v>2</v>
      </c>
      <c r="M602" s="6" t="str">
        <f t="shared" si="95"/>
        <v>Cloudy</v>
      </c>
      <c r="N602" s="8">
        <v>0.18</v>
      </c>
      <c r="O602" s="8">
        <v>0.19700000000000001</v>
      </c>
      <c r="P602" s="8">
        <v>0.8</v>
      </c>
      <c r="Q602" s="8">
        <v>0.1343</v>
      </c>
      <c r="R602" s="6">
        <v>0</v>
      </c>
      <c r="S602" s="6">
        <v>16</v>
      </c>
      <c r="T602" s="6">
        <v>16</v>
      </c>
      <c r="U602" s="8">
        <f t="shared" si="96"/>
        <v>-0.64378142061299781</v>
      </c>
      <c r="V602" s="8" t="str">
        <f t="shared" si="97"/>
        <v>Normal</v>
      </c>
      <c r="W602" s="8">
        <f t="shared" si="98"/>
        <v>-0.78053671028557059</v>
      </c>
      <c r="X602" s="8" t="str">
        <f t="shared" si="99"/>
        <v>Normal</v>
      </c>
    </row>
    <row r="603" spans="1:24" x14ac:dyDescent="0.25">
      <c r="A603" s="6">
        <v>602</v>
      </c>
      <c r="B603" s="7">
        <v>40571</v>
      </c>
      <c r="C603" s="6">
        <v>1</v>
      </c>
      <c r="D603" s="6" t="str">
        <f t="shared" si="90"/>
        <v>january</v>
      </c>
      <c r="E603" s="6">
        <v>7</v>
      </c>
      <c r="F603" s="6" t="str">
        <f t="shared" si="91"/>
        <v>Early Morning</v>
      </c>
      <c r="G603" s="6" t="b">
        <v>0</v>
      </c>
      <c r="H603" s="6">
        <f t="shared" si="92"/>
        <v>0</v>
      </c>
      <c r="I603" s="6">
        <v>5</v>
      </c>
      <c r="J603" s="6" t="str">
        <f t="shared" si="93"/>
        <v>Friday</v>
      </c>
      <c r="K603" s="6">
        <f t="shared" si="94"/>
        <v>0</v>
      </c>
      <c r="L603" s="6">
        <v>2</v>
      </c>
      <c r="M603" s="6" t="str">
        <f t="shared" si="95"/>
        <v>Cloudy</v>
      </c>
      <c r="N603" s="8">
        <v>0.16</v>
      </c>
      <c r="O603" s="8">
        <v>0.19700000000000001</v>
      </c>
      <c r="P603" s="8">
        <v>0.86</v>
      </c>
      <c r="Q603" s="8">
        <v>8.9599999999999999E-2</v>
      </c>
      <c r="R603" s="6">
        <v>2</v>
      </c>
      <c r="S603" s="6">
        <v>58</v>
      </c>
      <c r="T603" s="6">
        <v>60</v>
      </c>
      <c r="U603" s="8">
        <f t="shared" si="96"/>
        <v>-0.38213483633622569</v>
      </c>
      <c r="V603" s="8" t="str">
        <f t="shared" si="97"/>
        <v>Normal</v>
      </c>
      <c r="W603" s="8">
        <f t="shared" si="98"/>
        <v>9.6400449171775315E-2</v>
      </c>
      <c r="X603" s="8" t="str">
        <f t="shared" si="99"/>
        <v>Normal</v>
      </c>
    </row>
    <row r="604" spans="1:24" x14ac:dyDescent="0.25">
      <c r="A604" s="6">
        <v>603</v>
      </c>
      <c r="B604" s="7">
        <v>40571</v>
      </c>
      <c r="C604" s="6">
        <v>1</v>
      </c>
      <c r="D604" s="6" t="str">
        <f t="shared" si="90"/>
        <v>january</v>
      </c>
      <c r="E604" s="6">
        <v>8</v>
      </c>
      <c r="F604" s="6" t="str">
        <f t="shared" si="91"/>
        <v>Morning</v>
      </c>
      <c r="G604" s="6" t="b">
        <v>0</v>
      </c>
      <c r="H604" s="6">
        <f t="shared" si="92"/>
        <v>0</v>
      </c>
      <c r="I604" s="6">
        <v>5</v>
      </c>
      <c r="J604" s="6" t="str">
        <f t="shared" si="93"/>
        <v>Friday</v>
      </c>
      <c r="K604" s="6">
        <f t="shared" si="94"/>
        <v>0</v>
      </c>
      <c r="L604" s="6">
        <v>2</v>
      </c>
      <c r="M604" s="6" t="str">
        <f t="shared" si="95"/>
        <v>Cloudy</v>
      </c>
      <c r="N604" s="8">
        <v>0.16</v>
      </c>
      <c r="O604" s="8">
        <v>0.19700000000000001</v>
      </c>
      <c r="P604" s="8">
        <v>0.86</v>
      </c>
      <c r="Q604" s="8">
        <v>8.9599999999999999E-2</v>
      </c>
      <c r="R604" s="6">
        <v>2</v>
      </c>
      <c r="S604" s="6">
        <v>155</v>
      </c>
      <c r="T604" s="6">
        <v>157</v>
      </c>
      <c r="U604" s="8">
        <f t="shared" si="96"/>
        <v>-0.38213483633622569</v>
      </c>
      <c r="V604" s="8" t="str">
        <f t="shared" si="97"/>
        <v>Normal</v>
      </c>
      <c r="W604" s="8">
        <f t="shared" si="98"/>
        <v>2.121707698394693</v>
      </c>
      <c r="X604" s="8" t="str">
        <f t="shared" si="99"/>
        <v>Peak</v>
      </c>
    </row>
    <row r="605" spans="1:24" x14ac:dyDescent="0.25">
      <c r="A605" s="6">
        <v>604</v>
      </c>
      <c r="B605" s="7">
        <v>40571</v>
      </c>
      <c r="C605" s="6">
        <v>1</v>
      </c>
      <c r="D605" s="6" t="str">
        <f t="shared" si="90"/>
        <v>january</v>
      </c>
      <c r="E605" s="6">
        <v>9</v>
      </c>
      <c r="F605" s="6" t="str">
        <f t="shared" si="91"/>
        <v>Morning</v>
      </c>
      <c r="G605" s="6" t="b">
        <v>0</v>
      </c>
      <c r="H605" s="6">
        <f t="shared" si="92"/>
        <v>0</v>
      </c>
      <c r="I605" s="6">
        <v>5</v>
      </c>
      <c r="J605" s="6" t="str">
        <f t="shared" si="93"/>
        <v>Friday</v>
      </c>
      <c r="K605" s="6">
        <f t="shared" si="94"/>
        <v>0</v>
      </c>
      <c r="L605" s="6">
        <v>3</v>
      </c>
      <c r="M605" s="6" t="str">
        <f t="shared" si="95"/>
        <v>Light rain</v>
      </c>
      <c r="N605" s="8">
        <v>0.18</v>
      </c>
      <c r="O605" s="8">
        <v>0.21210000000000001</v>
      </c>
      <c r="P605" s="8">
        <v>0.86</v>
      </c>
      <c r="Q605" s="8">
        <v>8.9599999999999999E-2</v>
      </c>
      <c r="R605" s="6">
        <v>6</v>
      </c>
      <c r="S605" s="6">
        <v>95</v>
      </c>
      <c r="T605" s="6">
        <v>101</v>
      </c>
      <c r="U605" s="8">
        <f t="shared" si="96"/>
        <v>0.14115833221731852</v>
      </c>
      <c r="V605" s="8" t="str">
        <f t="shared" si="97"/>
        <v>Normal</v>
      </c>
      <c r="W605" s="8">
        <f t="shared" si="98"/>
        <v>0.86894032774134189</v>
      </c>
      <c r="X605" s="8" t="str">
        <f t="shared" si="99"/>
        <v>Normal</v>
      </c>
    </row>
    <row r="606" spans="1:24" x14ac:dyDescent="0.25">
      <c r="A606" s="6">
        <v>605</v>
      </c>
      <c r="B606" s="7">
        <v>40571</v>
      </c>
      <c r="C606" s="6">
        <v>1</v>
      </c>
      <c r="D606" s="6" t="str">
        <f t="shared" si="90"/>
        <v>january</v>
      </c>
      <c r="E606" s="6">
        <v>10</v>
      </c>
      <c r="F606" s="6" t="str">
        <f t="shared" si="91"/>
        <v>Morning</v>
      </c>
      <c r="G606" s="6" t="b">
        <v>0</v>
      </c>
      <c r="H606" s="6">
        <f t="shared" si="92"/>
        <v>0</v>
      </c>
      <c r="I606" s="6">
        <v>5</v>
      </c>
      <c r="J606" s="6" t="str">
        <f t="shared" si="93"/>
        <v>Friday</v>
      </c>
      <c r="K606" s="6">
        <f t="shared" si="94"/>
        <v>0</v>
      </c>
      <c r="L606" s="6">
        <v>3</v>
      </c>
      <c r="M606" s="6" t="str">
        <f t="shared" si="95"/>
        <v>Light rain</v>
      </c>
      <c r="N606" s="8">
        <v>0.18</v>
      </c>
      <c r="O606" s="8">
        <v>0.21210000000000001</v>
      </c>
      <c r="P606" s="8">
        <v>0.86</v>
      </c>
      <c r="Q606" s="8">
        <v>0.1045</v>
      </c>
      <c r="R606" s="6">
        <v>0</v>
      </c>
      <c r="S606" s="6">
        <v>49</v>
      </c>
      <c r="T606" s="6">
        <v>49</v>
      </c>
      <c r="U606" s="8">
        <f t="shared" si="96"/>
        <v>-0.64378142061299781</v>
      </c>
      <c r="V606" s="8" t="str">
        <f t="shared" si="97"/>
        <v>Normal</v>
      </c>
      <c r="W606" s="8">
        <f t="shared" si="98"/>
        <v>-9.1514656426227359E-2</v>
      </c>
      <c r="X606" s="8" t="str">
        <f t="shared" si="99"/>
        <v>Normal</v>
      </c>
    </row>
    <row r="607" spans="1:24" x14ac:dyDescent="0.25">
      <c r="A607" s="6">
        <v>606</v>
      </c>
      <c r="B607" s="7">
        <v>40571</v>
      </c>
      <c r="C607" s="6">
        <v>1</v>
      </c>
      <c r="D607" s="6" t="str">
        <f t="shared" si="90"/>
        <v>january</v>
      </c>
      <c r="E607" s="6">
        <v>11</v>
      </c>
      <c r="F607" s="6" t="str">
        <f t="shared" si="91"/>
        <v>Morning</v>
      </c>
      <c r="G607" s="6" t="b">
        <v>0</v>
      </c>
      <c r="H607" s="6">
        <f t="shared" si="92"/>
        <v>0</v>
      </c>
      <c r="I607" s="6">
        <v>5</v>
      </c>
      <c r="J607" s="6" t="str">
        <f t="shared" si="93"/>
        <v>Friday</v>
      </c>
      <c r="K607" s="6">
        <f t="shared" si="94"/>
        <v>0</v>
      </c>
      <c r="L607" s="6">
        <v>3</v>
      </c>
      <c r="M607" s="6" t="str">
        <f t="shared" si="95"/>
        <v>Light rain</v>
      </c>
      <c r="N607" s="8">
        <v>0.18</v>
      </c>
      <c r="O607" s="8">
        <v>0.21210000000000001</v>
      </c>
      <c r="P607" s="8">
        <v>0.93</v>
      </c>
      <c r="Q607" s="8">
        <v>0.1045</v>
      </c>
      <c r="R607" s="6">
        <v>0</v>
      </c>
      <c r="S607" s="6">
        <v>30</v>
      </c>
      <c r="T607" s="6">
        <v>30</v>
      </c>
      <c r="U607" s="8">
        <f t="shared" si="96"/>
        <v>-0.64378142061299781</v>
      </c>
      <c r="V607" s="8" t="str">
        <f t="shared" si="97"/>
        <v>Normal</v>
      </c>
      <c r="W607" s="8">
        <f t="shared" si="98"/>
        <v>-0.48822432379978858</v>
      </c>
      <c r="X607" s="8" t="str">
        <f t="shared" si="99"/>
        <v>Normal</v>
      </c>
    </row>
    <row r="608" spans="1:24" x14ac:dyDescent="0.25">
      <c r="A608" s="6">
        <v>607</v>
      </c>
      <c r="B608" s="7">
        <v>40571</v>
      </c>
      <c r="C608" s="6">
        <v>1</v>
      </c>
      <c r="D608" s="6" t="str">
        <f t="shared" si="90"/>
        <v>january</v>
      </c>
      <c r="E608" s="6">
        <v>12</v>
      </c>
      <c r="F608" s="6" t="str">
        <f t="shared" si="91"/>
        <v>Afternoon</v>
      </c>
      <c r="G608" s="6" t="b">
        <v>0</v>
      </c>
      <c r="H608" s="6">
        <f t="shared" si="92"/>
        <v>0</v>
      </c>
      <c r="I608" s="6">
        <v>5</v>
      </c>
      <c r="J608" s="6" t="str">
        <f t="shared" si="93"/>
        <v>Friday</v>
      </c>
      <c r="K608" s="6">
        <f t="shared" si="94"/>
        <v>0</v>
      </c>
      <c r="L608" s="6">
        <v>3</v>
      </c>
      <c r="M608" s="6" t="str">
        <f t="shared" si="95"/>
        <v>Light rain</v>
      </c>
      <c r="N608" s="8">
        <v>0.18</v>
      </c>
      <c r="O608" s="8">
        <v>0.21210000000000001</v>
      </c>
      <c r="P608" s="8">
        <v>0.93</v>
      </c>
      <c r="Q608" s="8">
        <v>0.1045</v>
      </c>
      <c r="R608" s="6">
        <v>1</v>
      </c>
      <c r="S608" s="6">
        <v>28</v>
      </c>
      <c r="T608" s="6">
        <v>29</v>
      </c>
      <c r="U608" s="8">
        <f t="shared" si="96"/>
        <v>-0.51295812847461175</v>
      </c>
      <c r="V608" s="8" t="str">
        <f t="shared" si="97"/>
        <v>Normal</v>
      </c>
      <c r="W608" s="8">
        <f t="shared" si="98"/>
        <v>-0.52998323615490028</v>
      </c>
      <c r="X608" s="8" t="str">
        <f t="shared" si="99"/>
        <v>Normal</v>
      </c>
    </row>
    <row r="609" spans="1:24" x14ac:dyDescent="0.25">
      <c r="A609" s="6">
        <v>608</v>
      </c>
      <c r="B609" s="7">
        <v>40571</v>
      </c>
      <c r="C609" s="6">
        <v>1</v>
      </c>
      <c r="D609" s="6" t="str">
        <f t="shared" si="90"/>
        <v>january</v>
      </c>
      <c r="E609" s="6">
        <v>13</v>
      </c>
      <c r="F609" s="6" t="str">
        <f t="shared" si="91"/>
        <v>Afternoon</v>
      </c>
      <c r="G609" s="6" t="b">
        <v>0</v>
      </c>
      <c r="H609" s="6">
        <f t="shared" si="92"/>
        <v>0</v>
      </c>
      <c r="I609" s="6">
        <v>5</v>
      </c>
      <c r="J609" s="6" t="str">
        <f t="shared" si="93"/>
        <v>Friday</v>
      </c>
      <c r="K609" s="6">
        <f t="shared" si="94"/>
        <v>0</v>
      </c>
      <c r="L609" s="6">
        <v>3</v>
      </c>
      <c r="M609" s="6" t="str">
        <f t="shared" si="95"/>
        <v>Light rain</v>
      </c>
      <c r="N609" s="8">
        <v>0.18</v>
      </c>
      <c r="O609" s="8">
        <v>0.21210000000000001</v>
      </c>
      <c r="P609" s="8">
        <v>0.93</v>
      </c>
      <c r="Q609" s="8">
        <v>0.1045</v>
      </c>
      <c r="R609" s="6">
        <v>0</v>
      </c>
      <c r="S609" s="6">
        <v>31</v>
      </c>
      <c r="T609" s="6">
        <v>31</v>
      </c>
      <c r="U609" s="8">
        <f t="shared" si="96"/>
        <v>-0.64378142061299781</v>
      </c>
      <c r="V609" s="8" t="str">
        <f t="shared" si="97"/>
        <v>Normal</v>
      </c>
      <c r="W609" s="8">
        <f t="shared" si="98"/>
        <v>-0.46734486762223271</v>
      </c>
      <c r="X609" s="8" t="str">
        <f t="shared" si="99"/>
        <v>Normal</v>
      </c>
    </row>
    <row r="610" spans="1:24" x14ac:dyDescent="0.25">
      <c r="A610" s="6">
        <v>609</v>
      </c>
      <c r="B610" s="7">
        <v>40571</v>
      </c>
      <c r="C610" s="6">
        <v>1</v>
      </c>
      <c r="D610" s="6" t="str">
        <f t="shared" si="90"/>
        <v>january</v>
      </c>
      <c r="E610" s="6">
        <v>14</v>
      </c>
      <c r="F610" s="6" t="str">
        <f t="shared" si="91"/>
        <v>Afternoon</v>
      </c>
      <c r="G610" s="6" t="b">
        <v>0</v>
      </c>
      <c r="H610" s="6">
        <f t="shared" si="92"/>
        <v>0</v>
      </c>
      <c r="I610" s="6">
        <v>5</v>
      </c>
      <c r="J610" s="6" t="str">
        <f t="shared" si="93"/>
        <v>Friday</v>
      </c>
      <c r="K610" s="6">
        <f t="shared" si="94"/>
        <v>0</v>
      </c>
      <c r="L610" s="6">
        <v>3</v>
      </c>
      <c r="M610" s="6" t="str">
        <f t="shared" si="95"/>
        <v>Light rain</v>
      </c>
      <c r="N610" s="8">
        <v>0.22</v>
      </c>
      <c r="O610" s="8">
        <v>0.2727</v>
      </c>
      <c r="P610" s="8">
        <v>0.8</v>
      </c>
      <c r="Q610" s="8">
        <v>0</v>
      </c>
      <c r="R610" s="6">
        <v>2</v>
      </c>
      <c r="S610" s="6">
        <v>36</v>
      </c>
      <c r="T610" s="6">
        <v>38</v>
      </c>
      <c r="U610" s="8">
        <f t="shared" si="96"/>
        <v>-0.38213483633622569</v>
      </c>
      <c r="V610" s="8" t="str">
        <f t="shared" si="97"/>
        <v>Normal</v>
      </c>
      <c r="W610" s="8">
        <f t="shared" si="98"/>
        <v>-0.36294758673445349</v>
      </c>
      <c r="X610" s="8" t="str">
        <f t="shared" si="99"/>
        <v>Normal</v>
      </c>
    </row>
    <row r="611" spans="1:24" x14ac:dyDescent="0.25">
      <c r="A611" s="6">
        <v>610</v>
      </c>
      <c r="B611" s="7">
        <v>40571</v>
      </c>
      <c r="C611" s="6">
        <v>1</v>
      </c>
      <c r="D611" s="6" t="str">
        <f t="shared" si="90"/>
        <v>january</v>
      </c>
      <c r="E611" s="6">
        <v>15</v>
      </c>
      <c r="F611" s="6" t="str">
        <f t="shared" si="91"/>
        <v>Afternoon</v>
      </c>
      <c r="G611" s="6" t="b">
        <v>0</v>
      </c>
      <c r="H611" s="6">
        <f t="shared" si="92"/>
        <v>0</v>
      </c>
      <c r="I611" s="6">
        <v>5</v>
      </c>
      <c r="J611" s="6" t="str">
        <f t="shared" si="93"/>
        <v>Friday</v>
      </c>
      <c r="K611" s="6">
        <f t="shared" si="94"/>
        <v>0</v>
      </c>
      <c r="L611" s="6">
        <v>2</v>
      </c>
      <c r="M611" s="6" t="str">
        <f t="shared" si="95"/>
        <v>Cloudy</v>
      </c>
      <c r="N611" s="8">
        <v>0.2</v>
      </c>
      <c r="O611" s="8">
        <v>0.2576</v>
      </c>
      <c r="P611" s="8">
        <v>0.86</v>
      </c>
      <c r="Q611" s="8">
        <v>0</v>
      </c>
      <c r="R611" s="6">
        <v>1</v>
      </c>
      <c r="S611" s="6">
        <v>40</v>
      </c>
      <c r="T611" s="6">
        <v>41</v>
      </c>
      <c r="U611" s="8">
        <f t="shared" si="96"/>
        <v>-0.51295812847461175</v>
      </c>
      <c r="V611" s="8" t="str">
        <f t="shared" si="97"/>
        <v>Normal</v>
      </c>
      <c r="W611" s="8">
        <f t="shared" si="98"/>
        <v>-0.27942976202423003</v>
      </c>
      <c r="X611" s="8" t="str">
        <f t="shared" si="99"/>
        <v>Normal</v>
      </c>
    </row>
    <row r="612" spans="1:24" x14ac:dyDescent="0.25">
      <c r="A612" s="6">
        <v>611</v>
      </c>
      <c r="B612" s="7">
        <v>40571</v>
      </c>
      <c r="C612" s="6">
        <v>1</v>
      </c>
      <c r="D612" s="6" t="str">
        <f t="shared" si="90"/>
        <v>january</v>
      </c>
      <c r="E612" s="6">
        <v>16</v>
      </c>
      <c r="F612" s="6" t="str">
        <f t="shared" si="91"/>
        <v>Afternoon</v>
      </c>
      <c r="G612" s="6" t="b">
        <v>0</v>
      </c>
      <c r="H612" s="6">
        <f t="shared" si="92"/>
        <v>0</v>
      </c>
      <c r="I612" s="6">
        <v>5</v>
      </c>
      <c r="J612" s="6" t="str">
        <f t="shared" si="93"/>
        <v>Friday</v>
      </c>
      <c r="K612" s="6">
        <f t="shared" si="94"/>
        <v>0</v>
      </c>
      <c r="L612" s="6">
        <v>1</v>
      </c>
      <c r="M612" s="6" t="str">
        <f t="shared" si="95"/>
        <v>Partly cloudy</v>
      </c>
      <c r="N612" s="8">
        <v>0.22</v>
      </c>
      <c r="O612" s="8">
        <v>0.2727</v>
      </c>
      <c r="P612" s="8">
        <v>0.8</v>
      </c>
      <c r="Q612" s="8">
        <v>0</v>
      </c>
      <c r="R612" s="6">
        <v>10</v>
      </c>
      <c r="S612" s="6">
        <v>70</v>
      </c>
      <c r="T612" s="6">
        <v>80</v>
      </c>
      <c r="U612" s="8">
        <f t="shared" si="96"/>
        <v>0.66445150077086279</v>
      </c>
      <c r="V612" s="8" t="str">
        <f t="shared" si="97"/>
        <v>Normal</v>
      </c>
      <c r="W612" s="8">
        <f t="shared" si="98"/>
        <v>0.34695392330244557</v>
      </c>
      <c r="X612" s="8" t="str">
        <f t="shared" si="99"/>
        <v>Normal</v>
      </c>
    </row>
    <row r="613" spans="1:24" x14ac:dyDescent="0.25">
      <c r="A613" s="6">
        <v>612</v>
      </c>
      <c r="B613" s="7">
        <v>40571</v>
      </c>
      <c r="C613" s="6">
        <v>1</v>
      </c>
      <c r="D613" s="6" t="str">
        <f t="shared" si="90"/>
        <v>january</v>
      </c>
      <c r="E613" s="6">
        <v>17</v>
      </c>
      <c r="F613" s="6" t="str">
        <f t="shared" si="91"/>
        <v>Evening</v>
      </c>
      <c r="G613" s="6" t="b">
        <v>0</v>
      </c>
      <c r="H613" s="6">
        <f t="shared" si="92"/>
        <v>0</v>
      </c>
      <c r="I613" s="6">
        <v>5</v>
      </c>
      <c r="J613" s="6" t="str">
        <f t="shared" si="93"/>
        <v>Friday</v>
      </c>
      <c r="K613" s="6">
        <f t="shared" si="94"/>
        <v>0</v>
      </c>
      <c r="L613" s="6">
        <v>1</v>
      </c>
      <c r="M613" s="6" t="str">
        <f t="shared" si="95"/>
        <v>Partly cloudy</v>
      </c>
      <c r="N613" s="8">
        <v>0.24</v>
      </c>
      <c r="O613" s="8">
        <v>0.2424</v>
      </c>
      <c r="P613" s="8">
        <v>0.75</v>
      </c>
      <c r="Q613" s="8">
        <v>0.1343</v>
      </c>
      <c r="R613" s="6">
        <v>2</v>
      </c>
      <c r="S613" s="6">
        <v>147</v>
      </c>
      <c r="T613" s="6">
        <v>149</v>
      </c>
      <c r="U613" s="8">
        <f t="shared" si="96"/>
        <v>-0.38213483633622569</v>
      </c>
      <c r="V613" s="8" t="str">
        <f t="shared" si="97"/>
        <v>Normal</v>
      </c>
      <c r="W613" s="8">
        <f t="shared" si="98"/>
        <v>1.9546720489742462</v>
      </c>
      <c r="X613" s="8" t="str">
        <f t="shared" si="99"/>
        <v>Normal</v>
      </c>
    </row>
    <row r="614" spans="1:24" x14ac:dyDescent="0.25">
      <c r="A614" s="6">
        <v>613</v>
      </c>
      <c r="B614" s="7">
        <v>40571</v>
      </c>
      <c r="C614" s="6">
        <v>1</v>
      </c>
      <c r="D614" s="6" t="str">
        <f t="shared" si="90"/>
        <v>january</v>
      </c>
      <c r="E614" s="6">
        <v>18</v>
      </c>
      <c r="F614" s="6" t="str">
        <f t="shared" si="91"/>
        <v>Evening</v>
      </c>
      <c r="G614" s="6" t="b">
        <v>0</v>
      </c>
      <c r="H614" s="6">
        <f t="shared" si="92"/>
        <v>0</v>
      </c>
      <c r="I614" s="6">
        <v>5</v>
      </c>
      <c r="J614" s="6" t="str">
        <f t="shared" si="93"/>
        <v>Friday</v>
      </c>
      <c r="K614" s="6">
        <f t="shared" si="94"/>
        <v>0</v>
      </c>
      <c r="L614" s="6">
        <v>1</v>
      </c>
      <c r="M614" s="6" t="str">
        <f t="shared" si="95"/>
        <v>Partly cloudy</v>
      </c>
      <c r="N614" s="8">
        <v>0.24</v>
      </c>
      <c r="O614" s="8">
        <v>0.2273</v>
      </c>
      <c r="P614" s="8">
        <v>0.75</v>
      </c>
      <c r="Q614" s="8">
        <v>0.19400000000000001</v>
      </c>
      <c r="R614" s="6">
        <v>2</v>
      </c>
      <c r="S614" s="6">
        <v>107</v>
      </c>
      <c r="T614" s="6">
        <v>109</v>
      </c>
      <c r="U614" s="8">
        <f t="shared" si="96"/>
        <v>-0.38213483633622569</v>
      </c>
      <c r="V614" s="8" t="str">
        <f t="shared" si="97"/>
        <v>Normal</v>
      </c>
      <c r="W614" s="8">
        <f t="shared" si="98"/>
        <v>1.1194938018720122</v>
      </c>
      <c r="X614" s="8" t="str">
        <f t="shared" si="99"/>
        <v>Normal</v>
      </c>
    </row>
    <row r="615" spans="1:24" x14ac:dyDescent="0.25">
      <c r="A615" s="6">
        <v>614</v>
      </c>
      <c r="B615" s="7">
        <v>40571</v>
      </c>
      <c r="C615" s="6">
        <v>1</v>
      </c>
      <c r="D615" s="6" t="str">
        <f t="shared" si="90"/>
        <v>january</v>
      </c>
      <c r="E615" s="6">
        <v>19</v>
      </c>
      <c r="F615" s="6" t="str">
        <f t="shared" si="91"/>
        <v>Evening</v>
      </c>
      <c r="G615" s="6" t="b">
        <v>0</v>
      </c>
      <c r="H615" s="6">
        <f t="shared" si="92"/>
        <v>0</v>
      </c>
      <c r="I615" s="6">
        <v>5</v>
      </c>
      <c r="J615" s="6" t="str">
        <f t="shared" si="93"/>
        <v>Friday</v>
      </c>
      <c r="K615" s="6">
        <f t="shared" si="94"/>
        <v>0</v>
      </c>
      <c r="L615" s="6">
        <v>2</v>
      </c>
      <c r="M615" s="6" t="str">
        <f t="shared" si="95"/>
        <v>Cloudy</v>
      </c>
      <c r="N615" s="8">
        <v>0.24</v>
      </c>
      <c r="O615" s="8">
        <v>0.2424</v>
      </c>
      <c r="P615" s="8">
        <v>0.75</v>
      </c>
      <c r="Q615" s="8">
        <v>0.1343</v>
      </c>
      <c r="R615" s="6">
        <v>5</v>
      </c>
      <c r="S615" s="6">
        <v>84</v>
      </c>
      <c r="T615" s="6">
        <v>89</v>
      </c>
      <c r="U615" s="8">
        <f t="shared" si="96"/>
        <v>1.0335040078932463E-2</v>
      </c>
      <c r="V615" s="8" t="str">
        <f t="shared" si="97"/>
        <v>Normal</v>
      </c>
      <c r="W615" s="8">
        <f t="shared" si="98"/>
        <v>0.63926630978822752</v>
      </c>
      <c r="X615" s="8" t="str">
        <f t="shared" si="99"/>
        <v>Normal</v>
      </c>
    </row>
    <row r="616" spans="1:24" x14ac:dyDescent="0.25">
      <c r="A616" s="6">
        <v>615</v>
      </c>
      <c r="B616" s="7">
        <v>40571</v>
      </c>
      <c r="C616" s="6">
        <v>1</v>
      </c>
      <c r="D616" s="6" t="str">
        <f t="shared" si="90"/>
        <v>january</v>
      </c>
      <c r="E616" s="6">
        <v>20</v>
      </c>
      <c r="F616" s="6" t="str">
        <f t="shared" si="91"/>
        <v>Evening</v>
      </c>
      <c r="G616" s="6" t="b">
        <v>0</v>
      </c>
      <c r="H616" s="6">
        <f t="shared" si="92"/>
        <v>0</v>
      </c>
      <c r="I616" s="6">
        <v>5</v>
      </c>
      <c r="J616" s="6" t="str">
        <f t="shared" si="93"/>
        <v>Friday</v>
      </c>
      <c r="K616" s="6">
        <f t="shared" si="94"/>
        <v>0</v>
      </c>
      <c r="L616" s="6">
        <v>2</v>
      </c>
      <c r="M616" s="6" t="str">
        <f t="shared" si="95"/>
        <v>Cloudy</v>
      </c>
      <c r="N616" s="8">
        <v>0.24</v>
      </c>
      <c r="O616" s="8">
        <v>0.2273</v>
      </c>
      <c r="P616" s="8">
        <v>0.7</v>
      </c>
      <c r="Q616" s="8">
        <v>0.19400000000000001</v>
      </c>
      <c r="R616" s="6">
        <v>1</v>
      </c>
      <c r="S616" s="6">
        <v>61</v>
      </c>
      <c r="T616" s="6">
        <v>62</v>
      </c>
      <c r="U616" s="8">
        <f t="shared" si="96"/>
        <v>-0.51295812847461175</v>
      </c>
      <c r="V616" s="8" t="str">
        <f t="shared" si="97"/>
        <v>Normal</v>
      </c>
      <c r="W616" s="8">
        <f t="shared" si="98"/>
        <v>0.15903881770444289</v>
      </c>
      <c r="X616" s="8" t="str">
        <f t="shared" si="99"/>
        <v>Normal</v>
      </c>
    </row>
    <row r="617" spans="1:24" x14ac:dyDescent="0.25">
      <c r="A617" s="6">
        <v>616</v>
      </c>
      <c r="B617" s="7">
        <v>40571</v>
      </c>
      <c r="C617" s="6">
        <v>1</v>
      </c>
      <c r="D617" s="6" t="str">
        <f t="shared" si="90"/>
        <v>january</v>
      </c>
      <c r="E617" s="6">
        <v>21</v>
      </c>
      <c r="F617" s="6" t="str">
        <f t="shared" si="91"/>
        <v>Night</v>
      </c>
      <c r="G617" s="6" t="b">
        <v>0</v>
      </c>
      <c r="H617" s="6">
        <f t="shared" si="92"/>
        <v>0</v>
      </c>
      <c r="I617" s="6">
        <v>5</v>
      </c>
      <c r="J617" s="6" t="str">
        <f t="shared" si="93"/>
        <v>Friday</v>
      </c>
      <c r="K617" s="6">
        <f t="shared" si="94"/>
        <v>0</v>
      </c>
      <c r="L617" s="6">
        <v>2</v>
      </c>
      <c r="M617" s="6" t="str">
        <f t="shared" si="95"/>
        <v>Cloudy</v>
      </c>
      <c r="N617" s="8">
        <v>0.22</v>
      </c>
      <c r="O617" s="8">
        <v>0.2273</v>
      </c>
      <c r="P617" s="8">
        <v>0.75</v>
      </c>
      <c r="Q617" s="8">
        <v>0.1343</v>
      </c>
      <c r="R617" s="6">
        <v>1</v>
      </c>
      <c r="S617" s="6">
        <v>57</v>
      </c>
      <c r="T617" s="6">
        <v>58</v>
      </c>
      <c r="U617" s="8">
        <f t="shared" si="96"/>
        <v>-0.51295812847461175</v>
      </c>
      <c r="V617" s="8" t="str">
        <f t="shared" si="97"/>
        <v>Normal</v>
      </c>
      <c r="W617" s="8">
        <f t="shared" si="98"/>
        <v>7.5520992994219466E-2</v>
      </c>
      <c r="X617" s="8" t="str">
        <f t="shared" si="99"/>
        <v>Normal</v>
      </c>
    </row>
    <row r="618" spans="1:24" x14ac:dyDescent="0.25">
      <c r="A618" s="6">
        <v>617</v>
      </c>
      <c r="B618" s="7">
        <v>40571</v>
      </c>
      <c r="C618" s="6">
        <v>1</v>
      </c>
      <c r="D618" s="6" t="str">
        <f t="shared" si="90"/>
        <v>january</v>
      </c>
      <c r="E618" s="6">
        <v>22</v>
      </c>
      <c r="F618" s="6" t="str">
        <f t="shared" si="91"/>
        <v>Night</v>
      </c>
      <c r="G618" s="6" t="b">
        <v>0</v>
      </c>
      <c r="H618" s="6">
        <f t="shared" si="92"/>
        <v>0</v>
      </c>
      <c r="I618" s="6">
        <v>5</v>
      </c>
      <c r="J618" s="6" t="str">
        <f t="shared" si="93"/>
        <v>Friday</v>
      </c>
      <c r="K618" s="6">
        <f t="shared" si="94"/>
        <v>0</v>
      </c>
      <c r="L618" s="6">
        <v>1</v>
      </c>
      <c r="M618" s="6" t="str">
        <f t="shared" si="95"/>
        <v>Partly cloudy</v>
      </c>
      <c r="N618" s="8">
        <v>0.24</v>
      </c>
      <c r="O618" s="8">
        <v>0.21210000000000001</v>
      </c>
      <c r="P618" s="8">
        <v>0.65</v>
      </c>
      <c r="Q618" s="8">
        <v>0.35820000000000002</v>
      </c>
      <c r="R618" s="6">
        <v>0</v>
      </c>
      <c r="S618" s="6">
        <v>26</v>
      </c>
      <c r="T618" s="6">
        <v>26</v>
      </c>
      <c r="U618" s="8">
        <f t="shared" si="96"/>
        <v>-0.64378142061299781</v>
      </c>
      <c r="V618" s="8" t="str">
        <f t="shared" si="97"/>
        <v>Normal</v>
      </c>
      <c r="W618" s="8">
        <f t="shared" si="98"/>
        <v>-0.57174214851001204</v>
      </c>
      <c r="X618" s="8" t="str">
        <f t="shared" si="99"/>
        <v>Normal</v>
      </c>
    </row>
    <row r="619" spans="1:24" x14ac:dyDescent="0.25">
      <c r="A619" s="6">
        <v>618</v>
      </c>
      <c r="B619" s="7">
        <v>40571</v>
      </c>
      <c r="C619" s="6">
        <v>1</v>
      </c>
      <c r="D619" s="6" t="str">
        <f t="shared" si="90"/>
        <v>january</v>
      </c>
      <c r="E619" s="6">
        <v>23</v>
      </c>
      <c r="F619" s="6" t="str">
        <f t="shared" si="91"/>
        <v>Night</v>
      </c>
      <c r="G619" s="6" t="b">
        <v>0</v>
      </c>
      <c r="H619" s="6">
        <f t="shared" si="92"/>
        <v>0</v>
      </c>
      <c r="I619" s="6">
        <v>5</v>
      </c>
      <c r="J619" s="6" t="str">
        <f t="shared" si="93"/>
        <v>Friday</v>
      </c>
      <c r="K619" s="6">
        <f t="shared" si="94"/>
        <v>0</v>
      </c>
      <c r="L619" s="6">
        <v>1</v>
      </c>
      <c r="M619" s="6" t="str">
        <f t="shared" si="95"/>
        <v>Partly cloudy</v>
      </c>
      <c r="N619" s="8">
        <v>0.24</v>
      </c>
      <c r="O619" s="8">
        <v>0.2273</v>
      </c>
      <c r="P619" s="8">
        <v>0.6</v>
      </c>
      <c r="Q619" s="8">
        <v>0.22389999999999999</v>
      </c>
      <c r="R619" s="6">
        <v>1</v>
      </c>
      <c r="S619" s="6">
        <v>22</v>
      </c>
      <c r="T619" s="6">
        <v>23</v>
      </c>
      <c r="U619" s="8">
        <f t="shared" si="96"/>
        <v>-0.51295812847461175</v>
      </c>
      <c r="V619" s="8" t="str">
        <f t="shared" si="97"/>
        <v>Normal</v>
      </c>
      <c r="W619" s="8">
        <f t="shared" si="98"/>
        <v>-0.65525997322023544</v>
      </c>
      <c r="X619" s="8" t="str">
        <f t="shared" si="99"/>
        <v>Normal</v>
      </c>
    </row>
    <row r="620" spans="1:24" x14ac:dyDescent="0.25">
      <c r="A620" s="6">
        <v>619</v>
      </c>
      <c r="B620" s="7">
        <v>40572</v>
      </c>
      <c r="C620" s="6">
        <v>1</v>
      </c>
      <c r="D620" s="6" t="str">
        <f t="shared" si="90"/>
        <v>january</v>
      </c>
      <c r="E620" s="6">
        <v>0</v>
      </c>
      <c r="F620" s="6" t="str">
        <f t="shared" si="91"/>
        <v>Night</v>
      </c>
      <c r="G620" s="6" t="b">
        <v>0</v>
      </c>
      <c r="H620" s="6">
        <f t="shared" si="92"/>
        <v>0</v>
      </c>
      <c r="I620" s="6">
        <v>6</v>
      </c>
      <c r="J620" s="6" t="str">
        <f t="shared" si="93"/>
        <v>Saturday</v>
      </c>
      <c r="K620" s="6">
        <f t="shared" si="94"/>
        <v>1</v>
      </c>
      <c r="L620" s="6">
        <v>1</v>
      </c>
      <c r="M620" s="6" t="str">
        <f t="shared" si="95"/>
        <v>Partly cloudy</v>
      </c>
      <c r="N620" s="8">
        <v>0.22</v>
      </c>
      <c r="O620" s="8">
        <v>0.19700000000000001</v>
      </c>
      <c r="P620" s="8">
        <v>0.64</v>
      </c>
      <c r="Q620" s="8">
        <v>0.35820000000000002</v>
      </c>
      <c r="R620" s="6">
        <v>2</v>
      </c>
      <c r="S620" s="6">
        <v>26</v>
      </c>
      <c r="T620" s="6">
        <v>28</v>
      </c>
      <c r="U620" s="8">
        <f t="shared" si="96"/>
        <v>-0.38213483633622569</v>
      </c>
      <c r="V620" s="8" t="str">
        <f t="shared" si="97"/>
        <v>Normal</v>
      </c>
      <c r="W620" s="8">
        <f t="shared" si="98"/>
        <v>-0.57174214851001204</v>
      </c>
      <c r="X620" s="8" t="str">
        <f t="shared" si="99"/>
        <v>Normal</v>
      </c>
    </row>
    <row r="621" spans="1:24" x14ac:dyDescent="0.25">
      <c r="A621" s="6">
        <v>620</v>
      </c>
      <c r="B621" s="7">
        <v>40572</v>
      </c>
      <c r="C621" s="6">
        <v>1</v>
      </c>
      <c r="D621" s="6" t="str">
        <f t="shared" si="90"/>
        <v>january</v>
      </c>
      <c r="E621" s="6">
        <v>1</v>
      </c>
      <c r="F621" s="6" t="str">
        <f t="shared" si="91"/>
        <v>Night</v>
      </c>
      <c r="G621" s="6" t="b">
        <v>0</v>
      </c>
      <c r="H621" s="6">
        <f t="shared" si="92"/>
        <v>0</v>
      </c>
      <c r="I621" s="6">
        <v>6</v>
      </c>
      <c r="J621" s="6" t="str">
        <f t="shared" si="93"/>
        <v>Saturday</v>
      </c>
      <c r="K621" s="6">
        <f t="shared" si="94"/>
        <v>1</v>
      </c>
      <c r="L621" s="6">
        <v>1</v>
      </c>
      <c r="M621" s="6" t="str">
        <f t="shared" si="95"/>
        <v>Partly cloudy</v>
      </c>
      <c r="N621" s="8">
        <v>0.22</v>
      </c>
      <c r="O621" s="8">
        <v>0.2273</v>
      </c>
      <c r="P621" s="8">
        <v>0.64</v>
      </c>
      <c r="Q621" s="8">
        <v>0.19400000000000001</v>
      </c>
      <c r="R621" s="6">
        <v>0</v>
      </c>
      <c r="S621" s="6">
        <v>20</v>
      </c>
      <c r="T621" s="6">
        <v>20</v>
      </c>
      <c r="U621" s="8">
        <f t="shared" si="96"/>
        <v>-0.64378142061299781</v>
      </c>
      <c r="V621" s="8" t="str">
        <f t="shared" si="97"/>
        <v>Normal</v>
      </c>
      <c r="W621" s="8">
        <f t="shared" si="98"/>
        <v>-0.69701888557534708</v>
      </c>
      <c r="X621" s="8" t="str">
        <f t="shared" si="99"/>
        <v>Normal</v>
      </c>
    </row>
    <row r="622" spans="1:24" x14ac:dyDescent="0.25">
      <c r="A622" s="6">
        <v>621</v>
      </c>
      <c r="B622" s="7">
        <v>40572</v>
      </c>
      <c r="C622" s="6">
        <v>1</v>
      </c>
      <c r="D622" s="6" t="str">
        <f t="shared" si="90"/>
        <v>january</v>
      </c>
      <c r="E622" s="6">
        <v>2</v>
      </c>
      <c r="F622" s="6" t="str">
        <f t="shared" si="91"/>
        <v>Night</v>
      </c>
      <c r="G622" s="6" t="b">
        <v>0</v>
      </c>
      <c r="H622" s="6">
        <f t="shared" si="92"/>
        <v>0</v>
      </c>
      <c r="I622" s="6">
        <v>6</v>
      </c>
      <c r="J622" s="6" t="str">
        <f t="shared" si="93"/>
        <v>Saturday</v>
      </c>
      <c r="K622" s="6">
        <f t="shared" si="94"/>
        <v>1</v>
      </c>
      <c r="L622" s="6">
        <v>1</v>
      </c>
      <c r="M622" s="6" t="str">
        <f t="shared" si="95"/>
        <v>Partly cloudy</v>
      </c>
      <c r="N622" s="8">
        <v>0.22</v>
      </c>
      <c r="O622" s="8">
        <v>0.2273</v>
      </c>
      <c r="P622" s="8">
        <v>0.64</v>
      </c>
      <c r="Q622" s="8">
        <v>0.16420000000000001</v>
      </c>
      <c r="R622" s="6">
        <v>0</v>
      </c>
      <c r="S622" s="6">
        <v>15</v>
      </c>
      <c r="T622" s="6">
        <v>15</v>
      </c>
      <c r="U622" s="8">
        <f t="shared" si="96"/>
        <v>-0.64378142061299781</v>
      </c>
      <c r="V622" s="8" t="str">
        <f t="shared" si="97"/>
        <v>Normal</v>
      </c>
      <c r="W622" s="8">
        <f t="shared" si="98"/>
        <v>-0.80141616646312641</v>
      </c>
      <c r="X622" s="8" t="str">
        <f t="shared" si="99"/>
        <v>Normal</v>
      </c>
    </row>
    <row r="623" spans="1:24" x14ac:dyDescent="0.25">
      <c r="A623" s="6">
        <v>622</v>
      </c>
      <c r="B623" s="7">
        <v>40572</v>
      </c>
      <c r="C623" s="6">
        <v>1</v>
      </c>
      <c r="D623" s="6" t="str">
        <f t="shared" si="90"/>
        <v>january</v>
      </c>
      <c r="E623" s="6">
        <v>3</v>
      </c>
      <c r="F623" s="6" t="str">
        <f t="shared" si="91"/>
        <v>Night</v>
      </c>
      <c r="G623" s="6" t="b">
        <v>0</v>
      </c>
      <c r="H623" s="6">
        <f t="shared" si="92"/>
        <v>0</v>
      </c>
      <c r="I623" s="6">
        <v>6</v>
      </c>
      <c r="J623" s="6" t="str">
        <f t="shared" si="93"/>
        <v>Saturday</v>
      </c>
      <c r="K623" s="6">
        <f t="shared" si="94"/>
        <v>1</v>
      </c>
      <c r="L623" s="6">
        <v>1</v>
      </c>
      <c r="M623" s="6" t="str">
        <f t="shared" si="95"/>
        <v>Partly cloudy</v>
      </c>
      <c r="N623" s="8">
        <v>0.2</v>
      </c>
      <c r="O623" s="8">
        <v>0.21210000000000001</v>
      </c>
      <c r="P623" s="8">
        <v>0.64</v>
      </c>
      <c r="Q623" s="8">
        <v>0.1343</v>
      </c>
      <c r="R623" s="6">
        <v>3</v>
      </c>
      <c r="S623" s="6">
        <v>5</v>
      </c>
      <c r="T623" s="6">
        <v>8</v>
      </c>
      <c r="U623" s="8">
        <f t="shared" si="96"/>
        <v>-0.25131154419783963</v>
      </c>
      <c r="V623" s="8" t="str">
        <f t="shared" si="97"/>
        <v>Normal</v>
      </c>
      <c r="W623" s="8">
        <f t="shared" si="98"/>
        <v>-1.010210728238685</v>
      </c>
      <c r="X623" s="8" t="str">
        <f t="shared" si="99"/>
        <v>Normal</v>
      </c>
    </row>
    <row r="624" spans="1:24" x14ac:dyDescent="0.25">
      <c r="A624" s="6">
        <v>623</v>
      </c>
      <c r="B624" s="7">
        <v>40572</v>
      </c>
      <c r="C624" s="6">
        <v>1</v>
      </c>
      <c r="D624" s="6" t="str">
        <f t="shared" si="90"/>
        <v>january</v>
      </c>
      <c r="E624" s="6">
        <v>4</v>
      </c>
      <c r="F624" s="6" t="str">
        <f t="shared" si="91"/>
        <v>Night</v>
      </c>
      <c r="G624" s="6" t="b">
        <v>0</v>
      </c>
      <c r="H624" s="6">
        <f t="shared" si="92"/>
        <v>0</v>
      </c>
      <c r="I624" s="6">
        <v>6</v>
      </c>
      <c r="J624" s="6" t="str">
        <f t="shared" si="93"/>
        <v>Saturday</v>
      </c>
      <c r="K624" s="6">
        <f t="shared" si="94"/>
        <v>1</v>
      </c>
      <c r="L624" s="6">
        <v>1</v>
      </c>
      <c r="M624" s="6" t="str">
        <f t="shared" si="95"/>
        <v>Partly cloudy</v>
      </c>
      <c r="N624" s="8">
        <v>0.16</v>
      </c>
      <c r="O624" s="8">
        <v>0.18179999999999999</v>
      </c>
      <c r="P624" s="8">
        <v>0.69</v>
      </c>
      <c r="Q624" s="8">
        <v>0.1045</v>
      </c>
      <c r="R624" s="6">
        <v>1</v>
      </c>
      <c r="S624" s="6">
        <v>2</v>
      </c>
      <c r="T624" s="6">
        <v>3</v>
      </c>
      <c r="U624" s="8">
        <f t="shared" si="96"/>
        <v>-0.51295812847461175</v>
      </c>
      <c r="V624" s="8" t="str">
        <f t="shared" si="97"/>
        <v>Normal</v>
      </c>
      <c r="W624" s="8">
        <f t="shared" si="98"/>
        <v>-1.0728490967713524</v>
      </c>
      <c r="X624" s="8" t="str">
        <f t="shared" si="99"/>
        <v>Normal</v>
      </c>
    </row>
    <row r="625" spans="1:24" x14ac:dyDescent="0.25">
      <c r="A625" s="6">
        <v>624</v>
      </c>
      <c r="B625" s="7">
        <v>40572</v>
      </c>
      <c r="C625" s="6">
        <v>1</v>
      </c>
      <c r="D625" s="6" t="str">
        <f t="shared" si="90"/>
        <v>january</v>
      </c>
      <c r="E625" s="6">
        <v>6</v>
      </c>
      <c r="F625" s="6" t="str">
        <f t="shared" si="91"/>
        <v>Early Morning</v>
      </c>
      <c r="G625" s="6" t="b">
        <v>0</v>
      </c>
      <c r="H625" s="6">
        <f t="shared" si="92"/>
        <v>0</v>
      </c>
      <c r="I625" s="6">
        <v>6</v>
      </c>
      <c r="J625" s="6" t="str">
        <f t="shared" si="93"/>
        <v>Saturday</v>
      </c>
      <c r="K625" s="6">
        <f t="shared" si="94"/>
        <v>1</v>
      </c>
      <c r="L625" s="6">
        <v>1</v>
      </c>
      <c r="M625" s="6" t="str">
        <f t="shared" si="95"/>
        <v>Partly cloudy</v>
      </c>
      <c r="N625" s="8">
        <v>0.16</v>
      </c>
      <c r="O625" s="8">
        <v>0.18179999999999999</v>
      </c>
      <c r="P625" s="8">
        <v>0.64</v>
      </c>
      <c r="Q625" s="8">
        <v>0.1343</v>
      </c>
      <c r="R625" s="6">
        <v>0</v>
      </c>
      <c r="S625" s="6">
        <v>2</v>
      </c>
      <c r="T625" s="6">
        <v>2</v>
      </c>
      <c r="U625" s="8">
        <f t="shared" si="96"/>
        <v>-0.64378142061299781</v>
      </c>
      <c r="V625" s="8" t="str">
        <f t="shared" si="97"/>
        <v>Normal</v>
      </c>
      <c r="W625" s="8">
        <f t="shared" si="98"/>
        <v>-1.0728490967713524</v>
      </c>
      <c r="X625" s="8" t="str">
        <f t="shared" si="99"/>
        <v>Normal</v>
      </c>
    </row>
    <row r="626" spans="1:24" x14ac:dyDescent="0.25">
      <c r="A626" s="6">
        <v>625</v>
      </c>
      <c r="B626" s="7">
        <v>40572</v>
      </c>
      <c r="C626" s="6">
        <v>1</v>
      </c>
      <c r="D626" s="6" t="str">
        <f t="shared" si="90"/>
        <v>january</v>
      </c>
      <c r="E626" s="6">
        <v>7</v>
      </c>
      <c r="F626" s="6" t="str">
        <f t="shared" si="91"/>
        <v>Early Morning</v>
      </c>
      <c r="G626" s="6" t="b">
        <v>0</v>
      </c>
      <c r="H626" s="6">
        <f t="shared" si="92"/>
        <v>0</v>
      </c>
      <c r="I626" s="6">
        <v>6</v>
      </c>
      <c r="J626" s="6" t="str">
        <f t="shared" si="93"/>
        <v>Saturday</v>
      </c>
      <c r="K626" s="6">
        <f t="shared" si="94"/>
        <v>1</v>
      </c>
      <c r="L626" s="6">
        <v>1</v>
      </c>
      <c r="M626" s="6" t="str">
        <f t="shared" si="95"/>
        <v>Partly cloudy</v>
      </c>
      <c r="N626" s="8">
        <v>0.16</v>
      </c>
      <c r="O626" s="8">
        <v>0.18179999999999999</v>
      </c>
      <c r="P626" s="8">
        <v>0.59</v>
      </c>
      <c r="Q626" s="8">
        <v>0.1045</v>
      </c>
      <c r="R626" s="6">
        <v>1</v>
      </c>
      <c r="S626" s="6">
        <v>4</v>
      </c>
      <c r="T626" s="6">
        <v>5</v>
      </c>
      <c r="U626" s="8">
        <f t="shared" si="96"/>
        <v>-0.51295812847461175</v>
      </c>
      <c r="V626" s="8" t="str">
        <f t="shared" si="97"/>
        <v>Normal</v>
      </c>
      <c r="W626" s="8">
        <f t="shared" si="98"/>
        <v>-1.0310901844162408</v>
      </c>
      <c r="X626" s="8" t="str">
        <f t="shared" si="99"/>
        <v>Normal</v>
      </c>
    </row>
    <row r="627" spans="1:24" x14ac:dyDescent="0.25">
      <c r="A627" s="6">
        <v>626</v>
      </c>
      <c r="B627" s="7">
        <v>40572</v>
      </c>
      <c r="C627" s="6">
        <v>1</v>
      </c>
      <c r="D627" s="6" t="str">
        <f t="shared" si="90"/>
        <v>january</v>
      </c>
      <c r="E627" s="6">
        <v>8</v>
      </c>
      <c r="F627" s="6" t="str">
        <f t="shared" si="91"/>
        <v>Morning</v>
      </c>
      <c r="G627" s="6" t="b">
        <v>0</v>
      </c>
      <c r="H627" s="6">
        <f t="shared" si="92"/>
        <v>0</v>
      </c>
      <c r="I627" s="6">
        <v>6</v>
      </c>
      <c r="J627" s="6" t="str">
        <f t="shared" si="93"/>
        <v>Saturday</v>
      </c>
      <c r="K627" s="6">
        <f t="shared" si="94"/>
        <v>1</v>
      </c>
      <c r="L627" s="6">
        <v>1</v>
      </c>
      <c r="M627" s="6" t="str">
        <f t="shared" si="95"/>
        <v>Partly cloudy</v>
      </c>
      <c r="N627" s="8">
        <v>0.18</v>
      </c>
      <c r="O627" s="8">
        <v>0.19700000000000001</v>
      </c>
      <c r="P627" s="8">
        <v>0.55000000000000004</v>
      </c>
      <c r="Q627" s="8">
        <v>0.16420000000000001</v>
      </c>
      <c r="R627" s="6">
        <v>3</v>
      </c>
      <c r="S627" s="6">
        <v>31</v>
      </c>
      <c r="T627" s="6">
        <v>34</v>
      </c>
      <c r="U627" s="8">
        <f t="shared" si="96"/>
        <v>-0.25131154419783963</v>
      </c>
      <c r="V627" s="8" t="str">
        <f t="shared" si="97"/>
        <v>Normal</v>
      </c>
      <c r="W627" s="8">
        <f t="shared" si="98"/>
        <v>-0.46734486762223271</v>
      </c>
      <c r="X627" s="8" t="str">
        <f t="shared" si="99"/>
        <v>Normal</v>
      </c>
    </row>
    <row r="628" spans="1:24" x14ac:dyDescent="0.25">
      <c r="A628" s="6">
        <v>627</v>
      </c>
      <c r="B628" s="7">
        <v>40572</v>
      </c>
      <c r="C628" s="6">
        <v>1</v>
      </c>
      <c r="D628" s="6" t="str">
        <f t="shared" si="90"/>
        <v>january</v>
      </c>
      <c r="E628" s="6">
        <v>9</v>
      </c>
      <c r="F628" s="6" t="str">
        <f t="shared" si="91"/>
        <v>Morning</v>
      </c>
      <c r="G628" s="6" t="b">
        <v>0</v>
      </c>
      <c r="H628" s="6">
        <f t="shared" si="92"/>
        <v>0</v>
      </c>
      <c r="I628" s="6">
        <v>6</v>
      </c>
      <c r="J628" s="6" t="str">
        <f t="shared" si="93"/>
        <v>Saturday</v>
      </c>
      <c r="K628" s="6">
        <f t="shared" si="94"/>
        <v>1</v>
      </c>
      <c r="L628" s="6">
        <v>1</v>
      </c>
      <c r="M628" s="6" t="str">
        <f t="shared" si="95"/>
        <v>Partly cloudy</v>
      </c>
      <c r="N628" s="8">
        <v>0.18</v>
      </c>
      <c r="O628" s="8">
        <v>0.21210000000000001</v>
      </c>
      <c r="P628" s="8">
        <v>0.59</v>
      </c>
      <c r="Q628" s="8">
        <v>8.9599999999999999E-2</v>
      </c>
      <c r="R628" s="6">
        <v>0</v>
      </c>
      <c r="S628" s="6">
        <v>34</v>
      </c>
      <c r="T628" s="6">
        <v>34</v>
      </c>
      <c r="U628" s="8">
        <f t="shared" si="96"/>
        <v>-0.64378142061299781</v>
      </c>
      <c r="V628" s="8" t="str">
        <f t="shared" si="97"/>
        <v>Normal</v>
      </c>
      <c r="W628" s="8">
        <f t="shared" si="98"/>
        <v>-0.40470649908956519</v>
      </c>
      <c r="X628" s="8" t="str">
        <f t="shared" si="99"/>
        <v>Normal</v>
      </c>
    </row>
    <row r="629" spans="1:24" x14ac:dyDescent="0.25">
      <c r="A629" s="6">
        <v>628</v>
      </c>
      <c r="B629" s="7">
        <v>40572</v>
      </c>
      <c r="C629" s="6">
        <v>1</v>
      </c>
      <c r="D629" s="6" t="str">
        <f t="shared" si="90"/>
        <v>january</v>
      </c>
      <c r="E629" s="6">
        <v>10</v>
      </c>
      <c r="F629" s="6" t="str">
        <f t="shared" si="91"/>
        <v>Morning</v>
      </c>
      <c r="G629" s="6" t="b">
        <v>0</v>
      </c>
      <c r="H629" s="6">
        <f t="shared" si="92"/>
        <v>0</v>
      </c>
      <c r="I629" s="6">
        <v>6</v>
      </c>
      <c r="J629" s="6" t="str">
        <f t="shared" si="93"/>
        <v>Saturday</v>
      </c>
      <c r="K629" s="6">
        <f t="shared" si="94"/>
        <v>1</v>
      </c>
      <c r="L629" s="6">
        <v>2</v>
      </c>
      <c r="M629" s="6" t="str">
        <f t="shared" si="95"/>
        <v>Cloudy</v>
      </c>
      <c r="N629" s="8">
        <v>0.18</v>
      </c>
      <c r="O629" s="8">
        <v>0.21210000000000001</v>
      </c>
      <c r="P629" s="8">
        <v>0.64</v>
      </c>
      <c r="Q629" s="8">
        <v>0.1045</v>
      </c>
      <c r="R629" s="6">
        <v>4</v>
      </c>
      <c r="S629" s="6">
        <v>51</v>
      </c>
      <c r="T629" s="6">
        <v>55</v>
      </c>
      <c r="U629" s="8">
        <f t="shared" si="96"/>
        <v>-0.1204882520594536</v>
      </c>
      <c r="V629" s="8" t="str">
        <f t="shared" si="97"/>
        <v>Normal</v>
      </c>
      <c r="W629" s="8">
        <f t="shared" si="98"/>
        <v>-4.9755744071115653E-2</v>
      </c>
      <c r="X629" s="8" t="str">
        <f t="shared" si="99"/>
        <v>Normal</v>
      </c>
    </row>
    <row r="630" spans="1:24" x14ac:dyDescent="0.25">
      <c r="A630" s="6">
        <v>629</v>
      </c>
      <c r="B630" s="7">
        <v>40572</v>
      </c>
      <c r="C630" s="6">
        <v>1</v>
      </c>
      <c r="D630" s="6" t="str">
        <f t="shared" si="90"/>
        <v>january</v>
      </c>
      <c r="E630" s="6">
        <v>11</v>
      </c>
      <c r="F630" s="6" t="str">
        <f t="shared" si="91"/>
        <v>Morning</v>
      </c>
      <c r="G630" s="6" t="b">
        <v>0</v>
      </c>
      <c r="H630" s="6">
        <f t="shared" si="92"/>
        <v>0</v>
      </c>
      <c r="I630" s="6">
        <v>6</v>
      </c>
      <c r="J630" s="6" t="str">
        <f t="shared" si="93"/>
        <v>Saturday</v>
      </c>
      <c r="K630" s="6">
        <f t="shared" si="94"/>
        <v>1</v>
      </c>
      <c r="L630" s="6">
        <v>2</v>
      </c>
      <c r="M630" s="6" t="str">
        <f t="shared" si="95"/>
        <v>Cloudy</v>
      </c>
      <c r="N630" s="8">
        <v>0.18</v>
      </c>
      <c r="O630" s="8">
        <v>0.19700000000000001</v>
      </c>
      <c r="P630" s="8">
        <v>0.64</v>
      </c>
      <c r="Q630" s="8">
        <v>0.1343</v>
      </c>
      <c r="R630" s="6">
        <v>4</v>
      </c>
      <c r="S630" s="6">
        <v>60</v>
      </c>
      <c r="T630" s="6">
        <v>64</v>
      </c>
      <c r="U630" s="8">
        <f t="shared" si="96"/>
        <v>-0.1204882520594536</v>
      </c>
      <c r="V630" s="8" t="str">
        <f t="shared" si="97"/>
        <v>Normal</v>
      </c>
      <c r="W630" s="8">
        <f t="shared" si="98"/>
        <v>0.13815936152688704</v>
      </c>
      <c r="X630" s="8" t="str">
        <f t="shared" si="99"/>
        <v>Normal</v>
      </c>
    </row>
    <row r="631" spans="1:24" x14ac:dyDescent="0.25">
      <c r="A631" s="6">
        <v>630</v>
      </c>
      <c r="B631" s="7">
        <v>40572</v>
      </c>
      <c r="C631" s="6">
        <v>1</v>
      </c>
      <c r="D631" s="6" t="str">
        <f t="shared" si="90"/>
        <v>january</v>
      </c>
      <c r="E631" s="6">
        <v>12</v>
      </c>
      <c r="F631" s="6" t="str">
        <f t="shared" si="91"/>
        <v>Afternoon</v>
      </c>
      <c r="G631" s="6" t="b">
        <v>0</v>
      </c>
      <c r="H631" s="6">
        <f t="shared" si="92"/>
        <v>0</v>
      </c>
      <c r="I631" s="6">
        <v>6</v>
      </c>
      <c r="J631" s="6" t="str">
        <f t="shared" si="93"/>
        <v>Saturday</v>
      </c>
      <c r="K631" s="6">
        <f t="shared" si="94"/>
        <v>1</v>
      </c>
      <c r="L631" s="6">
        <v>2</v>
      </c>
      <c r="M631" s="6" t="str">
        <f t="shared" si="95"/>
        <v>Cloudy</v>
      </c>
      <c r="N631" s="8">
        <v>0.2</v>
      </c>
      <c r="O631" s="8">
        <v>0.19700000000000001</v>
      </c>
      <c r="P631" s="8">
        <v>0.59</v>
      </c>
      <c r="Q631" s="8">
        <v>0.19400000000000001</v>
      </c>
      <c r="R631" s="6">
        <v>12</v>
      </c>
      <c r="S631" s="6">
        <v>66</v>
      </c>
      <c r="T631" s="6">
        <v>78</v>
      </c>
      <c r="U631" s="8">
        <f t="shared" si="96"/>
        <v>0.92609808504763491</v>
      </c>
      <c r="V631" s="8" t="str">
        <f t="shared" si="97"/>
        <v>Normal</v>
      </c>
      <c r="W631" s="8">
        <f t="shared" si="98"/>
        <v>0.26343609859222217</v>
      </c>
      <c r="X631" s="8" t="str">
        <f t="shared" si="99"/>
        <v>Normal</v>
      </c>
    </row>
    <row r="632" spans="1:24" x14ac:dyDescent="0.25">
      <c r="A632" s="6">
        <v>631</v>
      </c>
      <c r="B632" s="7">
        <v>40572</v>
      </c>
      <c r="C632" s="6">
        <v>1</v>
      </c>
      <c r="D632" s="6" t="str">
        <f t="shared" si="90"/>
        <v>january</v>
      </c>
      <c r="E632" s="6">
        <v>13</v>
      </c>
      <c r="F632" s="6" t="str">
        <f t="shared" si="91"/>
        <v>Afternoon</v>
      </c>
      <c r="G632" s="6" t="b">
        <v>0</v>
      </c>
      <c r="H632" s="6">
        <f t="shared" si="92"/>
        <v>0</v>
      </c>
      <c r="I632" s="6">
        <v>6</v>
      </c>
      <c r="J632" s="6" t="str">
        <f t="shared" si="93"/>
        <v>Saturday</v>
      </c>
      <c r="K632" s="6">
        <f t="shared" si="94"/>
        <v>1</v>
      </c>
      <c r="L632" s="6">
        <v>2</v>
      </c>
      <c r="M632" s="6" t="str">
        <f t="shared" si="95"/>
        <v>Cloudy</v>
      </c>
      <c r="N632" s="8">
        <v>0.22</v>
      </c>
      <c r="O632" s="8">
        <v>0.2273</v>
      </c>
      <c r="P632" s="8">
        <v>0.55000000000000004</v>
      </c>
      <c r="Q632" s="8">
        <v>0.16420000000000001</v>
      </c>
      <c r="R632" s="6">
        <v>9</v>
      </c>
      <c r="S632" s="6">
        <v>56</v>
      </c>
      <c r="T632" s="6">
        <v>65</v>
      </c>
      <c r="U632" s="8">
        <f t="shared" si="96"/>
        <v>0.53362820863247673</v>
      </c>
      <c r="V632" s="8" t="str">
        <f t="shared" si="97"/>
        <v>Normal</v>
      </c>
      <c r="W632" s="8">
        <f t="shared" si="98"/>
        <v>5.4641536816663616E-2</v>
      </c>
      <c r="X632" s="8" t="str">
        <f t="shared" si="99"/>
        <v>Normal</v>
      </c>
    </row>
    <row r="633" spans="1:24" x14ac:dyDescent="0.25">
      <c r="A633" s="6">
        <v>632</v>
      </c>
      <c r="B633" s="7">
        <v>40572</v>
      </c>
      <c r="C633" s="6">
        <v>1</v>
      </c>
      <c r="D633" s="6" t="str">
        <f t="shared" si="90"/>
        <v>january</v>
      </c>
      <c r="E633" s="6">
        <v>14</v>
      </c>
      <c r="F633" s="6" t="str">
        <f t="shared" si="91"/>
        <v>Afternoon</v>
      </c>
      <c r="G633" s="6" t="b">
        <v>0</v>
      </c>
      <c r="H633" s="6">
        <f t="shared" si="92"/>
        <v>0</v>
      </c>
      <c r="I633" s="6">
        <v>6</v>
      </c>
      <c r="J633" s="6" t="str">
        <f t="shared" si="93"/>
        <v>Saturday</v>
      </c>
      <c r="K633" s="6">
        <f t="shared" si="94"/>
        <v>1</v>
      </c>
      <c r="L633" s="6">
        <v>2</v>
      </c>
      <c r="M633" s="6" t="str">
        <f t="shared" si="95"/>
        <v>Cloudy</v>
      </c>
      <c r="N633" s="8">
        <v>0.22</v>
      </c>
      <c r="O633" s="8">
        <v>0.2273</v>
      </c>
      <c r="P633" s="8">
        <v>0.6</v>
      </c>
      <c r="Q633" s="8">
        <v>0.1343</v>
      </c>
      <c r="R633" s="6">
        <v>10</v>
      </c>
      <c r="S633" s="6">
        <v>89</v>
      </c>
      <c r="T633" s="6">
        <v>99</v>
      </c>
      <c r="U633" s="8">
        <f t="shared" si="96"/>
        <v>0.66445150077086279</v>
      </c>
      <c r="V633" s="8" t="str">
        <f t="shared" si="97"/>
        <v>Normal</v>
      </c>
      <c r="W633" s="8">
        <f t="shared" si="98"/>
        <v>0.74366359067600685</v>
      </c>
      <c r="X633" s="8" t="str">
        <f t="shared" si="99"/>
        <v>Normal</v>
      </c>
    </row>
    <row r="634" spans="1:24" x14ac:dyDescent="0.25">
      <c r="A634" s="6">
        <v>633</v>
      </c>
      <c r="B634" s="7">
        <v>40572</v>
      </c>
      <c r="C634" s="6">
        <v>1</v>
      </c>
      <c r="D634" s="6" t="str">
        <f t="shared" si="90"/>
        <v>january</v>
      </c>
      <c r="E634" s="6">
        <v>15</v>
      </c>
      <c r="F634" s="6" t="str">
        <f t="shared" si="91"/>
        <v>Afternoon</v>
      </c>
      <c r="G634" s="6" t="b">
        <v>0</v>
      </c>
      <c r="H634" s="6">
        <f t="shared" si="92"/>
        <v>0</v>
      </c>
      <c r="I634" s="6">
        <v>6</v>
      </c>
      <c r="J634" s="6" t="str">
        <f t="shared" si="93"/>
        <v>Saturday</v>
      </c>
      <c r="K634" s="6">
        <f t="shared" si="94"/>
        <v>1</v>
      </c>
      <c r="L634" s="6">
        <v>1</v>
      </c>
      <c r="M634" s="6" t="str">
        <f t="shared" si="95"/>
        <v>Partly cloudy</v>
      </c>
      <c r="N634" s="8">
        <v>0.22</v>
      </c>
      <c r="O634" s="8">
        <v>0.21210000000000001</v>
      </c>
      <c r="P634" s="8">
        <v>0.69</v>
      </c>
      <c r="Q634" s="8">
        <v>0.25369999999999998</v>
      </c>
      <c r="R634" s="6">
        <v>22</v>
      </c>
      <c r="S634" s="6">
        <v>98</v>
      </c>
      <c r="T634" s="6">
        <v>120</v>
      </c>
      <c r="U634" s="8">
        <f t="shared" si="96"/>
        <v>2.2343310064314954</v>
      </c>
      <c r="V634" s="8" t="str">
        <f t="shared" si="97"/>
        <v>Peak</v>
      </c>
      <c r="W634" s="8">
        <f t="shared" si="98"/>
        <v>0.93157869627400947</v>
      </c>
      <c r="X634" s="8" t="str">
        <f t="shared" si="99"/>
        <v>Normal</v>
      </c>
    </row>
    <row r="635" spans="1:24" x14ac:dyDescent="0.25">
      <c r="A635" s="6">
        <v>634</v>
      </c>
      <c r="B635" s="7">
        <v>40572</v>
      </c>
      <c r="C635" s="6">
        <v>1</v>
      </c>
      <c r="D635" s="6" t="str">
        <f t="shared" si="90"/>
        <v>january</v>
      </c>
      <c r="E635" s="6">
        <v>16</v>
      </c>
      <c r="F635" s="6" t="str">
        <f t="shared" si="91"/>
        <v>Afternoon</v>
      </c>
      <c r="G635" s="6" t="b">
        <v>0</v>
      </c>
      <c r="H635" s="6">
        <f t="shared" si="92"/>
        <v>0</v>
      </c>
      <c r="I635" s="6">
        <v>6</v>
      </c>
      <c r="J635" s="6" t="str">
        <f t="shared" si="93"/>
        <v>Saturday</v>
      </c>
      <c r="K635" s="6">
        <f t="shared" si="94"/>
        <v>1</v>
      </c>
      <c r="L635" s="6">
        <v>1</v>
      </c>
      <c r="M635" s="6" t="str">
        <f t="shared" si="95"/>
        <v>Partly cloudy</v>
      </c>
      <c r="N635" s="8">
        <v>0.24</v>
      </c>
      <c r="O635" s="8">
        <v>0.2424</v>
      </c>
      <c r="P635" s="8">
        <v>0.6</v>
      </c>
      <c r="Q635" s="8">
        <v>0.16420000000000001</v>
      </c>
      <c r="R635" s="6">
        <v>19</v>
      </c>
      <c r="S635" s="6">
        <v>88</v>
      </c>
      <c r="T635" s="6">
        <v>107</v>
      </c>
      <c r="U635" s="8">
        <f t="shared" si="96"/>
        <v>1.8418611300163374</v>
      </c>
      <c r="V635" s="8" t="str">
        <f t="shared" si="97"/>
        <v>Normal</v>
      </c>
      <c r="W635" s="8">
        <f t="shared" si="98"/>
        <v>0.72278413449845091</v>
      </c>
      <c r="X635" s="8" t="str">
        <f t="shared" si="99"/>
        <v>Normal</v>
      </c>
    </row>
    <row r="636" spans="1:24" x14ac:dyDescent="0.25">
      <c r="A636" s="6">
        <v>635</v>
      </c>
      <c r="B636" s="7">
        <v>40572</v>
      </c>
      <c r="C636" s="6">
        <v>1</v>
      </c>
      <c r="D636" s="6" t="str">
        <f t="shared" si="90"/>
        <v>january</v>
      </c>
      <c r="E636" s="6">
        <v>17</v>
      </c>
      <c r="F636" s="6" t="str">
        <f t="shared" si="91"/>
        <v>Evening</v>
      </c>
      <c r="G636" s="6" t="b">
        <v>0</v>
      </c>
      <c r="H636" s="6">
        <f t="shared" si="92"/>
        <v>0</v>
      </c>
      <c r="I636" s="6">
        <v>6</v>
      </c>
      <c r="J636" s="6" t="str">
        <f t="shared" si="93"/>
        <v>Saturday</v>
      </c>
      <c r="K636" s="6">
        <f t="shared" si="94"/>
        <v>1</v>
      </c>
      <c r="L636" s="6">
        <v>1</v>
      </c>
      <c r="M636" s="6" t="str">
        <f t="shared" si="95"/>
        <v>Partly cloudy</v>
      </c>
      <c r="N636" s="8">
        <v>0.24</v>
      </c>
      <c r="O636" s="8">
        <v>0.28789999999999999</v>
      </c>
      <c r="P636" s="8">
        <v>0.6</v>
      </c>
      <c r="Q636" s="8">
        <v>0</v>
      </c>
      <c r="R636" s="6">
        <v>9</v>
      </c>
      <c r="S636" s="6">
        <v>82</v>
      </c>
      <c r="T636" s="6">
        <v>91</v>
      </c>
      <c r="U636" s="8">
        <f t="shared" si="96"/>
        <v>0.53362820863247673</v>
      </c>
      <c r="V636" s="8" t="str">
        <f t="shared" si="97"/>
        <v>Normal</v>
      </c>
      <c r="W636" s="8">
        <f t="shared" si="98"/>
        <v>0.59750739743311576</v>
      </c>
      <c r="X636" s="8" t="str">
        <f t="shared" si="99"/>
        <v>Normal</v>
      </c>
    </row>
    <row r="637" spans="1:24" x14ac:dyDescent="0.25">
      <c r="A637" s="6">
        <v>636</v>
      </c>
      <c r="B637" s="7">
        <v>40572</v>
      </c>
      <c r="C637" s="6">
        <v>1</v>
      </c>
      <c r="D637" s="6" t="str">
        <f t="shared" si="90"/>
        <v>january</v>
      </c>
      <c r="E637" s="6">
        <v>18</v>
      </c>
      <c r="F637" s="6" t="str">
        <f t="shared" si="91"/>
        <v>Evening</v>
      </c>
      <c r="G637" s="6" t="b">
        <v>0</v>
      </c>
      <c r="H637" s="6">
        <f t="shared" si="92"/>
        <v>0</v>
      </c>
      <c r="I637" s="6">
        <v>6</v>
      </c>
      <c r="J637" s="6" t="str">
        <f t="shared" si="93"/>
        <v>Saturday</v>
      </c>
      <c r="K637" s="6">
        <f t="shared" si="94"/>
        <v>1</v>
      </c>
      <c r="L637" s="6">
        <v>1</v>
      </c>
      <c r="M637" s="6" t="str">
        <f t="shared" si="95"/>
        <v>Partly cloudy</v>
      </c>
      <c r="N637" s="8">
        <v>0.22</v>
      </c>
      <c r="O637" s="8">
        <v>0.2273</v>
      </c>
      <c r="P637" s="8">
        <v>0.69</v>
      </c>
      <c r="Q637" s="8">
        <v>0.1343</v>
      </c>
      <c r="R637" s="6">
        <v>9</v>
      </c>
      <c r="S637" s="6">
        <v>59</v>
      </c>
      <c r="T637" s="6">
        <v>68</v>
      </c>
      <c r="U637" s="8">
        <f t="shared" si="96"/>
        <v>0.53362820863247673</v>
      </c>
      <c r="V637" s="8" t="str">
        <f t="shared" si="97"/>
        <v>Normal</v>
      </c>
      <c r="W637" s="8">
        <f t="shared" si="98"/>
        <v>0.11727990534933118</v>
      </c>
      <c r="X637" s="8" t="str">
        <f t="shared" si="99"/>
        <v>Normal</v>
      </c>
    </row>
    <row r="638" spans="1:24" x14ac:dyDescent="0.25">
      <c r="A638" s="6">
        <v>637</v>
      </c>
      <c r="B638" s="7">
        <v>40572</v>
      </c>
      <c r="C638" s="6">
        <v>1</v>
      </c>
      <c r="D638" s="6" t="str">
        <f t="shared" si="90"/>
        <v>january</v>
      </c>
      <c r="E638" s="6">
        <v>19</v>
      </c>
      <c r="F638" s="6" t="str">
        <f t="shared" si="91"/>
        <v>Evening</v>
      </c>
      <c r="G638" s="6" t="b">
        <v>0</v>
      </c>
      <c r="H638" s="6">
        <f t="shared" si="92"/>
        <v>0</v>
      </c>
      <c r="I638" s="6">
        <v>6</v>
      </c>
      <c r="J638" s="6" t="str">
        <f t="shared" si="93"/>
        <v>Saturday</v>
      </c>
      <c r="K638" s="6">
        <f t="shared" si="94"/>
        <v>1</v>
      </c>
      <c r="L638" s="6">
        <v>2</v>
      </c>
      <c r="M638" s="6" t="str">
        <f t="shared" si="95"/>
        <v>Cloudy</v>
      </c>
      <c r="N638" s="8">
        <v>0.22</v>
      </c>
      <c r="O638" s="8">
        <v>0.21210000000000001</v>
      </c>
      <c r="P638" s="8">
        <v>0.69</v>
      </c>
      <c r="Q638" s="8">
        <v>0.25369999999999998</v>
      </c>
      <c r="R638" s="6">
        <v>6</v>
      </c>
      <c r="S638" s="6">
        <v>52</v>
      </c>
      <c r="T638" s="6">
        <v>58</v>
      </c>
      <c r="U638" s="8">
        <f t="shared" si="96"/>
        <v>0.14115833221731852</v>
      </c>
      <c r="V638" s="8" t="str">
        <f t="shared" si="97"/>
        <v>Normal</v>
      </c>
      <c r="W638" s="8">
        <f t="shared" si="98"/>
        <v>-2.8876287893559803E-2</v>
      </c>
      <c r="X638" s="8" t="str">
        <f t="shared" si="99"/>
        <v>Normal</v>
      </c>
    </row>
    <row r="639" spans="1:24" x14ac:dyDescent="0.25">
      <c r="A639" s="6">
        <v>638</v>
      </c>
      <c r="B639" s="7">
        <v>40572</v>
      </c>
      <c r="C639" s="6">
        <v>1</v>
      </c>
      <c r="D639" s="6" t="str">
        <f t="shared" si="90"/>
        <v>january</v>
      </c>
      <c r="E639" s="6">
        <v>20</v>
      </c>
      <c r="F639" s="6" t="str">
        <f t="shared" si="91"/>
        <v>Evening</v>
      </c>
      <c r="G639" s="6" t="b">
        <v>0</v>
      </c>
      <c r="H639" s="6">
        <f t="shared" si="92"/>
        <v>0</v>
      </c>
      <c r="I639" s="6">
        <v>6</v>
      </c>
      <c r="J639" s="6" t="str">
        <f t="shared" si="93"/>
        <v>Saturday</v>
      </c>
      <c r="K639" s="6">
        <f t="shared" si="94"/>
        <v>1</v>
      </c>
      <c r="L639" s="6">
        <v>1</v>
      </c>
      <c r="M639" s="6" t="str">
        <f t="shared" si="95"/>
        <v>Partly cloudy</v>
      </c>
      <c r="N639" s="8">
        <v>0.18</v>
      </c>
      <c r="O639" s="8">
        <v>0.21210000000000001</v>
      </c>
      <c r="P639" s="8">
        <v>0.74</v>
      </c>
      <c r="Q639" s="8">
        <v>8.9599999999999999E-2</v>
      </c>
      <c r="R639" s="6">
        <v>1</v>
      </c>
      <c r="S639" s="6">
        <v>42</v>
      </c>
      <c r="T639" s="6">
        <v>43</v>
      </c>
      <c r="U639" s="8">
        <f t="shared" si="96"/>
        <v>-0.51295812847461175</v>
      </c>
      <c r="V639" s="8" t="str">
        <f t="shared" si="97"/>
        <v>Normal</v>
      </c>
      <c r="W639" s="8">
        <f t="shared" si="98"/>
        <v>-0.23767084966911833</v>
      </c>
      <c r="X639" s="8" t="str">
        <f t="shared" si="99"/>
        <v>Normal</v>
      </c>
    </row>
    <row r="640" spans="1:24" x14ac:dyDescent="0.25">
      <c r="A640" s="6">
        <v>639</v>
      </c>
      <c r="B640" s="7">
        <v>40572</v>
      </c>
      <c r="C640" s="6">
        <v>1</v>
      </c>
      <c r="D640" s="6" t="str">
        <f t="shared" si="90"/>
        <v>january</v>
      </c>
      <c r="E640" s="6">
        <v>21</v>
      </c>
      <c r="F640" s="6" t="str">
        <f t="shared" si="91"/>
        <v>Night</v>
      </c>
      <c r="G640" s="6" t="b">
        <v>0</v>
      </c>
      <c r="H640" s="6">
        <f t="shared" si="92"/>
        <v>0</v>
      </c>
      <c r="I640" s="6">
        <v>6</v>
      </c>
      <c r="J640" s="6" t="str">
        <f t="shared" si="93"/>
        <v>Saturday</v>
      </c>
      <c r="K640" s="6">
        <f t="shared" si="94"/>
        <v>1</v>
      </c>
      <c r="L640" s="6">
        <v>1</v>
      </c>
      <c r="M640" s="6" t="str">
        <f t="shared" si="95"/>
        <v>Partly cloudy</v>
      </c>
      <c r="N640" s="8">
        <v>0.18</v>
      </c>
      <c r="O640" s="8">
        <v>0.21210000000000001</v>
      </c>
      <c r="P640" s="8">
        <v>0.74</v>
      </c>
      <c r="Q640" s="8">
        <v>8.9599999999999999E-2</v>
      </c>
      <c r="R640" s="6">
        <v>1</v>
      </c>
      <c r="S640" s="6">
        <v>35</v>
      </c>
      <c r="T640" s="6">
        <v>36</v>
      </c>
      <c r="U640" s="8">
        <f t="shared" si="96"/>
        <v>-0.51295812847461175</v>
      </c>
      <c r="V640" s="8" t="str">
        <f t="shared" si="97"/>
        <v>Normal</v>
      </c>
      <c r="W640" s="8">
        <f t="shared" si="98"/>
        <v>-0.38382704291200931</v>
      </c>
      <c r="X640" s="8" t="str">
        <f t="shared" si="99"/>
        <v>Normal</v>
      </c>
    </row>
    <row r="641" spans="1:24" x14ac:dyDescent="0.25">
      <c r="A641" s="6">
        <v>640</v>
      </c>
      <c r="B641" s="7">
        <v>40572</v>
      </c>
      <c r="C641" s="6">
        <v>1</v>
      </c>
      <c r="D641" s="6" t="str">
        <f t="shared" si="90"/>
        <v>january</v>
      </c>
      <c r="E641" s="6">
        <v>22</v>
      </c>
      <c r="F641" s="6" t="str">
        <f t="shared" si="91"/>
        <v>Night</v>
      </c>
      <c r="G641" s="6" t="b">
        <v>0</v>
      </c>
      <c r="H641" s="6">
        <f t="shared" si="92"/>
        <v>0</v>
      </c>
      <c r="I641" s="6">
        <v>6</v>
      </c>
      <c r="J641" s="6" t="str">
        <f t="shared" si="93"/>
        <v>Saturday</v>
      </c>
      <c r="K641" s="6">
        <f t="shared" si="94"/>
        <v>1</v>
      </c>
      <c r="L641" s="6">
        <v>1</v>
      </c>
      <c r="M641" s="6" t="str">
        <f t="shared" si="95"/>
        <v>Partly cloudy</v>
      </c>
      <c r="N641" s="8">
        <v>0.16</v>
      </c>
      <c r="O641" s="8">
        <v>0.19700000000000001</v>
      </c>
      <c r="P641" s="8">
        <v>0.8</v>
      </c>
      <c r="Q641" s="8">
        <v>8.9599999999999999E-2</v>
      </c>
      <c r="R641" s="6">
        <v>4</v>
      </c>
      <c r="S641" s="6">
        <v>28</v>
      </c>
      <c r="T641" s="6">
        <v>32</v>
      </c>
      <c r="U641" s="8">
        <f t="shared" si="96"/>
        <v>-0.1204882520594536</v>
      </c>
      <c r="V641" s="8" t="str">
        <f t="shared" si="97"/>
        <v>Normal</v>
      </c>
      <c r="W641" s="8">
        <f t="shared" si="98"/>
        <v>-0.52998323615490028</v>
      </c>
      <c r="X641" s="8" t="str">
        <f t="shared" si="99"/>
        <v>Normal</v>
      </c>
    </row>
    <row r="642" spans="1:24" x14ac:dyDescent="0.25">
      <c r="A642" s="6">
        <v>641</v>
      </c>
      <c r="B642" s="7">
        <v>40572</v>
      </c>
      <c r="C642" s="6">
        <v>1</v>
      </c>
      <c r="D642" s="6" t="str">
        <f t="shared" ref="D642:D705" si="100">IF(C642=1,"january",IF(C642=2,"february"))</f>
        <v>january</v>
      </c>
      <c r="E642" s="6">
        <v>23</v>
      </c>
      <c r="F642" s="6" t="str">
        <f t="shared" ref="F642:F705" si="101">IF(AND(E642&gt;=5,E642&lt;8),"Early Morning", IF(AND(E642&gt;=8,E642&lt;12),"Morning", IF(AND(E642&gt;=12,E642&lt;17),"Afternoon", IF(AND(E642&gt;=17,E642&lt;21),"Evening","Night"))))</f>
        <v>Night</v>
      </c>
      <c r="G642" s="6" t="b">
        <v>0</v>
      </c>
      <c r="H642" s="6">
        <f t="shared" ref="H642:H705" si="102">IF(G642=FALSE,0,IF(G642=TRUE,1))</f>
        <v>0</v>
      </c>
      <c r="I642" s="6">
        <v>6</v>
      </c>
      <c r="J642" s="6" t="str">
        <f t="shared" ref="J642:J705" si="103">TEXT(B642,"dddd")</f>
        <v>Saturday</v>
      </c>
      <c r="K642" s="6">
        <f t="shared" ref="K642:K705" si="104">IF(OR(J642="Saturday",J642="Sunday"),1,0)</f>
        <v>1</v>
      </c>
      <c r="L642" s="6">
        <v>1</v>
      </c>
      <c r="M642" s="6" t="str">
        <f t="shared" ref="M642:M705" si="105">IF(L642=0,"clear sky",IF(L642=1,"Partly cloudy",IF(L642=2,"Cloudy",IF(L642=3,"Light rain",IF(L642=4,"Heavy rain")))))</f>
        <v>Partly cloudy</v>
      </c>
      <c r="N642" s="8">
        <v>0.16</v>
      </c>
      <c r="O642" s="8">
        <v>0.19700000000000001</v>
      </c>
      <c r="P642" s="8">
        <v>0.8</v>
      </c>
      <c r="Q642" s="8">
        <v>8.9599999999999999E-2</v>
      </c>
      <c r="R642" s="6">
        <v>3</v>
      </c>
      <c r="S642" s="6">
        <v>30</v>
      </c>
      <c r="T642" s="6">
        <v>33</v>
      </c>
      <c r="U642" s="8">
        <f t="shared" ref="U642:U705" si="106">(R642-$AA$7)/$AA$9</f>
        <v>-0.25131154419783963</v>
      </c>
      <c r="V642" s="8" t="str">
        <f t="shared" ref="V642:V705" si="107">IF(ABS(U642)&gt;2,"Peak","Normal")</f>
        <v>Normal</v>
      </c>
      <c r="W642" s="8">
        <f t="shared" ref="W642:W705" si="108">(S642-$AA$11)/$AA$13</f>
        <v>-0.48822432379978858</v>
      </c>
      <c r="X642" s="8" t="str">
        <f t="shared" ref="X642:X705" si="109">IF(ABS(W642)&gt;2,"Peak","Normal")</f>
        <v>Normal</v>
      </c>
    </row>
    <row r="643" spans="1:24" x14ac:dyDescent="0.25">
      <c r="A643" s="6">
        <v>642</v>
      </c>
      <c r="B643" s="7">
        <v>40573</v>
      </c>
      <c r="C643" s="6">
        <v>1</v>
      </c>
      <c r="D643" s="6" t="str">
        <f t="shared" si="100"/>
        <v>january</v>
      </c>
      <c r="E643" s="6">
        <v>0</v>
      </c>
      <c r="F643" s="6" t="str">
        <f t="shared" si="101"/>
        <v>Night</v>
      </c>
      <c r="G643" s="6" t="b">
        <v>0</v>
      </c>
      <c r="H643" s="6">
        <f t="shared" si="102"/>
        <v>0</v>
      </c>
      <c r="I643" s="6">
        <v>0</v>
      </c>
      <c r="J643" s="6" t="str">
        <f t="shared" si="103"/>
        <v>Sunday</v>
      </c>
      <c r="K643" s="6">
        <f t="shared" si="104"/>
        <v>1</v>
      </c>
      <c r="L643" s="6">
        <v>1</v>
      </c>
      <c r="M643" s="6" t="str">
        <f t="shared" si="105"/>
        <v>Partly cloudy</v>
      </c>
      <c r="N643" s="8">
        <v>0.16</v>
      </c>
      <c r="O643" s="8">
        <v>0.18179999999999999</v>
      </c>
      <c r="P643" s="8">
        <v>0.8</v>
      </c>
      <c r="Q643" s="8">
        <v>0.1045</v>
      </c>
      <c r="R643" s="6">
        <v>0</v>
      </c>
      <c r="S643" s="6">
        <v>33</v>
      </c>
      <c r="T643" s="6">
        <v>33</v>
      </c>
      <c r="U643" s="8">
        <f t="shared" si="106"/>
        <v>-0.64378142061299781</v>
      </c>
      <c r="V643" s="8" t="str">
        <f t="shared" si="107"/>
        <v>Normal</v>
      </c>
      <c r="W643" s="8">
        <f t="shared" si="108"/>
        <v>-0.42558595526712101</v>
      </c>
      <c r="X643" s="8" t="str">
        <f t="shared" si="109"/>
        <v>Normal</v>
      </c>
    </row>
    <row r="644" spans="1:24" x14ac:dyDescent="0.25">
      <c r="A644" s="6">
        <v>643</v>
      </c>
      <c r="B644" s="7">
        <v>40573</v>
      </c>
      <c r="C644" s="6">
        <v>1</v>
      </c>
      <c r="D644" s="6" t="str">
        <f t="shared" si="100"/>
        <v>january</v>
      </c>
      <c r="E644" s="6">
        <v>1</v>
      </c>
      <c r="F644" s="6" t="str">
        <f t="shared" si="101"/>
        <v>Night</v>
      </c>
      <c r="G644" s="6" t="b">
        <v>0</v>
      </c>
      <c r="H644" s="6">
        <f t="shared" si="102"/>
        <v>0</v>
      </c>
      <c r="I644" s="6">
        <v>0</v>
      </c>
      <c r="J644" s="6" t="str">
        <f t="shared" si="103"/>
        <v>Sunday</v>
      </c>
      <c r="K644" s="6">
        <f t="shared" si="104"/>
        <v>1</v>
      </c>
      <c r="L644" s="6">
        <v>1</v>
      </c>
      <c r="M644" s="6" t="str">
        <f t="shared" si="105"/>
        <v>Partly cloudy</v>
      </c>
      <c r="N644" s="8">
        <v>0.14000000000000001</v>
      </c>
      <c r="O644" s="8">
        <v>0.21210000000000001</v>
      </c>
      <c r="P644" s="8">
        <v>0.8</v>
      </c>
      <c r="Q644" s="8">
        <v>0</v>
      </c>
      <c r="R644" s="6">
        <v>7</v>
      </c>
      <c r="S644" s="6">
        <v>22</v>
      </c>
      <c r="T644" s="6">
        <v>29</v>
      </c>
      <c r="U644" s="8">
        <f t="shared" si="106"/>
        <v>0.27198162435570455</v>
      </c>
      <c r="V644" s="8" t="str">
        <f t="shared" si="107"/>
        <v>Normal</v>
      </c>
      <c r="W644" s="8">
        <f t="shared" si="108"/>
        <v>-0.65525997322023544</v>
      </c>
      <c r="X644" s="8" t="str">
        <f t="shared" si="109"/>
        <v>Normal</v>
      </c>
    </row>
    <row r="645" spans="1:24" x14ac:dyDescent="0.25">
      <c r="A645" s="6">
        <v>644</v>
      </c>
      <c r="B645" s="7">
        <v>40573</v>
      </c>
      <c r="C645" s="6">
        <v>1</v>
      </c>
      <c r="D645" s="6" t="str">
        <f t="shared" si="100"/>
        <v>january</v>
      </c>
      <c r="E645" s="6">
        <v>2</v>
      </c>
      <c r="F645" s="6" t="str">
        <f t="shared" si="101"/>
        <v>Night</v>
      </c>
      <c r="G645" s="6" t="b">
        <v>0</v>
      </c>
      <c r="H645" s="6">
        <f t="shared" si="102"/>
        <v>0</v>
      </c>
      <c r="I645" s="6">
        <v>0</v>
      </c>
      <c r="J645" s="6" t="str">
        <f t="shared" si="103"/>
        <v>Sunday</v>
      </c>
      <c r="K645" s="6">
        <f t="shared" si="104"/>
        <v>1</v>
      </c>
      <c r="L645" s="6">
        <v>1</v>
      </c>
      <c r="M645" s="6" t="str">
        <f t="shared" si="105"/>
        <v>Partly cloudy</v>
      </c>
      <c r="N645" s="8">
        <v>0.16</v>
      </c>
      <c r="O645" s="8">
        <v>0.2273</v>
      </c>
      <c r="P645" s="8">
        <v>0.8</v>
      </c>
      <c r="Q645" s="8">
        <v>0</v>
      </c>
      <c r="R645" s="6">
        <v>1</v>
      </c>
      <c r="S645" s="6">
        <v>10</v>
      </c>
      <c r="T645" s="6">
        <v>11</v>
      </c>
      <c r="U645" s="8">
        <f t="shared" si="106"/>
        <v>-0.51295812847461175</v>
      </c>
      <c r="V645" s="8" t="str">
        <f t="shared" si="107"/>
        <v>Normal</v>
      </c>
      <c r="W645" s="8">
        <f t="shared" si="108"/>
        <v>-0.90581344735090563</v>
      </c>
      <c r="X645" s="8" t="str">
        <f t="shared" si="109"/>
        <v>Normal</v>
      </c>
    </row>
    <row r="646" spans="1:24" x14ac:dyDescent="0.25">
      <c r="A646" s="6">
        <v>645</v>
      </c>
      <c r="B646" s="7">
        <v>40573</v>
      </c>
      <c r="C646" s="6">
        <v>1</v>
      </c>
      <c r="D646" s="6" t="str">
        <f t="shared" si="100"/>
        <v>january</v>
      </c>
      <c r="E646" s="6">
        <v>3</v>
      </c>
      <c r="F646" s="6" t="str">
        <f t="shared" si="101"/>
        <v>Night</v>
      </c>
      <c r="G646" s="6" t="b">
        <v>0</v>
      </c>
      <c r="H646" s="6">
        <f t="shared" si="102"/>
        <v>0</v>
      </c>
      <c r="I646" s="6">
        <v>0</v>
      </c>
      <c r="J646" s="6" t="str">
        <f t="shared" si="103"/>
        <v>Sunday</v>
      </c>
      <c r="K646" s="6">
        <f t="shared" si="104"/>
        <v>1</v>
      </c>
      <c r="L646" s="6">
        <v>1</v>
      </c>
      <c r="M646" s="6" t="str">
        <f t="shared" si="105"/>
        <v>Partly cloudy</v>
      </c>
      <c r="N646" s="8">
        <v>0.14000000000000001</v>
      </c>
      <c r="O646" s="8">
        <v>0.21210000000000001</v>
      </c>
      <c r="P646" s="8">
        <v>0.93</v>
      </c>
      <c r="Q646" s="8">
        <v>0</v>
      </c>
      <c r="R646" s="6">
        <v>1</v>
      </c>
      <c r="S646" s="6">
        <v>7</v>
      </c>
      <c r="T646" s="6">
        <v>8</v>
      </c>
      <c r="U646" s="8">
        <f t="shared" si="106"/>
        <v>-0.51295812847461175</v>
      </c>
      <c r="V646" s="8" t="str">
        <f t="shared" si="107"/>
        <v>Normal</v>
      </c>
      <c r="W646" s="8">
        <f t="shared" si="108"/>
        <v>-0.96845181588357321</v>
      </c>
      <c r="X646" s="8" t="str">
        <f t="shared" si="109"/>
        <v>Normal</v>
      </c>
    </row>
    <row r="647" spans="1:24" x14ac:dyDescent="0.25">
      <c r="A647" s="6">
        <v>646</v>
      </c>
      <c r="B647" s="7">
        <v>40573</v>
      </c>
      <c r="C647" s="6">
        <v>1</v>
      </c>
      <c r="D647" s="6" t="str">
        <f t="shared" si="100"/>
        <v>january</v>
      </c>
      <c r="E647" s="6">
        <v>4</v>
      </c>
      <c r="F647" s="6" t="str">
        <f t="shared" si="101"/>
        <v>Night</v>
      </c>
      <c r="G647" s="6" t="b">
        <v>0</v>
      </c>
      <c r="H647" s="6">
        <f t="shared" si="102"/>
        <v>0</v>
      </c>
      <c r="I647" s="6">
        <v>0</v>
      </c>
      <c r="J647" s="6" t="str">
        <f t="shared" si="103"/>
        <v>Sunday</v>
      </c>
      <c r="K647" s="6">
        <f t="shared" si="104"/>
        <v>1</v>
      </c>
      <c r="L647" s="6">
        <v>1</v>
      </c>
      <c r="M647" s="6" t="str">
        <f t="shared" si="105"/>
        <v>Partly cloudy</v>
      </c>
      <c r="N647" s="8">
        <v>0.14000000000000001</v>
      </c>
      <c r="O647" s="8">
        <v>0.21210000000000001</v>
      </c>
      <c r="P647" s="8">
        <v>0.93</v>
      </c>
      <c r="Q647" s="8">
        <v>0</v>
      </c>
      <c r="R647" s="6">
        <v>0</v>
      </c>
      <c r="S647" s="6">
        <v>1</v>
      </c>
      <c r="T647" s="6">
        <v>1</v>
      </c>
      <c r="U647" s="8">
        <f t="shared" si="106"/>
        <v>-0.64378142061299781</v>
      </c>
      <c r="V647" s="8" t="str">
        <f t="shared" si="107"/>
        <v>Normal</v>
      </c>
      <c r="W647" s="8">
        <f t="shared" si="108"/>
        <v>-1.0937285529489083</v>
      </c>
      <c r="X647" s="8" t="str">
        <f t="shared" si="109"/>
        <v>Normal</v>
      </c>
    </row>
    <row r="648" spans="1:24" x14ac:dyDescent="0.25">
      <c r="A648" s="6">
        <v>647</v>
      </c>
      <c r="B648" s="7">
        <v>40573</v>
      </c>
      <c r="C648" s="6">
        <v>1</v>
      </c>
      <c r="D648" s="6" t="str">
        <f t="shared" si="100"/>
        <v>january</v>
      </c>
      <c r="E648" s="6">
        <v>5</v>
      </c>
      <c r="F648" s="6" t="str">
        <f t="shared" si="101"/>
        <v>Early Morning</v>
      </c>
      <c r="G648" s="6" t="b">
        <v>0</v>
      </c>
      <c r="H648" s="6">
        <f t="shared" si="102"/>
        <v>0</v>
      </c>
      <c r="I648" s="6">
        <v>0</v>
      </c>
      <c r="J648" s="6" t="str">
        <f t="shared" si="103"/>
        <v>Sunday</v>
      </c>
      <c r="K648" s="6">
        <f t="shared" si="104"/>
        <v>1</v>
      </c>
      <c r="L648" s="6">
        <v>1</v>
      </c>
      <c r="M648" s="6" t="str">
        <f t="shared" si="105"/>
        <v>Partly cloudy</v>
      </c>
      <c r="N648" s="8">
        <v>0.14000000000000001</v>
      </c>
      <c r="O648" s="8">
        <v>0.21210000000000001</v>
      </c>
      <c r="P648" s="8">
        <v>0.86</v>
      </c>
      <c r="Q648" s="8">
        <v>0</v>
      </c>
      <c r="R648" s="6">
        <v>0</v>
      </c>
      <c r="S648" s="6">
        <v>3</v>
      </c>
      <c r="T648" s="6">
        <v>3</v>
      </c>
      <c r="U648" s="8">
        <f t="shared" si="106"/>
        <v>-0.64378142061299781</v>
      </c>
      <c r="V648" s="8" t="str">
        <f t="shared" si="107"/>
        <v>Normal</v>
      </c>
      <c r="W648" s="8">
        <f t="shared" si="108"/>
        <v>-1.0519696405937966</v>
      </c>
      <c r="X648" s="8" t="str">
        <f t="shared" si="109"/>
        <v>Normal</v>
      </c>
    </row>
    <row r="649" spans="1:24" x14ac:dyDescent="0.25">
      <c r="A649" s="6">
        <v>648</v>
      </c>
      <c r="B649" s="7">
        <v>40573</v>
      </c>
      <c r="C649" s="6">
        <v>1</v>
      </c>
      <c r="D649" s="6" t="str">
        <f t="shared" si="100"/>
        <v>january</v>
      </c>
      <c r="E649" s="6">
        <v>7</v>
      </c>
      <c r="F649" s="6" t="str">
        <f t="shared" si="101"/>
        <v>Early Morning</v>
      </c>
      <c r="G649" s="6" t="b">
        <v>0</v>
      </c>
      <c r="H649" s="6">
        <f t="shared" si="102"/>
        <v>0</v>
      </c>
      <c r="I649" s="6">
        <v>0</v>
      </c>
      <c r="J649" s="6" t="str">
        <f t="shared" si="103"/>
        <v>Sunday</v>
      </c>
      <c r="K649" s="6">
        <f t="shared" si="104"/>
        <v>1</v>
      </c>
      <c r="L649" s="6">
        <v>1</v>
      </c>
      <c r="M649" s="6" t="str">
        <f t="shared" si="105"/>
        <v>Partly cloudy</v>
      </c>
      <c r="N649" s="8">
        <v>0.14000000000000001</v>
      </c>
      <c r="O649" s="8">
        <v>0.21210000000000001</v>
      </c>
      <c r="P649" s="8">
        <v>0.86</v>
      </c>
      <c r="Q649" s="8">
        <v>0</v>
      </c>
      <c r="R649" s="6">
        <v>0</v>
      </c>
      <c r="S649" s="6">
        <v>3</v>
      </c>
      <c r="T649" s="6">
        <v>3</v>
      </c>
      <c r="U649" s="8">
        <f t="shared" si="106"/>
        <v>-0.64378142061299781</v>
      </c>
      <c r="V649" s="8" t="str">
        <f t="shared" si="107"/>
        <v>Normal</v>
      </c>
      <c r="W649" s="8">
        <f t="shared" si="108"/>
        <v>-1.0519696405937966</v>
      </c>
      <c r="X649" s="8" t="str">
        <f t="shared" si="109"/>
        <v>Normal</v>
      </c>
    </row>
    <row r="650" spans="1:24" x14ac:dyDescent="0.25">
      <c r="A650" s="6">
        <v>649</v>
      </c>
      <c r="B650" s="7">
        <v>40573</v>
      </c>
      <c r="C650" s="6">
        <v>1</v>
      </c>
      <c r="D650" s="6" t="str">
        <f t="shared" si="100"/>
        <v>january</v>
      </c>
      <c r="E650" s="6">
        <v>8</v>
      </c>
      <c r="F650" s="6" t="str">
        <f t="shared" si="101"/>
        <v>Morning</v>
      </c>
      <c r="G650" s="6" t="b">
        <v>0</v>
      </c>
      <c r="H650" s="6">
        <f t="shared" si="102"/>
        <v>0</v>
      </c>
      <c r="I650" s="6">
        <v>0</v>
      </c>
      <c r="J650" s="6" t="str">
        <f t="shared" si="103"/>
        <v>Sunday</v>
      </c>
      <c r="K650" s="6">
        <f t="shared" si="104"/>
        <v>1</v>
      </c>
      <c r="L650" s="6">
        <v>2</v>
      </c>
      <c r="M650" s="6" t="str">
        <f t="shared" si="105"/>
        <v>Cloudy</v>
      </c>
      <c r="N650" s="8">
        <v>0.14000000000000001</v>
      </c>
      <c r="O650" s="8">
        <v>0.21210000000000001</v>
      </c>
      <c r="P650" s="8">
        <v>0.86</v>
      </c>
      <c r="Q650" s="8">
        <v>0</v>
      </c>
      <c r="R650" s="6">
        <v>1</v>
      </c>
      <c r="S650" s="6">
        <v>11</v>
      </c>
      <c r="T650" s="6">
        <v>12</v>
      </c>
      <c r="U650" s="8">
        <f t="shared" si="106"/>
        <v>-0.51295812847461175</v>
      </c>
      <c r="V650" s="8" t="str">
        <f t="shared" si="107"/>
        <v>Normal</v>
      </c>
      <c r="W650" s="8">
        <f t="shared" si="108"/>
        <v>-0.88493399117334981</v>
      </c>
      <c r="X650" s="8" t="str">
        <f t="shared" si="109"/>
        <v>Normal</v>
      </c>
    </row>
    <row r="651" spans="1:24" x14ac:dyDescent="0.25">
      <c r="A651" s="6">
        <v>650</v>
      </c>
      <c r="B651" s="7">
        <v>40573</v>
      </c>
      <c r="C651" s="6">
        <v>1</v>
      </c>
      <c r="D651" s="6" t="str">
        <f t="shared" si="100"/>
        <v>january</v>
      </c>
      <c r="E651" s="6">
        <v>9</v>
      </c>
      <c r="F651" s="6" t="str">
        <f t="shared" si="101"/>
        <v>Morning</v>
      </c>
      <c r="G651" s="6" t="b">
        <v>0</v>
      </c>
      <c r="H651" s="6">
        <f t="shared" si="102"/>
        <v>0</v>
      </c>
      <c r="I651" s="6">
        <v>0</v>
      </c>
      <c r="J651" s="6" t="str">
        <f t="shared" si="103"/>
        <v>Sunday</v>
      </c>
      <c r="K651" s="6">
        <f t="shared" si="104"/>
        <v>1</v>
      </c>
      <c r="L651" s="6">
        <v>2</v>
      </c>
      <c r="M651" s="6" t="str">
        <f t="shared" si="105"/>
        <v>Cloudy</v>
      </c>
      <c r="N651" s="8">
        <v>0.16</v>
      </c>
      <c r="O651" s="8">
        <v>0.2273</v>
      </c>
      <c r="P651" s="8">
        <v>0.8</v>
      </c>
      <c r="Q651" s="8">
        <v>0</v>
      </c>
      <c r="R651" s="6">
        <v>4</v>
      </c>
      <c r="S651" s="6">
        <v>34</v>
      </c>
      <c r="T651" s="6">
        <v>38</v>
      </c>
      <c r="U651" s="8">
        <f t="shared" si="106"/>
        <v>-0.1204882520594536</v>
      </c>
      <c r="V651" s="8" t="str">
        <f t="shared" si="107"/>
        <v>Normal</v>
      </c>
      <c r="W651" s="8">
        <f t="shared" si="108"/>
        <v>-0.40470649908956519</v>
      </c>
      <c r="X651" s="8" t="str">
        <f t="shared" si="109"/>
        <v>Normal</v>
      </c>
    </row>
    <row r="652" spans="1:24" x14ac:dyDescent="0.25">
      <c r="A652" s="6">
        <v>651</v>
      </c>
      <c r="B652" s="7">
        <v>40573</v>
      </c>
      <c r="C652" s="6">
        <v>1</v>
      </c>
      <c r="D652" s="6" t="str">
        <f t="shared" si="100"/>
        <v>january</v>
      </c>
      <c r="E652" s="6">
        <v>10</v>
      </c>
      <c r="F652" s="6" t="str">
        <f t="shared" si="101"/>
        <v>Morning</v>
      </c>
      <c r="G652" s="6" t="b">
        <v>0</v>
      </c>
      <c r="H652" s="6">
        <f t="shared" si="102"/>
        <v>0</v>
      </c>
      <c r="I652" s="6">
        <v>0</v>
      </c>
      <c r="J652" s="6" t="str">
        <f t="shared" si="103"/>
        <v>Sunday</v>
      </c>
      <c r="K652" s="6">
        <f t="shared" si="104"/>
        <v>1</v>
      </c>
      <c r="L652" s="6">
        <v>2</v>
      </c>
      <c r="M652" s="6" t="str">
        <f t="shared" si="105"/>
        <v>Cloudy</v>
      </c>
      <c r="N652" s="8">
        <v>0.18</v>
      </c>
      <c r="O652" s="8">
        <v>0.2424</v>
      </c>
      <c r="P652" s="8">
        <v>0.8</v>
      </c>
      <c r="Q652" s="8">
        <v>0</v>
      </c>
      <c r="R652" s="6">
        <v>7</v>
      </c>
      <c r="S652" s="6">
        <v>57</v>
      </c>
      <c r="T652" s="6">
        <v>64</v>
      </c>
      <c r="U652" s="8">
        <f t="shared" si="106"/>
        <v>0.27198162435570455</v>
      </c>
      <c r="V652" s="8" t="str">
        <f t="shared" si="107"/>
        <v>Normal</v>
      </c>
      <c r="W652" s="8">
        <f t="shared" si="108"/>
        <v>7.5520992994219466E-2</v>
      </c>
      <c r="X652" s="8" t="str">
        <f t="shared" si="109"/>
        <v>Normal</v>
      </c>
    </row>
    <row r="653" spans="1:24" x14ac:dyDescent="0.25">
      <c r="A653" s="6">
        <v>652</v>
      </c>
      <c r="B653" s="7">
        <v>40573</v>
      </c>
      <c r="C653" s="6">
        <v>1</v>
      </c>
      <c r="D653" s="6" t="str">
        <f t="shared" si="100"/>
        <v>january</v>
      </c>
      <c r="E653" s="6">
        <v>11</v>
      </c>
      <c r="F653" s="6" t="str">
        <f t="shared" si="101"/>
        <v>Morning</v>
      </c>
      <c r="G653" s="6" t="b">
        <v>0</v>
      </c>
      <c r="H653" s="6">
        <f t="shared" si="102"/>
        <v>0</v>
      </c>
      <c r="I653" s="6">
        <v>0</v>
      </c>
      <c r="J653" s="6" t="str">
        <f t="shared" si="103"/>
        <v>Sunday</v>
      </c>
      <c r="K653" s="6">
        <f t="shared" si="104"/>
        <v>1</v>
      </c>
      <c r="L653" s="6">
        <v>1</v>
      </c>
      <c r="M653" s="6" t="str">
        <f t="shared" si="105"/>
        <v>Partly cloudy</v>
      </c>
      <c r="N653" s="8">
        <v>0.22</v>
      </c>
      <c r="O653" s="8">
        <v>0.2727</v>
      </c>
      <c r="P653" s="8">
        <v>0.75</v>
      </c>
      <c r="Q653" s="8">
        <v>0</v>
      </c>
      <c r="R653" s="6">
        <v>9</v>
      </c>
      <c r="S653" s="6">
        <v>50</v>
      </c>
      <c r="T653" s="6">
        <v>59</v>
      </c>
      <c r="U653" s="8">
        <f t="shared" si="106"/>
        <v>0.53362820863247673</v>
      </c>
      <c r="V653" s="8" t="str">
        <f t="shared" si="107"/>
        <v>Normal</v>
      </c>
      <c r="W653" s="8">
        <f t="shared" si="108"/>
        <v>-7.0635200248671509E-2</v>
      </c>
      <c r="X653" s="8" t="str">
        <f t="shared" si="109"/>
        <v>Normal</v>
      </c>
    </row>
    <row r="654" spans="1:24" x14ac:dyDescent="0.25">
      <c r="A654" s="6">
        <v>653</v>
      </c>
      <c r="B654" s="7">
        <v>40573</v>
      </c>
      <c r="C654" s="6">
        <v>1</v>
      </c>
      <c r="D654" s="6" t="str">
        <f t="shared" si="100"/>
        <v>january</v>
      </c>
      <c r="E654" s="6">
        <v>12</v>
      </c>
      <c r="F654" s="6" t="str">
        <f t="shared" si="101"/>
        <v>Afternoon</v>
      </c>
      <c r="G654" s="6" t="b">
        <v>0</v>
      </c>
      <c r="H654" s="6">
        <f t="shared" si="102"/>
        <v>0</v>
      </c>
      <c r="I654" s="6">
        <v>0</v>
      </c>
      <c r="J654" s="6" t="str">
        <f t="shared" si="103"/>
        <v>Sunday</v>
      </c>
      <c r="K654" s="6">
        <f t="shared" si="104"/>
        <v>1</v>
      </c>
      <c r="L654" s="6">
        <v>1</v>
      </c>
      <c r="M654" s="6" t="str">
        <f t="shared" si="105"/>
        <v>Partly cloudy</v>
      </c>
      <c r="N654" s="8">
        <v>0.3</v>
      </c>
      <c r="O654" s="8">
        <v>0.31819999999999998</v>
      </c>
      <c r="P654" s="8">
        <v>0.52</v>
      </c>
      <c r="Q654" s="8">
        <v>0.1045</v>
      </c>
      <c r="R654" s="6">
        <v>10</v>
      </c>
      <c r="S654" s="6">
        <v>87</v>
      </c>
      <c r="T654" s="6">
        <v>97</v>
      </c>
      <c r="U654" s="8">
        <f t="shared" si="106"/>
        <v>0.66445150077086279</v>
      </c>
      <c r="V654" s="8" t="str">
        <f t="shared" si="107"/>
        <v>Normal</v>
      </c>
      <c r="W654" s="8">
        <f t="shared" si="108"/>
        <v>0.70190467832089509</v>
      </c>
      <c r="X654" s="8" t="str">
        <f t="shared" si="109"/>
        <v>Normal</v>
      </c>
    </row>
    <row r="655" spans="1:24" x14ac:dyDescent="0.25">
      <c r="A655" s="6">
        <v>654</v>
      </c>
      <c r="B655" s="7">
        <v>40573</v>
      </c>
      <c r="C655" s="6">
        <v>1</v>
      </c>
      <c r="D655" s="6" t="str">
        <f t="shared" si="100"/>
        <v>january</v>
      </c>
      <c r="E655" s="6">
        <v>13</v>
      </c>
      <c r="F655" s="6" t="str">
        <f t="shared" si="101"/>
        <v>Afternoon</v>
      </c>
      <c r="G655" s="6" t="b">
        <v>0</v>
      </c>
      <c r="H655" s="6">
        <f t="shared" si="102"/>
        <v>0</v>
      </c>
      <c r="I655" s="6">
        <v>0</v>
      </c>
      <c r="J655" s="6" t="str">
        <f t="shared" si="103"/>
        <v>Sunday</v>
      </c>
      <c r="K655" s="6">
        <f t="shared" si="104"/>
        <v>1</v>
      </c>
      <c r="L655" s="6">
        <v>1</v>
      </c>
      <c r="M655" s="6" t="str">
        <f t="shared" si="105"/>
        <v>Partly cloudy</v>
      </c>
      <c r="N655" s="8">
        <v>0.28000000000000003</v>
      </c>
      <c r="O655" s="8">
        <v>0.28789999999999999</v>
      </c>
      <c r="P655" s="8">
        <v>0.61</v>
      </c>
      <c r="Q655" s="8">
        <v>0.1045</v>
      </c>
      <c r="R655" s="6">
        <v>13</v>
      </c>
      <c r="S655" s="6">
        <v>71</v>
      </c>
      <c r="T655" s="6">
        <v>84</v>
      </c>
      <c r="U655" s="8">
        <f t="shared" si="106"/>
        <v>1.0569213771860211</v>
      </c>
      <c r="V655" s="8" t="str">
        <f t="shared" si="107"/>
        <v>Normal</v>
      </c>
      <c r="W655" s="8">
        <f t="shared" si="108"/>
        <v>0.36783337948000144</v>
      </c>
      <c r="X655" s="8" t="str">
        <f t="shared" si="109"/>
        <v>Normal</v>
      </c>
    </row>
    <row r="656" spans="1:24" x14ac:dyDescent="0.25">
      <c r="A656" s="6">
        <v>655</v>
      </c>
      <c r="B656" s="7">
        <v>40573</v>
      </c>
      <c r="C656" s="6">
        <v>1</v>
      </c>
      <c r="D656" s="6" t="str">
        <f t="shared" si="100"/>
        <v>january</v>
      </c>
      <c r="E656" s="6">
        <v>14</v>
      </c>
      <c r="F656" s="6" t="str">
        <f t="shared" si="101"/>
        <v>Afternoon</v>
      </c>
      <c r="G656" s="6" t="b">
        <v>0</v>
      </c>
      <c r="H656" s="6">
        <f t="shared" si="102"/>
        <v>0</v>
      </c>
      <c r="I656" s="6">
        <v>0</v>
      </c>
      <c r="J656" s="6" t="str">
        <f t="shared" si="103"/>
        <v>Sunday</v>
      </c>
      <c r="K656" s="6">
        <f t="shared" si="104"/>
        <v>1</v>
      </c>
      <c r="L656" s="6">
        <v>1</v>
      </c>
      <c r="M656" s="6" t="str">
        <f t="shared" si="105"/>
        <v>Partly cloudy</v>
      </c>
      <c r="N656" s="8">
        <v>0.28000000000000003</v>
      </c>
      <c r="O656" s="8">
        <v>0.30299999999999999</v>
      </c>
      <c r="P656" s="8">
        <v>0.61</v>
      </c>
      <c r="Q656" s="8">
        <v>8.9599999999999999E-2</v>
      </c>
      <c r="R656" s="6">
        <v>18</v>
      </c>
      <c r="S656" s="6">
        <v>104</v>
      </c>
      <c r="T656" s="6">
        <v>122</v>
      </c>
      <c r="U656" s="8">
        <f t="shared" si="106"/>
        <v>1.7110378378779514</v>
      </c>
      <c r="V656" s="8" t="str">
        <f t="shared" si="107"/>
        <v>Normal</v>
      </c>
      <c r="W656" s="8">
        <f t="shared" si="108"/>
        <v>1.0568554333393445</v>
      </c>
      <c r="X656" s="8" t="str">
        <f t="shared" si="109"/>
        <v>Normal</v>
      </c>
    </row>
    <row r="657" spans="1:24" x14ac:dyDescent="0.25">
      <c r="A657" s="6">
        <v>656</v>
      </c>
      <c r="B657" s="7">
        <v>40573</v>
      </c>
      <c r="C657" s="6">
        <v>1</v>
      </c>
      <c r="D657" s="6" t="str">
        <f t="shared" si="100"/>
        <v>january</v>
      </c>
      <c r="E657" s="6">
        <v>15</v>
      </c>
      <c r="F657" s="6" t="str">
        <f t="shared" si="101"/>
        <v>Afternoon</v>
      </c>
      <c r="G657" s="6" t="b">
        <v>0</v>
      </c>
      <c r="H657" s="6">
        <f t="shared" si="102"/>
        <v>0</v>
      </c>
      <c r="I657" s="6">
        <v>0</v>
      </c>
      <c r="J657" s="6" t="str">
        <f t="shared" si="103"/>
        <v>Sunday</v>
      </c>
      <c r="K657" s="6">
        <f t="shared" si="104"/>
        <v>1</v>
      </c>
      <c r="L657" s="6">
        <v>1</v>
      </c>
      <c r="M657" s="6" t="str">
        <f t="shared" si="105"/>
        <v>Partly cloudy</v>
      </c>
      <c r="N657" s="8">
        <v>0.3</v>
      </c>
      <c r="O657" s="8">
        <v>0.33329999999999999</v>
      </c>
      <c r="P657" s="8">
        <v>0.56000000000000005</v>
      </c>
      <c r="Q657" s="8">
        <v>0</v>
      </c>
      <c r="R657" s="6">
        <v>14</v>
      </c>
      <c r="S657" s="6">
        <v>95</v>
      </c>
      <c r="T657" s="6">
        <v>109</v>
      </c>
      <c r="U657" s="8">
        <f t="shared" si="106"/>
        <v>1.1877446693244071</v>
      </c>
      <c r="V657" s="8" t="str">
        <f t="shared" si="107"/>
        <v>Normal</v>
      </c>
      <c r="W657" s="8">
        <f t="shared" si="108"/>
        <v>0.86894032774134189</v>
      </c>
      <c r="X657" s="8" t="str">
        <f t="shared" si="109"/>
        <v>Normal</v>
      </c>
    </row>
    <row r="658" spans="1:24" x14ac:dyDescent="0.25">
      <c r="A658" s="6">
        <v>657</v>
      </c>
      <c r="B658" s="7">
        <v>40573</v>
      </c>
      <c r="C658" s="6">
        <v>1</v>
      </c>
      <c r="D658" s="6" t="str">
        <f t="shared" si="100"/>
        <v>january</v>
      </c>
      <c r="E658" s="6">
        <v>16</v>
      </c>
      <c r="F658" s="6" t="str">
        <f t="shared" si="101"/>
        <v>Afternoon</v>
      </c>
      <c r="G658" s="6" t="b">
        <v>0</v>
      </c>
      <c r="H658" s="6">
        <f t="shared" si="102"/>
        <v>0</v>
      </c>
      <c r="I658" s="6">
        <v>0</v>
      </c>
      <c r="J658" s="6" t="str">
        <f t="shared" si="103"/>
        <v>Sunday</v>
      </c>
      <c r="K658" s="6">
        <f t="shared" si="104"/>
        <v>1</v>
      </c>
      <c r="L658" s="6">
        <v>1</v>
      </c>
      <c r="M658" s="6" t="str">
        <f t="shared" si="105"/>
        <v>Partly cloudy</v>
      </c>
      <c r="N658" s="8">
        <v>0.3</v>
      </c>
      <c r="O658" s="8">
        <v>0.33329999999999999</v>
      </c>
      <c r="P658" s="8">
        <v>0.56000000000000005</v>
      </c>
      <c r="Q658" s="8">
        <v>0</v>
      </c>
      <c r="R658" s="6">
        <v>19</v>
      </c>
      <c r="S658" s="6">
        <v>104</v>
      </c>
      <c r="T658" s="6">
        <v>123</v>
      </c>
      <c r="U658" s="8">
        <f t="shared" si="106"/>
        <v>1.8418611300163374</v>
      </c>
      <c r="V658" s="8" t="str">
        <f t="shared" si="107"/>
        <v>Normal</v>
      </c>
      <c r="W658" s="8">
        <f t="shared" si="108"/>
        <v>1.0568554333393445</v>
      </c>
      <c r="X658" s="8" t="str">
        <f t="shared" si="109"/>
        <v>Normal</v>
      </c>
    </row>
    <row r="659" spans="1:24" x14ac:dyDescent="0.25">
      <c r="A659" s="6">
        <v>658</v>
      </c>
      <c r="B659" s="7">
        <v>40573</v>
      </c>
      <c r="C659" s="6">
        <v>1</v>
      </c>
      <c r="D659" s="6" t="str">
        <f t="shared" si="100"/>
        <v>january</v>
      </c>
      <c r="E659" s="6">
        <v>17</v>
      </c>
      <c r="F659" s="6" t="str">
        <f t="shared" si="101"/>
        <v>Evening</v>
      </c>
      <c r="G659" s="6" t="b">
        <v>0</v>
      </c>
      <c r="H659" s="6">
        <f t="shared" si="102"/>
        <v>0</v>
      </c>
      <c r="I659" s="6">
        <v>0</v>
      </c>
      <c r="J659" s="6" t="str">
        <f t="shared" si="103"/>
        <v>Sunday</v>
      </c>
      <c r="K659" s="6">
        <f t="shared" si="104"/>
        <v>1</v>
      </c>
      <c r="L659" s="6">
        <v>1</v>
      </c>
      <c r="M659" s="6" t="str">
        <f t="shared" si="105"/>
        <v>Partly cloudy</v>
      </c>
      <c r="N659" s="8">
        <v>0.3</v>
      </c>
      <c r="O659" s="8">
        <v>0.28789999999999999</v>
      </c>
      <c r="P659" s="8">
        <v>0.56000000000000005</v>
      </c>
      <c r="Q659" s="8">
        <v>0.19400000000000001</v>
      </c>
      <c r="R659" s="6">
        <v>6</v>
      </c>
      <c r="S659" s="6">
        <v>71</v>
      </c>
      <c r="T659" s="6">
        <v>77</v>
      </c>
      <c r="U659" s="8">
        <f t="shared" si="106"/>
        <v>0.14115833221731852</v>
      </c>
      <c r="V659" s="8" t="str">
        <f t="shared" si="107"/>
        <v>Normal</v>
      </c>
      <c r="W659" s="8">
        <f t="shared" si="108"/>
        <v>0.36783337948000144</v>
      </c>
      <c r="X659" s="8" t="str">
        <f t="shared" si="109"/>
        <v>Normal</v>
      </c>
    </row>
    <row r="660" spans="1:24" x14ac:dyDescent="0.25">
      <c r="A660" s="6">
        <v>659</v>
      </c>
      <c r="B660" s="7">
        <v>40573</v>
      </c>
      <c r="C660" s="6">
        <v>1</v>
      </c>
      <c r="D660" s="6" t="str">
        <f t="shared" si="100"/>
        <v>january</v>
      </c>
      <c r="E660" s="6">
        <v>18</v>
      </c>
      <c r="F660" s="6" t="str">
        <f t="shared" si="101"/>
        <v>Evening</v>
      </c>
      <c r="G660" s="6" t="b">
        <v>0</v>
      </c>
      <c r="H660" s="6">
        <f t="shared" si="102"/>
        <v>0</v>
      </c>
      <c r="I660" s="6">
        <v>0</v>
      </c>
      <c r="J660" s="6" t="str">
        <f t="shared" si="103"/>
        <v>Sunday</v>
      </c>
      <c r="K660" s="6">
        <f t="shared" si="104"/>
        <v>1</v>
      </c>
      <c r="L660" s="6">
        <v>1</v>
      </c>
      <c r="M660" s="6" t="str">
        <f t="shared" si="105"/>
        <v>Partly cloudy</v>
      </c>
      <c r="N660" s="8">
        <v>0.26</v>
      </c>
      <c r="O660" s="8">
        <v>0.2576</v>
      </c>
      <c r="P660" s="8">
        <v>0.65</v>
      </c>
      <c r="Q660" s="8">
        <v>0.16420000000000001</v>
      </c>
      <c r="R660" s="6">
        <v>8</v>
      </c>
      <c r="S660" s="6">
        <v>57</v>
      </c>
      <c r="T660" s="6">
        <v>65</v>
      </c>
      <c r="U660" s="8">
        <f t="shared" si="106"/>
        <v>0.40280491649409061</v>
      </c>
      <c r="V660" s="8" t="str">
        <f t="shared" si="107"/>
        <v>Normal</v>
      </c>
      <c r="W660" s="8">
        <f t="shared" si="108"/>
        <v>7.5520992994219466E-2</v>
      </c>
      <c r="X660" s="8" t="str">
        <f t="shared" si="109"/>
        <v>Normal</v>
      </c>
    </row>
    <row r="661" spans="1:24" x14ac:dyDescent="0.25">
      <c r="A661" s="6">
        <v>660</v>
      </c>
      <c r="B661" s="7">
        <v>40573</v>
      </c>
      <c r="C661" s="6">
        <v>1</v>
      </c>
      <c r="D661" s="6" t="str">
        <f t="shared" si="100"/>
        <v>january</v>
      </c>
      <c r="E661" s="6">
        <v>19</v>
      </c>
      <c r="F661" s="6" t="str">
        <f t="shared" si="101"/>
        <v>Evening</v>
      </c>
      <c r="G661" s="6" t="b">
        <v>0</v>
      </c>
      <c r="H661" s="6">
        <f t="shared" si="102"/>
        <v>0</v>
      </c>
      <c r="I661" s="6">
        <v>0</v>
      </c>
      <c r="J661" s="6" t="str">
        <f t="shared" si="103"/>
        <v>Sunday</v>
      </c>
      <c r="K661" s="6">
        <f t="shared" si="104"/>
        <v>1</v>
      </c>
      <c r="L661" s="6">
        <v>1</v>
      </c>
      <c r="M661" s="6" t="str">
        <f t="shared" si="105"/>
        <v>Partly cloudy</v>
      </c>
      <c r="N661" s="8">
        <v>0.26</v>
      </c>
      <c r="O661" s="8">
        <v>0.2576</v>
      </c>
      <c r="P661" s="8">
        <v>0.65</v>
      </c>
      <c r="Q661" s="8">
        <v>0.19400000000000001</v>
      </c>
      <c r="R661" s="6">
        <v>9</v>
      </c>
      <c r="S661" s="6">
        <v>46</v>
      </c>
      <c r="T661" s="6">
        <v>55</v>
      </c>
      <c r="U661" s="8">
        <f t="shared" si="106"/>
        <v>0.53362820863247673</v>
      </c>
      <c r="V661" s="8" t="str">
        <f t="shared" si="107"/>
        <v>Normal</v>
      </c>
      <c r="W661" s="8">
        <f t="shared" si="108"/>
        <v>-0.15415302495889494</v>
      </c>
      <c r="X661" s="8" t="str">
        <f t="shared" si="109"/>
        <v>Normal</v>
      </c>
    </row>
    <row r="662" spans="1:24" x14ac:dyDescent="0.25">
      <c r="A662" s="6">
        <v>661</v>
      </c>
      <c r="B662" s="7">
        <v>40573</v>
      </c>
      <c r="C662" s="6">
        <v>1</v>
      </c>
      <c r="D662" s="6" t="str">
        <f t="shared" si="100"/>
        <v>january</v>
      </c>
      <c r="E662" s="6">
        <v>20</v>
      </c>
      <c r="F662" s="6" t="str">
        <f t="shared" si="101"/>
        <v>Evening</v>
      </c>
      <c r="G662" s="6" t="b">
        <v>0</v>
      </c>
      <c r="H662" s="6">
        <f t="shared" si="102"/>
        <v>0</v>
      </c>
      <c r="I662" s="6">
        <v>0</v>
      </c>
      <c r="J662" s="6" t="str">
        <f t="shared" si="103"/>
        <v>Sunday</v>
      </c>
      <c r="K662" s="6">
        <f t="shared" si="104"/>
        <v>1</v>
      </c>
      <c r="L662" s="6">
        <v>2</v>
      </c>
      <c r="M662" s="6" t="str">
        <f t="shared" si="105"/>
        <v>Cloudy</v>
      </c>
      <c r="N662" s="8">
        <v>0.26</v>
      </c>
      <c r="O662" s="8">
        <v>0.2727</v>
      </c>
      <c r="P662" s="8">
        <v>0.65</v>
      </c>
      <c r="Q662" s="8">
        <v>0.1045</v>
      </c>
      <c r="R662" s="6">
        <v>3</v>
      </c>
      <c r="S662" s="6">
        <v>30</v>
      </c>
      <c r="T662" s="6">
        <v>33</v>
      </c>
      <c r="U662" s="8">
        <f t="shared" si="106"/>
        <v>-0.25131154419783963</v>
      </c>
      <c r="V662" s="8" t="str">
        <f t="shared" si="107"/>
        <v>Normal</v>
      </c>
      <c r="W662" s="8">
        <f t="shared" si="108"/>
        <v>-0.48822432379978858</v>
      </c>
      <c r="X662" s="8" t="str">
        <f t="shared" si="109"/>
        <v>Normal</v>
      </c>
    </row>
    <row r="663" spans="1:24" x14ac:dyDescent="0.25">
      <c r="A663" s="6">
        <v>662</v>
      </c>
      <c r="B663" s="7">
        <v>40573</v>
      </c>
      <c r="C663" s="6">
        <v>1</v>
      </c>
      <c r="D663" s="6" t="str">
        <f t="shared" si="100"/>
        <v>january</v>
      </c>
      <c r="E663" s="6">
        <v>21</v>
      </c>
      <c r="F663" s="6" t="str">
        <f t="shared" si="101"/>
        <v>Night</v>
      </c>
      <c r="G663" s="6" t="b">
        <v>0</v>
      </c>
      <c r="H663" s="6">
        <f t="shared" si="102"/>
        <v>0</v>
      </c>
      <c r="I663" s="6">
        <v>0</v>
      </c>
      <c r="J663" s="6" t="str">
        <f t="shared" si="103"/>
        <v>Sunday</v>
      </c>
      <c r="K663" s="6">
        <f t="shared" si="104"/>
        <v>1</v>
      </c>
      <c r="L663" s="6">
        <v>2</v>
      </c>
      <c r="M663" s="6" t="str">
        <f t="shared" si="105"/>
        <v>Cloudy</v>
      </c>
      <c r="N663" s="8">
        <v>0.24</v>
      </c>
      <c r="O663" s="8">
        <v>0.2424</v>
      </c>
      <c r="P663" s="8">
        <v>0.7</v>
      </c>
      <c r="Q663" s="8">
        <v>0.16420000000000001</v>
      </c>
      <c r="R663" s="6">
        <v>3</v>
      </c>
      <c r="S663" s="6">
        <v>25</v>
      </c>
      <c r="T663" s="6">
        <v>28</v>
      </c>
      <c r="U663" s="8">
        <f t="shared" si="106"/>
        <v>-0.25131154419783963</v>
      </c>
      <c r="V663" s="8" t="str">
        <f t="shared" si="107"/>
        <v>Normal</v>
      </c>
      <c r="W663" s="8">
        <f t="shared" si="108"/>
        <v>-0.59262160468756786</v>
      </c>
      <c r="X663" s="8" t="str">
        <f t="shared" si="109"/>
        <v>Normal</v>
      </c>
    </row>
    <row r="664" spans="1:24" x14ac:dyDescent="0.25">
      <c r="A664" s="6">
        <v>663</v>
      </c>
      <c r="B664" s="7">
        <v>40573</v>
      </c>
      <c r="C664" s="6">
        <v>1</v>
      </c>
      <c r="D664" s="6" t="str">
        <f t="shared" si="100"/>
        <v>january</v>
      </c>
      <c r="E664" s="6">
        <v>22</v>
      </c>
      <c r="F664" s="6" t="str">
        <f t="shared" si="101"/>
        <v>Night</v>
      </c>
      <c r="G664" s="6" t="b">
        <v>0</v>
      </c>
      <c r="H664" s="6">
        <f t="shared" si="102"/>
        <v>0</v>
      </c>
      <c r="I664" s="6">
        <v>0</v>
      </c>
      <c r="J664" s="6" t="str">
        <f t="shared" si="103"/>
        <v>Sunday</v>
      </c>
      <c r="K664" s="6">
        <f t="shared" si="104"/>
        <v>1</v>
      </c>
      <c r="L664" s="6">
        <v>2</v>
      </c>
      <c r="M664" s="6" t="str">
        <f t="shared" si="105"/>
        <v>Cloudy</v>
      </c>
      <c r="N664" s="8">
        <v>0.24</v>
      </c>
      <c r="O664" s="8">
        <v>0.2273</v>
      </c>
      <c r="P664" s="8">
        <v>0.7</v>
      </c>
      <c r="Q664" s="8">
        <v>0.19400000000000001</v>
      </c>
      <c r="R664" s="6">
        <v>2</v>
      </c>
      <c r="S664" s="6">
        <v>19</v>
      </c>
      <c r="T664" s="6">
        <v>21</v>
      </c>
      <c r="U664" s="8">
        <f t="shared" si="106"/>
        <v>-0.38213483633622569</v>
      </c>
      <c r="V664" s="8" t="str">
        <f t="shared" si="107"/>
        <v>Normal</v>
      </c>
      <c r="W664" s="8">
        <f t="shared" si="108"/>
        <v>-0.71789834175290301</v>
      </c>
      <c r="X664" s="8" t="str">
        <f t="shared" si="109"/>
        <v>Normal</v>
      </c>
    </row>
    <row r="665" spans="1:24" x14ac:dyDescent="0.25">
      <c r="A665" s="6">
        <v>664</v>
      </c>
      <c r="B665" s="7">
        <v>40573</v>
      </c>
      <c r="C665" s="6">
        <v>1</v>
      </c>
      <c r="D665" s="6" t="str">
        <f t="shared" si="100"/>
        <v>january</v>
      </c>
      <c r="E665" s="6">
        <v>23</v>
      </c>
      <c r="F665" s="6" t="str">
        <f t="shared" si="101"/>
        <v>Night</v>
      </c>
      <c r="G665" s="6" t="b">
        <v>0</v>
      </c>
      <c r="H665" s="6">
        <f t="shared" si="102"/>
        <v>0</v>
      </c>
      <c r="I665" s="6">
        <v>0</v>
      </c>
      <c r="J665" s="6" t="str">
        <f t="shared" si="103"/>
        <v>Sunday</v>
      </c>
      <c r="K665" s="6">
        <f t="shared" si="104"/>
        <v>1</v>
      </c>
      <c r="L665" s="6">
        <v>2</v>
      </c>
      <c r="M665" s="6" t="str">
        <f t="shared" si="105"/>
        <v>Cloudy</v>
      </c>
      <c r="N665" s="8">
        <v>0.24</v>
      </c>
      <c r="O665" s="8">
        <v>0.21210000000000001</v>
      </c>
      <c r="P665" s="8">
        <v>0.65</v>
      </c>
      <c r="Q665" s="8">
        <v>0.28360000000000002</v>
      </c>
      <c r="R665" s="6">
        <v>5</v>
      </c>
      <c r="S665" s="6">
        <v>16</v>
      </c>
      <c r="T665" s="6">
        <v>21</v>
      </c>
      <c r="U665" s="8">
        <f t="shared" si="106"/>
        <v>1.0335040078932463E-2</v>
      </c>
      <c r="V665" s="8" t="str">
        <f t="shared" si="107"/>
        <v>Normal</v>
      </c>
      <c r="W665" s="8">
        <f t="shared" si="108"/>
        <v>-0.78053671028557059</v>
      </c>
      <c r="X665" s="8" t="str">
        <f t="shared" si="109"/>
        <v>Normal</v>
      </c>
    </row>
    <row r="666" spans="1:24" x14ac:dyDescent="0.25">
      <c r="A666" s="6">
        <v>665</v>
      </c>
      <c r="B666" s="7">
        <v>40574</v>
      </c>
      <c r="C666" s="6">
        <v>1</v>
      </c>
      <c r="D666" s="6" t="str">
        <f t="shared" si="100"/>
        <v>january</v>
      </c>
      <c r="E666" s="6">
        <v>0</v>
      </c>
      <c r="F666" s="6" t="str">
        <f t="shared" si="101"/>
        <v>Night</v>
      </c>
      <c r="G666" s="6" t="b">
        <v>0</v>
      </c>
      <c r="H666" s="6">
        <f t="shared" si="102"/>
        <v>0</v>
      </c>
      <c r="I666" s="6">
        <v>1</v>
      </c>
      <c r="J666" s="6" t="str">
        <f t="shared" si="103"/>
        <v>Monday</v>
      </c>
      <c r="K666" s="6">
        <f t="shared" si="104"/>
        <v>0</v>
      </c>
      <c r="L666" s="6">
        <v>2</v>
      </c>
      <c r="M666" s="6" t="str">
        <f t="shared" si="105"/>
        <v>Cloudy</v>
      </c>
      <c r="N666" s="8">
        <v>0.24</v>
      </c>
      <c r="O666" s="8">
        <v>0.2273</v>
      </c>
      <c r="P666" s="8">
        <v>0.65</v>
      </c>
      <c r="Q666" s="8">
        <v>0.22389999999999999</v>
      </c>
      <c r="R666" s="6">
        <v>1</v>
      </c>
      <c r="S666" s="6">
        <v>6</v>
      </c>
      <c r="T666" s="6">
        <v>7</v>
      </c>
      <c r="U666" s="8">
        <f t="shared" si="106"/>
        <v>-0.51295812847461175</v>
      </c>
      <c r="V666" s="8" t="str">
        <f t="shared" si="107"/>
        <v>Normal</v>
      </c>
      <c r="W666" s="8">
        <f t="shared" si="108"/>
        <v>-0.98933127206112903</v>
      </c>
      <c r="X666" s="8" t="str">
        <f t="shared" si="109"/>
        <v>Normal</v>
      </c>
    </row>
    <row r="667" spans="1:24" x14ac:dyDescent="0.25">
      <c r="A667" s="6">
        <v>666</v>
      </c>
      <c r="B667" s="7">
        <v>40574</v>
      </c>
      <c r="C667" s="6">
        <v>1</v>
      </c>
      <c r="D667" s="6" t="str">
        <f t="shared" si="100"/>
        <v>january</v>
      </c>
      <c r="E667" s="6">
        <v>1</v>
      </c>
      <c r="F667" s="6" t="str">
        <f t="shared" si="101"/>
        <v>Night</v>
      </c>
      <c r="G667" s="6" t="b">
        <v>0</v>
      </c>
      <c r="H667" s="6">
        <f t="shared" si="102"/>
        <v>0</v>
      </c>
      <c r="I667" s="6">
        <v>1</v>
      </c>
      <c r="J667" s="6" t="str">
        <f t="shared" si="103"/>
        <v>Monday</v>
      </c>
      <c r="K667" s="6">
        <f t="shared" si="104"/>
        <v>0</v>
      </c>
      <c r="L667" s="6">
        <v>1</v>
      </c>
      <c r="M667" s="6" t="str">
        <f t="shared" si="105"/>
        <v>Partly cloudy</v>
      </c>
      <c r="N667" s="8">
        <v>0.22</v>
      </c>
      <c r="O667" s="8">
        <v>0.21210000000000001</v>
      </c>
      <c r="P667" s="8">
        <v>0.64</v>
      </c>
      <c r="Q667" s="8">
        <v>0.25369999999999998</v>
      </c>
      <c r="R667" s="6">
        <v>2</v>
      </c>
      <c r="S667" s="6">
        <v>5</v>
      </c>
      <c r="T667" s="6">
        <v>7</v>
      </c>
      <c r="U667" s="8">
        <f t="shared" si="106"/>
        <v>-0.38213483633622569</v>
      </c>
      <c r="V667" s="8" t="str">
        <f t="shared" si="107"/>
        <v>Normal</v>
      </c>
      <c r="W667" s="8">
        <f t="shared" si="108"/>
        <v>-1.010210728238685</v>
      </c>
      <c r="X667" s="8" t="str">
        <f t="shared" si="109"/>
        <v>Normal</v>
      </c>
    </row>
    <row r="668" spans="1:24" x14ac:dyDescent="0.25">
      <c r="A668" s="6">
        <v>667</v>
      </c>
      <c r="B668" s="7">
        <v>40574</v>
      </c>
      <c r="C668" s="6">
        <v>1</v>
      </c>
      <c r="D668" s="6" t="str">
        <f t="shared" si="100"/>
        <v>january</v>
      </c>
      <c r="E668" s="6">
        <v>2</v>
      </c>
      <c r="F668" s="6" t="str">
        <f t="shared" si="101"/>
        <v>Night</v>
      </c>
      <c r="G668" s="6" t="b">
        <v>0</v>
      </c>
      <c r="H668" s="6">
        <f t="shared" si="102"/>
        <v>0</v>
      </c>
      <c r="I668" s="6">
        <v>1</v>
      </c>
      <c r="J668" s="6" t="str">
        <f t="shared" si="103"/>
        <v>Monday</v>
      </c>
      <c r="K668" s="6">
        <f t="shared" si="104"/>
        <v>0</v>
      </c>
      <c r="L668" s="6">
        <v>1</v>
      </c>
      <c r="M668" s="6" t="str">
        <f t="shared" si="105"/>
        <v>Partly cloudy</v>
      </c>
      <c r="N668" s="8">
        <v>0.22</v>
      </c>
      <c r="O668" s="8">
        <v>0.2273</v>
      </c>
      <c r="P668" s="8">
        <v>0.64</v>
      </c>
      <c r="Q668" s="8">
        <v>0.19400000000000001</v>
      </c>
      <c r="R668" s="6">
        <v>0</v>
      </c>
      <c r="S668" s="6">
        <v>1</v>
      </c>
      <c r="T668" s="6">
        <v>1</v>
      </c>
      <c r="U668" s="8">
        <f t="shared" si="106"/>
        <v>-0.64378142061299781</v>
      </c>
      <c r="V668" s="8" t="str">
        <f t="shared" si="107"/>
        <v>Normal</v>
      </c>
      <c r="W668" s="8">
        <f t="shared" si="108"/>
        <v>-1.0937285529489083</v>
      </c>
      <c r="X668" s="8" t="str">
        <f t="shared" si="109"/>
        <v>Normal</v>
      </c>
    </row>
    <row r="669" spans="1:24" x14ac:dyDescent="0.25">
      <c r="A669" s="6">
        <v>668</v>
      </c>
      <c r="B669" s="7">
        <v>40574</v>
      </c>
      <c r="C669" s="6">
        <v>1</v>
      </c>
      <c r="D669" s="6" t="str">
        <f t="shared" si="100"/>
        <v>january</v>
      </c>
      <c r="E669" s="6">
        <v>3</v>
      </c>
      <c r="F669" s="6" t="str">
        <f t="shared" si="101"/>
        <v>Night</v>
      </c>
      <c r="G669" s="6" t="b">
        <v>0</v>
      </c>
      <c r="H669" s="6">
        <f t="shared" si="102"/>
        <v>0</v>
      </c>
      <c r="I669" s="6">
        <v>1</v>
      </c>
      <c r="J669" s="6" t="str">
        <f t="shared" si="103"/>
        <v>Monday</v>
      </c>
      <c r="K669" s="6">
        <f t="shared" si="104"/>
        <v>0</v>
      </c>
      <c r="L669" s="6">
        <v>1</v>
      </c>
      <c r="M669" s="6" t="str">
        <f t="shared" si="105"/>
        <v>Partly cloudy</v>
      </c>
      <c r="N669" s="8">
        <v>0.22</v>
      </c>
      <c r="O669" s="8">
        <v>0.2273</v>
      </c>
      <c r="P669" s="8">
        <v>0.64</v>
      </c>
      <c r="Q669" s="8">
        <v>0.19400000000000001</v>
      </c>
      <c r="R669" s="6">
        <v>0</v>
      </c>
      <c r="S669" s="6">
        <v>2</v>
      </c>
      <c r="T669" s="6">
        <v>2</v>
      </c>
      <c r="U669" s="8">
        <f t="shared" si="106"/>
        <v>-0.64378142061299781</v>
      </c>
      <c r="V669" s="8" t="str">
        <f t="shared" si="107"/>
        <v>Normal</v>
      </c>
      <c r="W669" s="8">
        <f t="shared" si="108"/>
        <v>-1.0728490967713524</v>
      </c>
      <c r="X669" s="8" t="str">
        <f t="shared" si="109"/>
        <v>Normal</v>
      </c>
    </row>
    <row r="670" spans="1:24" x14ac:dyDescent="0.25">
      <c r="A670" s="6">
        <v>669</v>
      </c>
      <c r="B670" s="7">
        <v>40574</v>
      </c>
      <c r="C670" s="6">
        <v>1</v>
      </c>
      <c r="D670" s="6" t="str">
        <f t="shared" si="100"/>
        <v>january</v>
      </c>
      <c r="E670" s="6">
        <v>4</v>
      </c>
      <c r="F670" s="6" t="str">
        <f t="shared" si="101"/>
        <v>Night</v>
      </c>
      <c r="G670" s="6" t="b">
        <v>0</v>
      </c>
      <c r="H670" s="6">
        <f t="shared" si="102"/>
        <v>0</v>
      </c>
      <c r="I670" s="6">
        <v>1</v>
      </c>
      <c r="J670" s="6" t="str">
        <f t="shared" si="103"/>
        <v>Monday</v>
      </c>
      <c r="K670" s="6">
        <f t="shared" si="104"/>
        <v>0</v>
      </c>
      <c r="L670" s="6">
        <v>1</v>
      </c>
      <c r="M670" s="6" t="str">
        <f t="shared" si="105"/>
        <v>Partly cloudy</v>
      </c>
      <c r="N670" s="8">
        <v>0.2</v>
      </c>
      <c r="O670" s="8">
        <v>0.19700000000000001</v>
      </c>
      <c r="P670" s="8">
        <v>0.59</v>
      </c>
      <c r="Q670" s="8">
        <v>0.22389999999999999</v>
      </c>
      <c r="R670" s="6">
        <v>0</v>
      </c>
      <c r="S670" s="6">
        <v>2</v>
      </c>
      <c r="T670" s="6">
        <v>2</v>
      </c>
      <c r="U670" s="8">
        <f t="shared" si="106"/>
        <v>-0.64378142061299781</v>
      </c>
      <c r="V670" s="8" t="str">
        <f t="shared" si="107"/>
        <v>Normal</v>
      </c>
      <c r="W670" s="8">
        <f t="shared" si="108"/>
        <v>-1.0728490967713524</v>
      </c>
      <c r="X670" s="8" t="str">
        <f t="shared" si="109"/>
        <v>Normal</v>
      </c>
    </row>
    <row r="671" spans="1:24" x14ac:dyDescent="0.25">
      <c r="A671" s="6">
        <v>670</v>
      </c>
      <c r="B671" s="7">
        <v>40574</v>
      </c>
      <c r="C671" s="6">
        <v>1</v>
      </c>
      <c r="D671" s="6" t="str">
        <f t="shared" si="100"/>
        <v>january</v>
      </c>
      <c r="E671" s="6">
        <v>5</v>
      </c>
      <c r="F671" s="6" t="str">
        <f t="shared" si="101"/>
        <v>Early Morning</v>
      </c>
      <c r="G671" s="6" t="b">
        <v>0</v>
      </c>
      <c r="H671" s="6">
        <f t="shared" si="102"/>
        <v>0</v>
      </c>
      <c r="I671" s="6">
        <v>1</v>
      </c>
      <c r="J671" s="6" t="str">
        <f t="shared" si="103"/>
        <v>Monday</v>
      </c>
      <c r="K671" s="6">
        <f t="shared" si="104"/>
        <v>0</v>
      </c>
      <c r="L671" s="6">
        <v>1</v>
      </c>
      <c r="M671" s="6" t="str">
        <f t="shared" si="105"/>
        <v>Partly cloudy</v>
      </c>
      <c r="N671" s="8">
        <v>0.18</v>
      </c>
      <c r="O671" s="8">
        <v>0.16669999999999999</v>
      </c>
      <c r="P671" s="8">
        <v>0.64</v>
      </c>
      <c r="Q671" s="8">
        <v>0.28360000000000002</v>
      </c>
      <c r="R671" s="6">
        <v>0</v>
      </c>
      <c r="S671" s="6">
        <v>8</v>
      </c>
      <c r="T671" s="6">
        <v>8</v>
      </c>
      <c r="U671" s="8">
        <f t="shared" si="106"/>
        <v>-0.64378142061299781</v>
      </c>
      <c r="V671" s="8" t="str">
        <f t="shared" si="107"/>
        <v>Normal</v>
      </c>
      <c r="W671" s="8">
        <f t="shared" si="108"/>
        <v>-0.94757235970601739</v>
      </c>
      <c r="X671" s="8" t="str">
        <f t="shared" si="109"/>
        <v>Normal</v>
      </c>
    </row>
    <row r="672" spans="1:24" x14ac:dyDescent="0.25">
      <c r="A672" s="6">
        <v>671</v>
      </c>
      <c r="B672" s="7">
        <v>40574</v>
      </c>
      <c r="C672" s="6">
        <v>1</v>
      </c>
      <c r="D672" s="6" t="str">
        <f t="shared" si="100"/>
        <v>january</v>
      </c>
      <c r="E672" s="6">
        <v>6</v>
      </c>
      <c r="F672" s="6" t="str">
        <f t="shared" si="101"/>
        <v>Early Morning</v>
      </c>
      <c r="G672" s="6" t="b">
        <v>0</v>
      </c>
      <c r="H672" s="6">
        <f t="shared" si="102"/>
        <v>0</v>
      </c>
      <c r="I672" s="6">
        <v>1</v>
      </c>
      <c r="J672" s="6" t="str">
        <f t="shared" si="103"/>
        <v>Monday</v>
      </c>
      <c r="K672" s="6">
        <f t="shared" si="104"/>
        <v>0</v>
      </c>
      <c r="L672" s="6">
        <v>1</v>
      </c>
      <c r="M672" s="6" t="str">
        <f t="shared" si="105"/>
        <v>Partly cloudy</v>
      </c>
      <c r="N672" s="8">
        <v>0.16</v>
      </c>
      <c r="O672" s="8">
        <v>0.13639999999999999</v>
      </c>
      <c r="P672" s="8">
        <v>0.69</v>
      </c>
      <c r="Q672" s="8">
        <v>0.32840000000000003</v>
      </c>
      <c r="R672" s="6">
        <v>0</v>
      </c>
      <c r="S672" s="6">
        <v>37</v>
      </c>
      <c r="T672" s="6">
        <v>37</v>
      </c>
      <c r="U672" s="8">
        <f t="shared" si="106"/>
        <v>-0.64378142061299781</v>
      </c>
      <c r="V672" s="8" t="str">
        <f t="shared" si="107"/>
        <v>Normal</v>
      </c>
      <c r="W672" s="8">
        <f t="shared" si="108"/>
        <v>-0.34206813055689761</v>
      </c>
      <c r="X672" s="8" t="str">
        <f t="shared" si="109"/>
        <v>Normal</v>
      </c>
    </row>
    <row r="673" spans="1:24" x14ac:dyDescent="0.25">
      <c r="A673" s="6">
        <v>672</v>
      </c>
      <c r="B673" s="7">
        <v>40574</v>
      </c>
      <c r="C673" s="6">
        <v>1</v>
      </c>
      <c r="D673" s="6" t="str">
        <f t="shared" si="100"/>
        <v>january</v>
      </c>
      <c r="E673" s="6">
        <v>7</v>
      </c>
      <c r="F673" s="6" t="str">
        <f t="shared" si="101"/>
        <v>Early Morning</v>
      </c>
      <c r="G673" s="6" t="b">
        <v>0</v>
      </c>
      <c r="H673" s="6">
        <f t="shared" si="102"/>
        <v>0</v>
      </c>
      <c r="I673" s="6">
        <v>1</v>
      </c>
      <c r="J673" s="6" t="str">
        <f t="shared" si="103"/>
        <v>Monday</v>
      </c>
      <c r="K673" s="6">
        <f t="shared" si="104"/>
        <v>0</v>
      </c>
      <c r="L673" s="6">
        <v>2</v>
      </c>
      <c r="M673" s="6" t="str">
        <f t="shared" si="105"/>
        <v>Cloudy</v>
      </c>
      <c r="N673" s="8">
        <v>0.16</v>
      </c>
      <c r="O673" s="8">
        <v>0.13639999999999999</v>
      </c>
      <c r="P673" s="8">
        <v>0.64</v>
      </c>
      <c r="Q673" s="8">
        <v>0.28360000000000002</v>
      </c>
      <c r="R673" s="6">
        <v>1</v>
      </c>
      <c r="S673" s="6">
        <v>71</v>
      </c>
      <c r="T673" s="6">
        <v>72</v>
      </c>
      <c r="U673" s="8">
        <f t="shared" si="106"/>
        <v>-0.51295812847461175</v>
      </c>
      <c r="V673" s="8" t="str">
        <f t="shared" si="107"/>
        <v>Normal</v>
      </c>
      <c r="W673" s="8">
        <f t="shared" si="108"/>
        <v>0.36783337948000144</v>
      </c>
      <c r="X673" s="8" t="str">
        <f t="shared" si="109"/>
        <v>Normal</v>
      </c>
    </row>
    <row r="674" spans="1:24" x14ac:dyDescent="0.25">
      <c r="A674" s="6">
        <v>673</v>
      </c>
      <c r="B674" s="7">
        <v>40574</v>
      </c>
      <c r="C674" s="6">
        <v>1</v>
      </c>
      <c r="D674" s="6" t="str">
        <f t="shared" si="100"/>
        <v>january</v>
      </c>
      <c r="E674" s="6">
        <v>8</v>
      </c>
      <c r="F674" s="6" t="str">
        <f t="shared" si="101"/>
        <v>Morning</v>
      </c>
      <c r="G674" s="6" t="b">
        <v>0</v>
      </c>
      <c r="H674" s="6">
        <f t="shared" si="102"/>
        <v>0</v>
      </c>
      <c r="I674" s="6">
        <v>1</v>
      </c>
      <c r="J674" s="6" t="str">
        <f t="shared" si="103"/>
        <v>Monday</v>
      </c>
      <c r="K674" s="6">
        <f t="shared" si="104"/>
        <v>0</v>
      </c>
      <c r="L674" s="6">
        <v>2</v>
      </c>
      <c r="M674" s="6" t="str">
        <f t="shared" si="105"/>
        <v>Cloudy</v>
      </c>
      <c r="N674" s="8">
        <v>0.16</v>
      </c>
      <c r="O674" s="8">
        <v>0.13639999999999999</v>
      </c>
      <c r="P674" s="8">
        <v>0.59</v>
      </c>
      <c r="Q674" s="8">
        <v>0.28360000000000002</v>
      </c>
      <c r="R674" s="6">
        <v>3</v>
      </c>
      <c r="S674" s="6">
        <v>182</v>
      </c>
      <c r="T674" s="6">
        <v>185</v>
      </c>
      <c r="U674" s="8">
        <f t="shared" si="106"/>
        <v>-0.25131154419783963</v>
      </c>
      <c r="V674" s="8" t="str">
        <f t="shared" si="107"/>
        <v>Normal</v>
      </c>
      <c r="W674" s="8">
        <f t="shared" si="108"/>
        <v>2.6854530151887013</v>
      </c>
      <c r="X674" s="8" t="str">
        <f t="shared" si="109"/>
        <v>Peak</v>
      </c>
    </row>
    <row r="675" spans="1:24" x14ac:dyDescent="0.25">
      <c r="A675" s="6">
        <v>674</v>
      </c>
      <c r="B675" s="7">
        <v>40574</v>
      </c>
      <c r="C675" s="6">
        <v>1</v>
      </c>
      <c r="D675" s="6" t="str">
        <f t="shared" si="100"/>
        <v>january</v>
      </c>
      <c r="E675" s="6">
        <v>9</v>
      </c>
      <c r="F675" s="6" t="str">
        <f t="shared" si="101"/>
        <v>Morning</v>
      </c>
      <c r="G675" s="6" t="b">
        <v>0</v>
      </c>
      <c r="H675" s="6">
        <f t="shared" si="102"/>
        <v>0</v>
      </c>
      <c r="I675" s="6">
        <v>1</v>
      </c>
      <c r="J675" s="6" t="str">
        <f t="shared" si="103"/>
        <v>Monday</v>
      </c>
      <c r="K675" s="6">
        <f t="shared" si="104"/>
        <v>0</v>
      </c>
      <c r="L675" s="6">
        <v>2</v>
      </c>
      <c r="M675" s="6" t="str">
        <f t="shared" si="105"/>
        <v>Cloudy</v>
      </c>
      <c r="N675" s="8">
        <v>0.16</v>
      </c>
      <c r="O675" s="8">
        <v>0.13639999999999999</v>
      </c>
      <c r="P675" s="8">
        <v>0.59</v>
      </c>
      <c r="Q675" s="8">
        <v>0.29849999999999999</v>
      </c>
      <c r="R675" s="6">
        <v>0</v>
      </c>
      <c r="S675" s="6">
        <v>112</v>
      </c>
      <c r="T675" s="6">
        <v>112</v>
      </c>
      <c r="U675" s="8">
        <f t="shared" si="106"/>
        <v>-0.64378142061299781</v>
      </c>
      <c r="V675" s="8" t="str">
        <f t="shared" si="107"/>
        <v>Normal</v>
      </c>
      <c r="W675" s="8">
        <f t="shared" si="108"/>
        <v>1.2238910827597915</v>
      </c>
      <c r="X675" s="8" t="str">
        <f t="shared" si="109"/>
        <v>Normal</v>
      </c>
    </row>
    <row r="676" spans="1:24" x14ac:dyDescent="0.25">
      <c r="A676" s="6">
        <v>675</v>
      </c>
      <c r="B676" s="7">
        <v>40574</v>
      </c>
      <c r="C676" s="6">
        <v>1</v>
      </c>
      <c r="D676" s="6" t="str">
        <f t="shared" si="100"/>
        <v>january</v>
      </c>
      <c r="E676" s="6">
        <v>10</v>
      </c>
      <c r="F676" s="6" t="str">
        <f t="shared" si="101"/>
        <v>Morning</v>
      </c>
      <c r="G676" s="6" t="b">
        <v>0</v>
      </c>
      <c r="H676" s="6">
        <f t="shared" si="102"/>
        <v>0</v>
      </c>
      <c r="I676" s="6">
        <v>1</v>
      </c>
      <c r="J676" s="6" t="str">
        <f t="shared" si="103"/>
        <v>Monday</v>
      </c>
      <c r="K676" s="6">
        <f t="shared" si="104"/>
        <v>0</v>
      </c>
      <c r="L676" s="6">
        <v>2</v>
      </c>
      <c r="M676" s="6" t="str">
        <f t="shared" si="105"/>
        <v>Cloudy</v>
      </c>
      <c r="N676" s="8">
        <v>0.16</v>
      </c>
      <c r="O676" s="8">
        <v>0.1515</v>
      </c>
      <c r="P676" s="8">
        <v>0.59</v>
      </c>
      <c r="Q676" s="8">
        <v>0.19400000000000001</v>
      </c>
      <c r="R676" s="6">
        <v>1</v>
      </c>
      <c r="S676" s="6">
        <v>68</v>
      </c>
      <c r="T676" s="6">
        <v>69</v>
      </c>
      <c r="U676" s="8">
        <f t="shared" si="106"/>
        <v>-0.51295812847461175</v>
      </c>
      <c r="V676" s="8" t="str">
        <f t="shared" si="107"/>
        <v>Normal</v>
      </c>
      <c r="W676" s="8">
        <f t="shared" si="108"/>
        <v>0.30519501094733387</v>
      </c>
      <c r="X676" s="8" t="str">
        <f t="shared" si="109"/>
        <v>Normal</v>
      </c>
    </row>
    <row r="677" spans="1:24" x14ac:dyDescent="0.25">
      <c r="A677" s="6">
        <v>676</v>
      </c>
      <c r="B677" s="7">
        <v>40574</v>
      </c>
      <c r="C677" s="6">
        <v>1</v>
      </c>
      <c r="D677" s="6" t="str">
        <f t="shared" si="100"/>
        <v>january</v>
      </c>
      <c r="E677" s="6">
        <v>11</v>
      </c>
      <c r="F677" s="6" t="str">
        <f t="shared" si="101"/>
        <v>Morning</v>
      </c>
      <c r="G677" s="6" t="b">
        <v>0</v>
      </c>
      <c r="H677" s="6">
        <f t="shared" si="102"/>
        <v>0</v>
      </c>
      <c r="I677" s="6">
        <v>1</v>
      </c>
      <c r="J677" s="6" t="str">
        <f t="shared" si="103"/>
        <v>Monday</v>
      </c>
      <c r="K677" s="6">
        <f t="shared" si="104"/>
        <v>0</v>
      </c>
      <c r="L677" s="6">
        <v>2</v>
      </c>
      <c r="M677" s="6" t="str">
        <f t="shared" si="105"/>
        <v>Cloudy</v>
      </c>
      <c r="N677" s="8">
        <v>0.16</v>
      </c>
      <c r="O677" s="8">
        <v>0.1515</v>
      </c>
      <c r="P677" s="8">
        <v>0.59</v>
      </c>
      <c r="Q677" s="8">
        <v>0.19400000000000001</v>
      </c>
      <c r="R677" s="6">
        <v>2</v>
      </c>
      <c r="S677" s="6">
        <v>46</v>
      </c>
      <c r="T677" s="6">
        <v>48</v>
      </c>
      <c r="U677" s="8">
        <f t="shared" si="106"/>
        <v>-0.38213483633622569</v>
      </c>
      <c r="V677" s="8" t="str">
        <f t="shared" si="107"/>
        <v>Normal</v>
      </c>
      <c r="W677" s="8">
        <f t="shared" si="108"/>
        <v>-0.15415302495889494</v>
      </c>
      <c r="X677" s="8" t="str">
        <f t="shared" si="109"/>
        <v>Normal</v>
      </c>
    </row>
    <row r="678" spans="1:24" x14ac:dyDescent="0.25">
      <c r="A678" s="6">
        <v>677</v>
      </c>
      <c r="B678" s="7">
        <v>40574</v>
      </c>
      <c r="C678" s="6">
        <v>1</v>
      </c>
      <c r="D678" s="6" t="str">
        <f t="shared" si="100"/>
        <v>january</v>
      </c>
      <c r="E678" s="6">
        <v>12</v>
      </c>
      <c r="F678" s="6" t="str">
        <f t="shared" si="101"/>
        <v>Afternoon</v>
      </c>
      <c r="G678" s="6" t="b">
        <v>0</v>
      </c>
      <c r="H678" s="6">
        <f t="shared" si="102"/>
        <v>0</v>
      </c>
      <c r="I678" s="6">
        <v>1</v>
      </c>
      <c r="J678" s="6" t="str">
        <f t="shared" si="103"/>
        <v>Monday</v>
      </c>
      <c r="K678" s="6">
        <f t="shared" si="104"/>
        <v>0</v>
      </c>
      <c r="L678" s="6">
        <v>2</v>
      </c>
      <c r="M678" s="6" t="str">
        <f t="shared" si="105"/>
        <v>Cloudy</v>
      </c>
      <c r="N678" s="8">
        <v>0.18</v>
      </c>
      <c r="O678" s="8">
        <v>0.21210000000000001</v>
      </c>
      <c r="P678" s="8">
        <v>0.55000000000000004</v>
      </c>
      <c r="Q678" s="8">
        <v>0.1045</v>
      </c>
      <c r="R678" s="6">
        <v>6</v>
      </c>
      <c r="S678" s="6">
        <v>62</v>
      </c>
      <c r="T678" s="6">
        <v>68</v>
      </c>
      <c r="U678" s="8">
        <f t="shared" si="106"/>
        <v>0.14115833221731852</v>
      </c>
      <c r="V678" s="8" t="str">
        <f t="shared" si="107"/>
        <v>Normal</v>
      </c>
      <c r="W678" s="8">
        <f t="shared" si="108"/>
        <v>0.17991827388199874</v>
      </c>
      <c r="X678" s="8" t="str">
        <f t="shared" si="109"/>
        <v>Normal</v>
      </c>
    </row>
    <row r="679" spans="1:24" x14ac:dyDescent="0.25">
      <c r="A679" s="6">
        <v>678</v>
      </c>
      <c r="B679" s="7">
        <v>40574</v>
      </c>
      <c r="C679" s="6">
        <v>1</v>
      </c>
      <c r="D679" s="6" t="str">
        <f t="shared" si="100"/>
        <v>january</v>
      </c>
      <c r="E679" s="6">
        <v>13</v>
      </c>
      <c r="F679" s="6" t="str">
        <f t="shared" si="101"/>
        <v>Afternoon</v>
      </c>
      <c r="G679" s="6" t="b">
        <v>0</v>
      </c>
      <c r="H679" s="6">
        <f t="shared" si="102"/>
        <v>0</v>
      </c>
      <c r="I679" s="6">
        <v>1</v>
      </c>
      <c r="J679" s="6" t="str">
        <f t="shared" si="103"/>
        <v>Monday</v>
      </c>
      <c r="K679" s="6">
        <f t="shared" si="104"/>
        <v>0</v>
      </c>
      <c r="L679" s="6">
        <v>2</v>
      </c>
      <c r="M679" s="6" t="str">
        <f t="shared" si="105"/>
        <v>Cloudy</v>
      </c>
      <c r="N679" s="8">
        <v>0.16</v>
      </c>
      <c r="O679" s="8">
        <v>0.2273</v>
      </c>
      <c r="P679" s="8">
        <v>0.59</v>
      </c>
      <c r="Q679" s="8">
        <v>0</v>
      </c>
      <c r="R679" s="6">
        <v>2</v>
      </c>
      <c r="S679" s="6">
        <v>52</v>
      </c>
      <c r="T679" s="6">
        <v>54</v>
      </c>
      <c r="U679" s="8">
        <f t="shared" si="106"/>
        <v>-0.38213483633622569</v>
      </c>
      <c r="V679" s="8" t="str">
        <f t="shared" si="107"/>
        <v>Normal</v>
      </c>
      <c r="W679" s="8">
        <f t="shared" si="108"/>
        <v>-2.8876287893559803E-2</v>
      </c>
      <c r="X679" s="8" t="str">
        <f t="shared" si="109"/>
        <v>Normal</v>
      </c>
    </row>
    <row r="680" spans="1:24" x14ac:dyDescent="0.25">
      <c r="A680" s="6">
        <v>679</v>
      </c>
      <c r="B680" s="7">
        <v>40574</v>
      </c>
      <c r="C680" s="6">
        <v>1</v>
      </c>
      <c r="D680" s="6" t="str">
        <f t="shared" si="100"/>
        <v>january</v>
      </c>
      <c r="E680" s="6">
        <v>14</v>
      </c>
      <c r="F680" s="6" t="str">
        <f t="shared" si="101"/>
        <v>Afternoon</v>
      </c>
      <c r="G680" s="6" t="b">
        <v>0</v>
      </c>
      <c r="H680" s="6">
        <f t="shared" si="102"/>
        <v>0</v>
      </c>
      <c r="I680" s="6">
        <v>1</v>
      </c>
      <c r="J680" s="6" t="str">
        <f t="shared" si="103"/>
        <v>Monday</v>
      </c>
      <c r="K680" s="6">
        <f t="shared" si="104"/>
        <v>0</v>
      </c>
      <c r="L680" s="6">
        <v>2</v>
      </c>
      <c r="M680" s="6" t="str">
        <f t="shared" si="105"/>
        <v>Cloudy</v>
      </c>
      <c r="N680" s="8">
        <v>0.18</v>
      </c>
      <c r="O680" s="8">
        <v>0.19700000000000001</v>
      </c>
      <c r="P680" s="8">
        <v>0.55000000000000004</v>
      </c>
      <c r="Q680" s="8">
        <v>0.1343</v>
      </c>
      <c r="R680" s="6">
        <v>1</v>
      </c>
      <c r="S680" s="6">
        <v>85</v>
      </c>
      <c r="T680" s="6">
        <v>86</v>
      </c>
      <c r="U680" s="8">
        <f t="shared" si="106"/>
        <v>-0.51295812847461175</v>
      </c>
      <c r="V680" s="8" t="str">
        <f t="shared" si="107"/>
        <v>Normal</v>
      </c>
      <c r="W680" s="8">
        <f t="shared" si="108"/>
        <v>0.66014576596578334</v>
      </c>
      <c r="X680" s="8" t="str">
        <f t="shared" si="109"/>
        <v>Normal</v>
      </c>
    </row>
    <row r="681" spans="1:24" x14ac:dyDescent="0.25">
      <c r="A681" s="6">
        <v>680</v>
      </c>
      <c r="B681" s="7">
        <v>40574</v>
      </c>
      <c r="C681" s="6">
        <v>1</v>
      </c>
      <c r="D681" s="6" t="str">
        <f t="shared" si="100"/>
        <v>january</v>
      </c>
      <c r="E681" s="6">
        <v>15</v>
      </c>
      <c r="F681" s="6" t="str">
        <f t="shared" si="101"/>
        <v>Afternoon</v>
      </c>
      <c r="G681" s="6" t="b">
        <v>0</v>
      </c>
      <c r="H681" s="6">
        <f t="shared" si="102"/>
        <v>0</v>
      </c>
      <c r="I681" s="6">
        <v>1</v>
      </c>
      <c r="J681" s="6" t="str">
        <f t="shared" si="103"/>
        <v>Monday</v>
      </c>
      <c r="K681" s="6">
        <f t="shared" si="104"/>
        <v>0</v>
      </c>
      <c r="L681" s="6">
        <v>2</v>
      </c>
      <c r="M681" s="6" t="str">
        <f t="shared" si="105"/>
        <v>Cloudy</v>
      </c>
      <c r="N681" s="8">
        <v>0.16</v>
      </c>
      <c r="O681" s="8">
        <v>0.18179999999999999</v>
      </c>
      <c r="P681" s="8">
        <v>0.59</v>
      </c>
      <c r="Q681" s="8">
        <v>0.1343</v>
      </c>
      <c r="R681" s="6">
        <v>3</v>
      </c>
      <c r="S681" s="6">
        <v>41</v>
      </c>
      <c r="T681" s="6">
        <v>44</v>
      </c>
      <c r="U681" s="8">
        <f t="shared" si="106"/>
        <v>-0.25131154419783963</v>
      </c>
      <c r="V681" s="8" t="str">
        <f t="shared" si="107"/>
        <v>Normal</v>
      </c>
      <c r="W681" s="8">
        <f t="shared" si="108"/>
        <v>-0.25855030584667421</v>
      </c>
      <c r="X681" s="8" t="str">
        <f t="shared" si="109"/>
        <v>Normal</v>
      </c>
    </row>
    <row r="682" spans="1:24" x14ac:dyDescent="0.25">
      <c r="A682" s="6">
        <v>681</v>
      </c>
      <c r="B682" s="7">
        <v>40574</v>
      </c>
      <c r="C682" s="6">
        <v>1</v>
      </c>
      <c r="D682" s="6" t="str">
        <f t="shared" si="100"/>
        <v>january</v>
      </c>
      <c r="E682" s="6">
        <v>16</v>
      </c>
      <c r="F682" s="6" t="str">
        <f t="shared" si="101"/>
        <v>Afternoon</v>
      </c>
      <c r="G682" s="6" t="b">
        <v>0</v>
      </c>
      <c r="H682" s="6">
        <f t="shared" si="102"/>
        <v>0</v>
      </c>
      <c r="I682" s="6">
        <v>1</v>
      </c>
      <c r="J682" s="6" t="str">
        <f t="shared" si="103"/>
        <v>Monday</v>
      </c>
      <c r="K682" s="6">
        <f t="shared" si="104"/>
        <v>0</v>
      </c>
      <c r="L682" s="6">
        <v>2</v>
      </c>
      <c r="M682" s="6" t="str">
        <f t="shared" si="105"/>
        <v>Cloudy</v>
      </c>
      <c r="N682" s="8">
        <v>0.16</v>
      </c>
      <c r="O682" s="8">
        <v>0.18179999999999999</v>
      </c>
      <c r="P682" s="8">
        <v>0.56000000000000005</v>
      </c>
      <c r="Q682" s="8">
        <v>0.19400000000000001</v>
      </c>
      <c r="R682" s="6">
        <v>3</v>
      </c>
      <c r="S682" s="6">
        <v>83</v>
      </c>
      <c r="T682" s="6">
        <v>86</v>
      </c>
      <c r="U682" s="8">
        <f t="shared" si="106"/>
        <v>-0.25131154419783963</v>
      </c>
      <c r="V682" s="8" t="str">
        <f t="shared" si="107"/>
        <v>Normal</v>
      </c>
      <c r="W682" s="8">
        <f t="shared" si="108"/>
        <v>0.61838685361067169</v>
      </c>
      <c r="X682" s="8" t="str">
        <f t="shared" si="109"/>
        <v>Normal</v>
      </c>
    </row>
    <row r="683" spans="1:24" x14ac:dyDescent="0.25">
      <c r="A683" s="6">
        <v>682</v>
      </c>
      <c r="B683" s="7">
        <v>40574</v>
      </c>
      <c r="C683" s="6">
        <v>1</v>
      </c>
      <c r="D683" s="6" t="str">
        <f t="shared" si="100"/>
        <v>january</v>
      </c>
      <c r="E683" s="6">
        <v>17</v>
      </c>
      <c r="F683" s="6" t="str">
        <f t="shared" si="101"/>
        <v>Evening</v>
      </c>
      <c r="G683" s="6" t="b">
        <v>0</v>
      </c>
      <c r="H683" s="6">
        <f t="shared" si="102"/>
        <v>0</v>
      </c>
      <c r="I683" s="6">
        <v>1</v>
      </c>
      <c r="J683" s="6" t="str">
        <f t="shared" si="103"/>
        <v>Monday</v>
      </c>
      <c r="K683" s="6">
        <f t="shared" si="104"/>
        <v>0</v>
      </c>
      <c r="L683" s="6">
        <v>2</v>
      </c>
      <c r="M683" s="6" t="str">
        <f t="shared" si="105"/>
        <v>Cloudy</v>
      </c>
      <c r="N683" s="8">
        <v>0.16</v>
      </c>
      <c r="O683" s="8">
        <v>0.1515</v>
      </c>
      <c r="P683" s="8">
        <v>0.59</v>
      </c>
      <c r="Q683" s="8">
        <v>0.19400000000000001</v>
      </c>
      <c r="R683" s="6">
        <v>6</v>
      </c>
      <c r="S683" s="6">
        <v>155</v>
      </c>
      <c r="T683" s="6">
        <v>161</v>
      </c>
      <c r="U683" s="8">
        <f t="shared" si="106"/>
        <v>0.14115833221731852</v>
      </c>
      <c r="V683" s="8" t="str">
        <f t="shared" si="107"/>
        <v>Normal</v>
      </c>
      <c r="W683" s="8">
        <f t="shared" si="108"/>
        <v>2.121707698394693</v>
      </c>
      <c r="X683" s="8" t="str">
        <f t="shared" si="109"/>
        <v>Peak</v>
      </c>
    </row>
    <row r="684" spans="1:24" x14ac:dyDescent="0.25">
      <c r="A684" s="6">
        <v>683</v>
      </c>
      <c r="B684" s="7">
        <v>40574</v>
      </c>
      <c r="C684" s="6">
        <v>1</v>
      </c>
      <c r="D684" s="6" t="str">
        <f t="shared" si="100"/>
        <v>january</v>
      </c>
      <c r="E684" s="6">
        <v>18</v>
      </c>
      <c r="F684" s="6" t="str">
        <f t="shared" si="101"/>
        <v>Evening</v>
      </c>
      <c r="G684" s="6" t="b">
        <v>0</v>
      </c>
      <c r="H684" s="6">
        <f t="shared" si="102"/>
        <v>0</v>
      </c>
      <c r="I684" s="6">
        <v>1</v>
      </c>
      <c r="J684" s="6" t="str">
        <f t="shared" si="103"/>
        <v>Monday</v>
      </c>
      <c r="K684" s="6">
        <f t="shared" si="104"/>
        <v>0</v>
      </c>
      <c r="L684" s="6">
        <v>2</v>
      </c>
      <c r="M684" s="6" t="str">
        <f t="shared" si="105"/>
        <v>Cloudy</v>
      </c>
      <c r="N684" s="8">
        <v>0.16</v>
      </c>
      <c r="O684" s="8">
        <v>0.1515</v>
      </c>
      <c r="P684" s="8">
        <v>0.55000000000000004</v>
      </c>
      <c r="Q684" s="8">
        <v>0.22389999999999999</v>
      </c>
      <c r="R684" s="6">
        <v>3</v>
      </c>
      <c r="S684" s="6">
        <v>153</v>
      </c>
      <c r="T684" s="6">
        <v>156</v>
      </c>
      <c r="U684" s="8">
        <f t="shared" si="106"/>
        <v>-0.25131154419783963</v>
      </c>
      <c r="V684" s="8" t="str">
        <f t="shared" si="107"/>
        <v>Normal</v>
      </c>
      <c r="W684" s="8">
        <f t="shared" si="108"/>
        <v>2.0799487860395813</v>
      </c>
      <c r="X684" s="8" t="str">
        <f t="shared" si="109"/>
        <v>Peak</v>
      </c>
    </row>
    <row r="685" spans="1:24" x14ac:dyDescent="0.25">
      <c r="A685" s="6">
        <v>684</v>
      </c>
      <c r="B685" s="7">
        <v>40574</v>
      </c>
      <c r="C685" s="6">
        <v>1</v>
      </c>
      <c r="D685" s="6" t="str">
        <f t="shared" si="100"/>
        <v>january</v>
      </c>
      <c r="E685" s="6">
        <v>19</v>
      </c>
      <c r="F685" s="6" t="str">
        <f t="shared" si="101"/>
        <v>Evening</v>
      </c>
      <c r="G685" s="6" t="b">
        <v>0</v>
      </c>
      <c r="H685" s="6">
        <f t="shared" si="102"/>
        <v>0</v>
      </c>
      <c r="I685" s="6">
        <v>1</v>
      </c>
      <c r="J685" s="6" t="str">
        <f t="shared" si="103"/>
        <v>Monday</v>
      </c>
      <c r="K685" s="6">
        <f t="shared" si="104"/>
        <v>0</v>
      </c>
      <c r="L685" s="6">
        <v>1</v>
      </c>
      <c r="M685" s="6" t="str">
        <f t="shared" si="105"/>
        <v>Partly cloudy</v>
      </c>
      <c r="N685" s="8">
        <v>0.3</v>
      </c>
      <c r="O685" s="8">
        <v>0.31819999999999998</v>
      </c>
      <c r="P685" s="8">
        <v>0.61</v>
      </c>
      <c r="Q685" s="8">
        <v>0.1045</v>
      </c>
      <c r="R685" s="6">
        <v>3</v>
      </c>
      <c r="S685" s="6">
        <v>108</v>
      </c>
      <c r="T685" s="6">
        <v>111</v>
      </c>
      <c r="U685" s="8">
        <f t="shared" si="106"/>
        <v>-0.25131154419783963</v>
      </c>
      <c r="V685" s="8" t="str">
        <f t="shared" si="107"/>
        <v>Normal</v>
      </c>
      <c r="W685" s="8">
        <f t="shared" si="108"/>
        <v>1.140373258049568</v>
      </c>
      <c r="X685" s="8" t="str">
        <f t="shared" si="109"/>
        <v>Normal</v>
      </c>
    </row>
    <row r="686" spans="1:24" x14ac:dyDescent="0.25">
      <c r="A686" s="6">
        <v>685</v>
      </c>
      <c r="B686" s="7">
        <v>40574</v>
      </c>
      <c r="C686" s="6">
        <v>1</v>
      </c>
      <c r="D686" s="6" t="str">
        <f t="shared" si="100"/>
        <v>january</v>
      </c>
      <c r="E686" s="6">
        <v>20</v>
      </c>
      <c r="F686" s="6" t="str">
        <f t="shared" si="101"/>
        <v>Evening</v>
      </c>
      <c r="G686" s="6" t="b">
        <v>0</v>
      </c>
      <c r="H686" s="6">
        <f t="shared" si="102"/>
        <v>0</v>
      </c>
      <c r="I686" s="6">
        <v>1</v>
      </c>
      <c r="J686" s="6" t="str">
        <f t="shared" si="103"/>
        <v>Monday</v>
      </c>
      <c r="K686" s="6">
        <f t="shared" si="104"/>
        <v>0</v>
      </c>
      <c r="L686" s="6">
        <v>3</v>
      </c>
      <c r="M686" s="6" t="str">
        <f t="shared" si="105"/>
        <v>Light rain</v>
      </c>
      <c r="N686" s="8">
        <v>0.16</v>
      </c>
      <c r="O686" s="8">
        <v>0.16669999999999999</v>
      </c>
      <c r="P686" s="8">
        <v>0.59</v>
      </c>
      <c r="Q686" s="8">
        <v>0.16420000000000001</v>
      </c>
      <c r="R686" s="6">
        <v>0</v>
      </c>
      <c r="S686" s="6">
        <v>78</v>
      </c>
      <c r="T686" s="6">
        <v>78</v>
      </c>
      <c r="U686" s="8">
        <f t="shared" si="106"/>
        <v>-0.64378142061299781</v>
      </c>
      <c r="V686" s="8" t="str">
        <f t="shared" si="107"/>
        <v>Normal</v>
      </c>
      <c r="W686" s="8">
        <f t="shared" si="108"/>
        <v>0.51398957272289236</v>
      </c>
      <c r="X686" s="8" t="str">
        <f t="shared" si="109"/>
        <v>Normal</v>
      </c>
    </row>
    <row r="687" spans="1:24" x14ac:dyDescent="0.25">
      <c r="A687" s="6">
        <v>686</v>
      </c>
      <c r="B687" s="7">
        <v>40574</v>
      </c>
      <c r="C687" s="6">
        <v>1</v>
      </c>
      <c r="D687" s="6" t="str">
        <f t="shared" si="100"/>
        <v>january</v>
      </c>
      <c r="E687" s="6">
        <v>21</v>
      </c>
      <c r="F687" s="6" t="str">
        <f t="shared" si="101"/>
        <v>Night</v>
      </c>
      <c r="G687" s="6" t="b">
        <v>0</v>
      </c>
      <c r="H687" s="6">
        <f t="shared" si="102"/>
        <v>0</v>
      </c>
      <c r="I687" s="6">
        <v>1</v>
      </c>
      <c r="J687" s="6" t="str">
        <f t="shared" si="103"/>
        <v>Monday</v>
      </c>
      <c r="K687" s="6">
        <f t="shared" si="104"/>
        <v>0</v>
      </c>
      <c r="L687" s="6">
        <v>3</v>
      </c>
      <c r="M687" s="6" t="str">
        <f t="shared" si="105"/>
        <v>Light rain</v>
      </c>
      <c r="N687" s="8">
        <v>0.16</v>
      </c>
      <c r="O687" s="8">
        <v>0.19700000000000001</v>
      </c>
      <c r="P687" s="8">
        <v>0.59</v>
      </c>
      <c r="Q687" s="8">
        <v>8.9599999999999999E-2</v>
      </c>
      <c r="R687" s="6">
        <v>3</v>
      </c>
      <c r="S687" s="6">
        <v>53</v>
      </c>
      <c r="T687" s="6">
        <v>56</v>
      </c>
      <c r="U687" s="8">
        <f t="shared" si="106"/>
        <v>-0.25131154419783963</v>
      </c>
      <c r="V687" s="8" t="str">
        <f t="shared" si="107"/>
        <v>Normal</v>
      </c>
      <c r="W687" s="8">
        <f t="shared" si="108"/>
        <v>-7.9968317160039482E-3</v>
      </c>
      <c r="X687" s="8" t="str">
        <f t="shared" si="109"/>
        <v>Normal</v>
      </c>
    </row>
    <row r="688" spans="1:24" x14ac:dyDescent="0.25">
      <c r="A688" s="6">
        <v>687</v>
      </c>
      <c r="B688" s="7">
        <v>40574</v>
      </c>
      <c r="C688" s="6">
        <v>1</v>
      </c>
      <c r="D688" s="6" t="str">
        <f t="shared" si="100"/>
        <v>january</v>
      </c>
      <c r="E688" s="6">
        <v>22</v>
      </c>
      <c r="F688" s="6" t="str">
        <f t="shared" si="101"/>
        <v>Night</v>
      </c>
      <c r="G688" s="6" t="b">
        <v>0</v>
      </c>
      <c r="H688" s="6">
        <f t="shared" si="102"/>
        <v>0</v>
      </c>
      <c r="I688" s="6">
        <v>1</v>
      </c>
      <c r="J688" s="6" t="str">
        <f t="shared" si="103"/>
        <v>Monday</v>
      </c>
      <c r="K688" s="6">
        <f t="shared" si="104"/>
        <v>0</v>
      </c>
      <c r="L688" s="6">
        <v>2</v>
      </c>
      <c r="M688" s="6" t="str">
        <f t="shared" si="105"/>
        <v>Cloudy</v>
      </c>
      <c r="N688" s="8">
        <v>0.16</v>
      </c>
      <c r="O688" s="8">
        <v>0.18179999999999999</v>
      </c>
      <c r="P688" s="8">
        <v>0.59</v>
      </c>
      <c r="Q688" s="8">
        <v>0.1045</v>
      </c>
      <c r="R688" s="6">
        <v>0</v>
      </c>
      <c r="S688" s="6">
        <v>34</v>
      </c>
      <c r="T688" s="6">
        <v>34</v>
      </c>
      <c r="U688" s="8">
        <f t="shared" si="106"/>
        <v>-0.64378142061299781</v>
      </c>
      <c r="V688" s="8" t="str">
        <f t="shared" si="107"/>
        <v>Normal</v>
      </c>
      <c r="W688" s="8">
        <f t="shared" si="108"/>
        <v>-0.40470649908956519</v>
      </c>
      <c r="X688" s="8" t="str">
        <f t="shared" si="109"/>
        <v>Normal</v>
      </c>
    </row>
    <row r="689" spans="1:24" x14ac:dyDescent="0.25">
      <c r="A689" s="6">
        <v>688</v>
      </c>
      <c r="B689" s="7">
        <v>40574</v>
      </c>
      <c r="C689" s="6">
        <v>1</v>
      </c>
      <c r="D689" s="6" t="str">
        <f t="shared" si="100"/>
        <v>january</v>
      </c>
      <c r="E689" s="6">
        <v>23</v>
      </c>
      <c r="F689" s="6" t="str">
        <f t="shared" si="101"/>
        <v>Night</v>
      </c>
      <c r="G689" s="6" t="b">
        <v>0</v>
      </c>
      <c r="H689" s="6">
        <f t="shared" si="102"/>
        <v>0</v>
      </c>
      <c r="I689" s="6">
        <v>1</v>
      </c>
      <c r="J689" s="6" t="str">
        <f t="shared" si="103"/>
        <v>Monday</v>
      </c>
      <c r="K689" s="6">
        <f t="shared" si="104"/>
        <v>0</v>
      </c>
      <c r="L689" s="6">
        <v>2</v>
      </c>
      <c r="M689" s="6" t="str">
        <f t="shared" si="105"/>
        <v>Cloudy</v>
      </c>
      <c r="N689" s="8">
        <v>0.16</v>
      </c>
      <c r="O689" s="8">
        <v>0.19700000000000001</v>
      </c>
      <c r="P689" s="8">
        <v>0.64</v>
      </c>
      <c r="Q689" s="8">
        <v>8.9599999999999999E-2</v>
      </c>
      <c r="R689" s="6">
        <v>2</v>
      </c>
      <c r="S689" s="6">
        <v>15</v>
      </c>
      <c r="T689" s="6">
        <v>17</v>
      </c>
      <c r="U689" s="8">
        <f t="shared" si="106"/>
        <v>-0.38213483633622569</v>
      </c>
      <c r="V689" s="8" t="str">
        <f t="shared" si="107"/>
        <v>Normal</v>
      </c>
      <c r="W689" s="8">
        <f t="shared" si="108"/>
        <v>-0.80141616646312641</v>
      </c>
      <c r="X689" s="8" t="str">
        <f t="shared" si="109"/>
        <v>Normal</v>
      </c>
    </row>
    <row r="690" spans="1:24" x14ac:dyDescent="0.25">
      <c r="A690" s="6">
        <v>689</v>
      </c>
      <c r="B690" s="7">
        <v>40575</v>
      </c>
      <c r="C690" s="6">
        <v>2</v>
      </c>
      <c r="D690" s="6" t="str">
        <f t="shared" si="100"/>
        <v>february</v>
      </c>
      <c r="E690" s="6">
        <v>0</v>
      </c>
      <c r="F690" s="6" t="str">
        <f t="shared" si="101"/>
        <v>Night</v>
      </c>
      <c r="G690" s="6" t="b">
        <v>0</v>
      </c>
      <c r="H690" s="6">
        <f t="shared" si="102"/>
        <v>0</v>
      </c>
      <c r="I690" s="6">
        <v>2</v>
      </c>
      <c r="J690" s="6" t="str">
        <f t="shared" si="103"/>
        <v>Tuesday</v>
      </c>
      <c r="K690" s="6">
        <f t="shared" si="104"/>
        <v>0</v>
      </c>
      <c r="L690" s="6">
        <v>2</v>
      </c>
      <c r="M690" s="6" t="str">
        <f t="shared" si="105"/>
        <v>Cloudy</v>
      </c>
      <c r="N690" s="8">
        <v>0.16</v>
      </c>
      <c r="O690" s="8">
        <v>0.18179999999999999</v>
      </c>
      <c r="P690" s="8">
        <v>0.64</v>
      </c>
      <c r="Q690" s="8">
        <v>0.1045</v>
      </c>
      <c r="R690" s="6">
        <v>2</v>
      </c>
      <c r="S690" s="6">
        <v>6</v>
      </c>
      <c r="T690" s="6">
        <v>8</v>
      </c>
      <c r="U690" s="8">
        <f t="shared" si="106"/>
        <v>-0.38213483633622569</v>
      </c>
      <c r="V690" s="8" t="str">
        <f t="shared" si="107"/>
        <v>Normal</v>
      </c>
      <c r="W690" s="8">
        <f t="shared" si="108"/>
        <v>-0.98933127206112903</v>
      </c>
      <c r="X690" s="8" t="str">
        <f t="shared" si="109"/>
        <v>Normal</v>
      </c>
    </row>
    <row r="691" spans="1:24" x14ac:dyDescent="0.25">
      <c r="A691" s="6">
        <v>690</v>
      </c>
      <c r="B691" s="7">
        <v>40575</v>
      </c>
      <c r="C691" s="6">
        <v>2</v>
      </c>
      <c r="D691" s="6" t="str">
        <f t="shared" si="100"/>
        <v>february</v>
      </c>
      <c r="E691" s="6">
        <v>1</v>
      </c>
      <c r="F691" s="6" t="str">
        <f t="shared" si="101"/>
        <v>Night</v>
      </c>
      <c r="G691" s="6" t="b">
        <v>0</v>
      </c>
      <c r="H691" s="6">
        <f t="shared" si="102"/>
        <v>0</v>
      </c>
      <c r="I691" s="6">
        <v>2</v>
      </c>
      <c r="J691" s="6" t="str">
        <f t="shared" si="103"/>
        <v>Tuesday</v>
      </c>
      <c r="K691" s="6">
        <f t="shared" si="104"/>
        <v>0</v>
      </c>
      <c r="L691" s="6">
        <v>2</v>
      </c>
      <c r="M691" s="6" t="str">
        <f t="shared" si="105"/>
        <v>Cloudy</v>
      </c>
      <c r="N691" s="8">
        <v>0.16</v>
      </c>
      <c r="O691" s="8">
        <v>0.18179999999999999</v>
      </c>
      <c r="P691" s="8">
        <v>0.69</v>
      </c>
      <c r="Q691" s="8">
        <v>0.1045</v>
      </c>
      <c r="R691" s="6">
        <v>0</v>
      </c>
      <c r="S691" s="6">
        <v>3</v>
      </c>
      <c r="T691" s="6">
        <v>3</v>
      </c>
      <c r="U691" s="8">
        <f t="shared" si="106"/>
        <v>-0.64378142061299781</v>
      </c>
      <c r="V691" s="8" t="str">
        <f t="shared" si="107"/>
        <v>Normal</v>
      </c>
      <c r="W691" s="8">
        <f t="shared" si="108"/>
        <v>-1.0519696405937966</v>
      </c>
      <c r="X691" s="8" t="str">
        <f t="shared" si="109"/>
        <v>Normal</v>
      </c>
    </row>
    <row r="692" spans="1:24" x14ac:dyDescent="0.25">
      <c r="A692" s="6">
        <v>691</v>
      </c>
      <c r="B692" s="7">
        <v>40575</v>
      </c>
      <c r="C692" s="6">
        <v>2</v>
      </c>
      <c r="D692" s="6" t="str">
        <f t="shared" si="100"/>
        <v>february</v>
      </c>
      <c r="E692" s="6">
        <v>2</v>
      </c>
      <c r="F692" s="6" t="str">
        <f t="shared" si="101"/>
        <v>Night</v>
      </c>
      <c r="G692" s="6" t="b">
        <v>0</v>
      </c>
      <c r="H692" s="6">
        <f t="shared" si="102"/>
        <v>0</v>
      </c>
      <c r="I692" s="6">
        <v>2</v>
      </c>
      <c r="J692" s="6" t="str">
        <f t="shared" si="103"/>
        <v>Tuesday</v>
      </c>
      <c r="K692" s="6">
        <f t="shared" si="104"/>
        <v>0</v>
      </c>
      <c r="L692" s="6">
        <v>2</v>
      </c>
      <c r="M692" s="6" t="str">
        <f t="shared" si="105"/>
        <v>Cloudy</v>
      </c>
      <c r="N692" s="8">
        <v>0.16</v>
      </c>
      <c r="O692" s="8">
        <v>0.2273</v>
      </c>
      <c r="P692" s="8">
        <v>0.69</v>
      </c>
      <c r="Q692" s="8">
        <v>0</v>
      </c>
      <c r="R692" s="6">
        <v>0</v>
      </c>
      <c r="S692" s="6">
        <v>2</v>
      </c>
      <c r="T692" s="6">
        <v>2</v>
      </c>
      <c r="U692" s="8">
        <f t="shared" si="106"/>
        <v>-0.64378142061299781</v>
      </c>
      <c r="V692" s="8" t="str">
        <f t="shared" si="107"/>
        <v>Normal</v>
      </c>
      <c r="W692" s="8">
        <f t="shared" si="108"/>
        <v>-1.0728490967713524</v>
      </c>
      <c r="X692" s="8" t="str">
        <f t="shared" si="109"/>
        <v>Normal</v>
      </c>
    </row>
    <row r="693" spans="1:24" x14ac:dyDescent="0.25">
      <c r="A693" s="6">
        <v>692</v>
      </c>
      <c r="B693" s="7">
        <v>40575</v>
      </c>
      <c r="C693" s="6">
        <v>2</v>
      </c>
      <c r="D693" s="6" t="str">
        <f t="shared" si="100"/>
        <v>february</v>
      </c>
      <c r="E693" s="6">
        <v>3</v>
      </c>
      <c r="F693" s="6" t="str">
        <f t="shared" si="101"/>
        <v>Night</v>
      </c>
      <c r="G693" s="6" t="b">
        <v>0</v>
      </c>
      <c r="H693" s="6">
        <f t="shared" si="102"/>
        <v>0</v>
      </c>
      <c r="I693" s="6">
        <v>2</v>
      </c>
      <c r="J693" s="6" t="str">
        <f t="shared" si="103"/>
        <v>Tuesday</v>
      </c>
      <c r="K693" s="6">
        <f t="shared" si="104"/>
        <v>0</v>
      </c>
      <c r="L693" s="6">
        <v>2</v>
      </c>
      <c r="M693" s="6" t="str">
        <f t="shared" si="105"/>
        <v>Cloudy</v>
      </c>
      <c r="N693" s="8">
        <v>0.16</v>
      </c>
      <c r="O693" s="8">
        <v>0.2273</v>
      </c>
      <c r="P693" s="8">
        <v>0.69</v>
      </c>
      <c r="Q693" s="8">
        <v>0</v>
      </c>
      <c r="R693" s="6">
        <v>0</v>
      </c>
      <c r="S693" s="6">
        <v>2</v>
      </c>
      <c r="T693" s="6">
        <v>2</v>
      </c>
      <c r="U693" s="8">
        <f t="shared" si="106"/>
        <v>-0.64378142061299781</v>
      </c>
      <c r="V693" s="8" t="str">
        <f t="shared" si="107"/>
        <v>Normal</v>
      </c>
      <c r="W693" s="8">
        <f t="shared" si="108"/>
        <v>-1.0728490967713524</v>
      </c>
      <c r="X693" s="8" t="str">
        <f t="shared" si="109"/>
        <v>Normal</v>
      </c>
    </row>
    <row r="694" spans="1:24" x14ac:dyDescent="0.25">
      <c r="A694" s="6">
        <v>693</v>
      </c>
      <c r="B694" s="7">
        <v>40575</v>
      </c>
      <c r="C694" s="6">
        <v>2</v>
      </c>
      <c r="D694" s="6" t="str">
        <f t="shared" si="100"/>
        <v>february</v>
      </c>
      <c r="E694" s="6">
        <v>5</v>
      </c>
      <c r="F694" s="6" t="str">
        <f t="shared" si="101"/>
        <v>Early Morning</v>
      </c>
      <c r="G694" s="6" t="b">
        <v>0</v>
      </c>
      <c r="H694" s="6">
        <f t="shared" si="102"/>
        <v>0</v>
      </c>
      <c r="I694" s="6">
        <v>2</v>
      </c>
      <c r="J694" s="6" t="str">
        <f t="shared" si="103"/>
        <v>Tuesday</v>
      </c>
      <c r="K694" s="6">
        <f t="shared" si="104"/>
        <v>0</v>
      </c>
      <c r="L694" s="6">
        <v>3</v>
      </c>
      <c r="M694" s="6" t="str">
        <f t="shared" si="105"/>
        <v>Light rain</v>
      </c>
      <c r="N694" s="8">
        <v>0.14000000000000001</v>
      </c>
      <c r="O694" s="8">
        <v>0.21210000000000001</v>
      </c>
      <c r="P694" s="8">
        <v>0.93</v>
      </c>
      <c r="Q694" s="8">
        <v>0</v>
      </c>
      <c r="R694" s="6">
        <v>0</v>
      </c>
      <c r="S694" s="6">
        <v>3</v>
      </c>
      <c r="T694" s="6">
        <v>3</v>
      </c>
      <c r="U694" s="8">
        <f t="shared" si="106"/>
        <v>-0.64378142061299781</v>
      </c>
      <c r="V694" s="8" t="str">
        <f t="shared" si="107"/>
        <v>Normal</v>
      </c>
      <c r="W694" s="8">
        <f t="shared" si="108"/>
        <v>-1.0519696405937966</v>
      </c>
      <c r="X694" s="8" t="str">
        <f t="shared" si="109"/>
        <v>Normal</v>
      </c>
    </row>
    <row r="695" spans="1:24" x14ac:dyDescent="0.25">
      <c r="A695" s="6">
        <v>694</v>
      </c>
      <c r="B695" s="7">
        <v>40575</v>
      </c>
      <c r="C695" s="6">
        <v>2</v>
      </c>
      <c r="D695" s="6" t="str">
        <f t="shared" si="100"/>
        <v>february</v>
      </c>
      <c r="E695" s="6">
        <v>6</v>
      </c>
      <c r="F695" s="6" t="str">
        <f t="shared" si="101"/>
        <v>Early Morning</v>
      </c>
      <c r="G695" s="6" t="b">
        <v>0</v>
      </c>
      <c r="H695" s="6">
        <f t="shared" si="102"/>
        <v>0</v>
      </c>
      <c r="I695" s="6">
        <v>2</v>
      </c>
      <c r="J695" s="6" t="str">
        <f t="shared" si="103"/>
        <v>Tuesday</v>
      </c>
      <c r="K695" s="6">
        <f t="shared" si="104"/>
        <v>0</v>
      </c>
      <c r="L695" s="6">
        <v>3</v>
      </c>
      <c r="M695" s="6" t="str">
        <f t="shared" si="105"/>
        <v>Light rain</v>
      </c>
      <c r="N695" s="8">
        <v>0.14000000000000001</v>
      </c>
      <c r="O695" s="8">
        <v>0.21210000000000001</v>
      </c>
      <c r="P695" s="8">
        <v>0.93</v>
      </c>
      <c r="Q695" s="8">
        <v>0</v>
      </c>
      <c r="R695" s="6">
        <v>0</v>
      </c>
      <c r="S695" s="6">
        <v>22</v>
      </c>
      <c r="T695" s="6">
        <v>22</v>
      </c>
      <c r="U695" s="8">
        <f t="shared" si="106"/>
        <v>-0.64378142061299781</v>
      </c>
      <c r="V695" s="8" t="str">
        <f t="shared" si="107"/>
        <v>Normal</v>
      </c>
      <c r="W695" s="8">
        <f t="shared" si="108"/>
        <v>-0.65525997322023544</v>
      </c>
      <c r="X695" s="8" t="str">
        <f t="shared" si="109"/>
        <v>Normal</v>
      </c>
    </row>
    <row r="696" spans="1:24" x14ac:dyDescent="0.25">
      <c r="A696" s="6">
        <v>695</v>
      </c>
      <c r="B696" s="7">
        <v>40575</v>
      </c>
      <c r="C696" s="6">
        <v>2</v>
      </c>
      <c r="D696" s="6" t="str">
        <f t="shared" si="100"/>
        <v>february</v>
      </c>
      <c r="E696" s="6">
        <v>7</v>
      </c>
      <c r="F696" s="6" t="str">
        <f t="shared" si="101"/>
        <v>Early Morning</v>
      </c>
      <c r="G696" s="6" t="b">
        <v>0</v>
      </c>
      <c r="H696" s="6">
        <f t="shared" si="102"/>
        <v>0</v>
      </c>
      <c r="I696" s="6">
        <v>2</v>
      </c>
      <c r="J696" s="6" t="str">
        <f t="shared" si="103"/>
        <v>Tuesday</v>
      </c>
      <c r="K696" s="6">
        <f t="shared" si="104"/>
        <v>0</v>
      </c>
      <c r="L696" s="6">
        <v>3</v>
      </c>
      <c r="M696" s="6" t="str">
        <f t="shared" si="105"/>
        <v>Light rain</v>
      </c>
      <c r="N696" s="8">
        <v>0.16</v>
      </c>
      <c r="O696" s="8">
        <v>0.2273</v>
      </c>
      <c r="P696" s="8">
        <v>0.93</v>
      </c>
      <c r="Q696" s="8">
        <v>0</v>
      </c>
      <c r="R696" s="6">
        <v>0</v>
      </c>
      <c r="S696" s="6">
        <v>52</v>
      </c>
      <c r="T696" s="6">
        <v>52</v>
      </c>
      <c r="U696" s="8">
        <f t="shared" si="106"/>
        <v>-0.64378142061299781</v>
      </c>
      <c r="V696" s="8" t="str">
        <f t="shared" si="107"/>
        <v>Normal</v>
      </c>
      <c r="W696" s="8">
        <f t="shared" si="108"/>
        <v>-2.8876287893559803E-2</v>
      </c>
      <c r="X696" s="8" t="str">
        <f t="shared" si="109"/>
        <v>Normal</v>
      </c>
    </row>
    <row r="697" spans="1:24" x14ac:dyDescent="0.25">
      <c r="A697" s="6">
        <v>696</v>
      </c>
      <c r="B697" s="7">
        <v>40575</v>
      </c>
      <c r="C697" s="6">
        <v>2</v>
      </c>
      <c r="D697" s="6" t="str">
        <f t="shared" si="100"/>
        <v>february</v>
      </c>
      <c r="E697" s="6">
        <v>8</v>
      </c>
      <c r="F697" s="6" t="str">
        <f t="shared" si="101"/>
        <v>Morning</v>
      </c>
      <c r="G697" s="6" t="b">
        <v>0</v>
      </c>
      <c r="H697" s="6">
        <f t="shared" si="102"/>
        <v>0</v>
      </c>
      <c r="I697" s="6">
        <v>2</v>
      </c>
      <c r="J697" s="6" t="str">
        <f t="shared" si="103"/>
        <v>Tuesday</v>
      </c>
      <c r="K697" s="6">
        <f t="shared" si="104"/>
        <v>0</v>
      </c>
      <c r="L697" s="6">
        <v>3</v>
      </c>
      <c r="M697" s="6" t="str">
        <f t="shared" si="105"/>
        <v>Light rain</v>
      </c>
      <c r="N697" s="8">
        <v>0.16</v>
      </c>
      <c r="O697" s="8">
        <v>0.2273</v>
      </c>
      <c r="P697" s="8">
        <v>0.93</v>
      </c>
      <c r="Q697" s="8">
        <v>0</v>
      </c>
      <c r="R697" s="6">
        <v>3</v>
      </c>
      <c r="S697" s="6">
        <v>132</v>
      </c>
      <c r="T697" s="6">
        <v>135</v>
      </c>
      <c r="U697" s="8">
        <f t="shared" si="106"/>
        <v>-0.25131154419783963</v>
      </c>
      <c r="V697" s="8" t="str">
        <f t="shared" si="107"/>
        <v>Normal</v>
      </c>
      <c r="W697" s="8">
        <f t="shared" si="108"/>
        <v>1.6414802063109084</v>
      </c>
      <c r="X697" s="8" t="str">
        <f t="shared" si="109"/>
        <v>Normal</v>
      </c>
    </row>
    <row r="698" spans="1:24" x14ac:dyDescent="0.25">
      <c r="A698" s="6">
        <v>697</v>
      </c>
      <c r="B698" s="7">
        <v>40575</v>
      </c>
      <c r="C698" s="6">
        <v>2</v>
      </c>
      <c r="D698" s="6" t="str">
        <f t="shared" si="100"/>
        <v>february</v>
      </c>
      <c r="E698" s="6">
        <v>9</v>
      </c>
      <c r="F698" s="6" t="str">
        <f t="shared" si="101"/>
        <v>Morning</v>
      </c>
      <c r="G698" s="6" t="b">
        <v>0</v>
      </c>
      <c r="H698" s="6">
        <f t="shared" si="102"/>
        <v>0</v>
      </c>
      <c r="I698" s="6">
        <v>2</v>
      </c>
      <c r="J698" s="6" t="str">
        <f t="shared" si="103"/>
        <v>Tuesday</v>
      </c>
      <c r="K698" s="6">
        <f t="shared" si="104"/>
        <v>0</v>
      </c>
      <c r="L698" s="6">
        <v>2</v>
      </c>
      <c r="M698" s="6" t="str">
        <f t="shared" si="105"/>
        <v>Cloudy</v>
      </c>
      <c r="N698" s="8">
        <v>0.16</v>
      </c>
      <c r="O698" s="8">
        <v>0.2273</v>
      </c>
      <c r="P698" s="8">
        <v>0.93</v>
      </c>
      <c r="Q698" s="8">
        <v>0</v>
      </c>
      <c r="R698" s="6">
        <v>2</v>
      </c>
      <c r="S698" s="6">
        <v>114</v>
      </c>
      <c r="T698" s="6">
        <v>116</v>
      </c>
      <c r="U698" s="8">
        <f t="shared" si="106"/>
        <v>-0.38213483633622569</v>
      </c>
      <c r="V698" s="8" t="str">
        <f t="shared" si="107"/>
        <v>Normal</v>
      </c>
      <c r="W698" s="8">
        <f t="shared" si="108"/>
        <v>1.2656499951149032</v>
      </c>
      <c r="X698" s="8" t="str">
        <f t="shared" si="109"/>
        <v>Normal</v>
      </c>
    </row>
    <row r="699" spans="1:24" x14ac:dyDescent="0.25">
      <c r="A699" s="6">
        <v>698</v>
      </c>
      <c r="B699" s="7">
        <v>40575</v>
      </c>
      <c r="C699" s="6">
        <v>2</v>
      </c>
      <c r="D699" s="6" t="str">
        <f t="shared" si="100"/>
        <v>february</v>
      </c>
      <c r="E699" s="6">
        <v>10</v>
      </c>
      <c r="F699" s="6" t="str">
        <f t="shared" si="101"/>
        <v>Morning</v>
      </c>
      <c r="G699" s="6" t="b">
        <v>0</v>
      </c>
      <c r="H699" s="6">
        <f t="shared" si="102"/>
        <v>0</v>
      </c>
      <c r="I699" s="6">
        <v>2</v>
      </c>
      <c r="J699" s="6" t="str">
        <f t="shared" si="103"/>
        <v>Tuesday</v>
      </c>
      <c r="K699" s="6">
        <f t="shared" si="104"/>
        <v>0</v>
      </c>
      <c r="L699" s="6">
        <v>2</v>
      </c>
      <c r="M699" s="6" t="str">
        <f t="shared" si="105"/>
        <v>Cloudy</v>
      </c>
      <c r="N699" s="8">
        <v>0.16</v>
      </c>
      <c r="O699" s="8">
        <v>0.2273</v>
      </c>
      <c r="P699" s="8">
        <v>0.93</v>
      </c>
      <c r="Q699" s="8">
        <v>0</v>
      </c>
      <c r="R699" s="6">
        <v>0</v>
      </c>
      <c r="S699" s="6">
        <v>47</v>
      </c>
      <c r="T699" s="6">
        <v>47</v>
      </c>
      <c r="U699" s="8">
        <f t="shared" si="106"/>
        <v>-0.64378142061299781</v>
      </c>
      <c r="V699" s="8" t="str">
        <f t="shared" si="107"/>
        <v>Normal</v>
      </c>
      <c r="W699" s="8">
        <f t="shared" si="108"/>
        <v>-0.13327356878133906</v>
      </c>
      <c r="X699" s="8" t="str">
        <f t="shared" si="109"/>
        <v>Normal</v>
      </c>
    </row>
    <row r="700" spans="1:24" x14ac:dyDescent="0.25">
      <c r="A700" s="6">
        <v>699</v>
      </c>
      <c r="B700" s="7">
        <v>40575</v>
      </c>
      <c r="C700" s="6">
        <v>2</v>
      </c>
      <c r="D700" s="6" t="str">
        <f t="shared" si="100"/>
        <v>february</v>
      </c>
      <c r="E700" s="6">
        <v>11</v>
      </c>
      <c r="F700" s="6" t="str">
        <f t="shared" si="101"/>
        <v>Morning</v>
      </c>
      <c r="G700" s="6" t="b">
        <v>0</v>
      </c>
      <c r="H700" s="6">
        <f t="shared" si="102"/>
        <v>0</v>
      </c>
      <c r="I700" s="6">
        <v>2</v>
      </c>
      <c r="J700" s="6" t="str">
        <f t="shared" si="103"/>
        <v>Tuesday</v>
      </c>
      <c r="K700" s="6">
        <f t="shared" si="104"/>
        <v>0</v>
      </c>
      <c r="L700" s="6">
        <v>2</v>
      </c>
      <c r="M700" s="6" t="str">
        <f t="shared" si="105"/>
        <v>Cloudy</v>
      </c>
      <c r="N700" s="8">
        <v>0.18</v>
      </c>
      <c r="O700" s="8">
        <v>0.2424</v>
      </c>
      <c r="P700" s="8">
        <v>0.86</v>
      </c>
      <c r="Q700" s="8">
        <v>0</v>
      </c>
      <c r="R700" s="6">
        <v>2</v>
      </c>
      <c r="S700" s="6">
        <v>49</v>
      </c>
      <c r="T700" s="6">
        <v>51</v>
      </c>
      <c r="U700" s="8">
        <f t="shared" si="106"/>
        <v>-0.38213483633622569</v>
      </c>
      <c r="V700" s="8" t="str">
        <f t="shared" si="107"/>
        <v>Normal</v>
      </c>
      <c r="W700" s="8">
        <f t="shared" si="108"/>
        <v>-9.1514656426227359E-2</v>
      </c>
      <c r="X700" s="8" t="str">
        <f t="shared" si="109"/>
        <v>Normal</v>
      </c>
    </row>
    <row r="701" spans="1:24" x14ac:dyDescent="0.25">
      <c r="A701" s="6">
        <v>700</v>
      </c>
      <c r="B701" s="7">
        <v>40575</v>
      </c>
      <c r="C701" s="6">
        <v>2</v>
      </c>
      <c r="D701" s="6" t="str">
        <f t="shared" si="100"/>
        <v>february</v>
      </c>
      <c r="E701" s="6">
        <v>12</v>
      </c>
      <c r="F701" s="6" t="str">
        <f t="shared" si="101"/>
        <v>Afternoon</v>
      </c>
      <c r="G701" s="6" t="b">
        <v>0</v>
      </c>
      <c r="H701" s="6">
        <f t="shared" si="102"/>
        <v>0</v>
      </c>
      <c r="I701" s="6">
        <v>2</v>
      </c>
      <c r="J701" s="6" t="str">
        <f t="shared" si="103"/>
        <v>Tuesday</v>
      </c>
      <c r="K701" s="6">
        <f t="shared" si="104"/>
        <v>0</v>
      </c>
      <c r="L701" s="6">
        <v>2</v>
      </c>
      <c r="M701" s="6" t="str">
        <f t="shared" si="105"/>
        <v>Cloudy</v>
      </c>
      <c r="N701" s="8">
        <v>0.2</v>
      </c>
      <c r="O701" s="8">
        <v>0.2576</v>
      </c>
      <c r="P701" s="8">
        <v>0.86</v>
      </c>
      <c r="Q701" s="8">
        <v>0</v>
      </c>
      <c r="R701" s="6">
        <v>2</v>
      </c>
      <c r="S701" s="6">
        <v>53</v>
      </c>
      <c r="T701" s="6">
        <v>55</v>
      </c>
      <c r="U701" s="8">
        <f t="shared" si="106"/>
        <v>-0.38213483633622569</v>
      </c>
      <c r="V701" s="8" t="str">
        <f t="shared" si="107"/>
        <v>Normal</v>
      </c>
      <c r="W701" s="8">
        <f t="shared" si="108"/>
        <v>-7.9968317160039482E-3</v>
      </c>
      <c r="X701" s="8" t="str">
        <f t="shared" si="109"/>
        <v>Normal</v>
      </c>
    </row>
    <row r="702" spans="1:24" x14ac:dyDescent="0.25">
      <c r="A702" s="6">
        <v>701</v>
      </c>
      <c r="B702" s="7">
        <v>40575</v>
      </c>
      <c r="C702" s="6">
        <v>2</v>
      </c>
      <c r="D702" s="6" t="str">
        <f t="shared" si="100"/>
        <v>february</v>
      </c>
      <c r="E702" s="6">
        <v>13</v>
      </c>
      <c r="F702" s="6" t="str">
        <f t="shared" si="101"/>
        <v>Afternoon</v>
      </c>
      <c r="G702" s="6" t="b">
        <v>0</v>
      </c>
      <c r="H702" s="6">
        <f t="shared" si="102"/>
        <v>0</v>
      </c>
      <c r="I702" s="6">
        <v>2</v>
      </c>
      <c r="J702" s="6" t="str">
        <f t="shared" si="103"/>
        <v>Tuesday</v>
      </c>
      <c r="K702" s="6">
        <f t="shared" si="104"/>
        <v>0</v>
      </c>
      <c r="L702" s="6">
        <v>2</v>
      </c>
      <c r="M702" s="6" t="str">
        <f t="shared" si="105"/>
        <v>Cloudy</v>
      </c>
      <c r="N702" s="8">
        <v>0.2</v>
      </c>
      <c r="O702" s="8">
        <v>0.2576</v>
      </c>
      <c r="P702" s="8">
        <v>0.86</v>
      </c>
      <c r="Q702" s="8">
        <v>0</v>
      </c>
      <c r="R702" s="6">
        <v>3</v>
      </c>
      <c r="S702" s="6">
        <v>49</v>
      </c>
      <c r="T702" s="6">
        <v>52</v>
      </c>
      <c r="U702" s="8">
        <f t="shared" si="106"/>
        <v>-0.25131154419783963</v>
      </c>
      <c r="V702" s="8" t="str">
        <f t="shared" si="107"/>
        <v>Normal</v>
      </c>
      <c r="W702" s="8">
        <f t="shared" si="108"/>
        <v>-9.1514656426227359E-2</v>
      </c>
      <c r="X702" s="8" t="str">
        <f t="shared" si="109"/>
        <v>Normal</v>
      </c>
    </row>
    <row r="703" spans="1:24" x14ac:dyDescent="0.25">
      <c r="A703" s="6">
        <v>702</v>
      </c>
      <c r="B703" s="7">
        <v>40575</v>
      </c>
      <c r="C703" s="6">
        <v>2</v>
      </c>
      <c r="D703" s="6" t="str">
        <f t="shared" si="100"/>
        <v>february</v>
      </c>
      <c r="E703" s="6">
        <v>14</v>
      </c>
      <c r="F703" s="6" t="str">
        <f t="shared" si="101"/>
        <v>Afternoon</v>
      </c>
      <c r="G703" s="6" t="b">
        <v>0</v>
      </c>
      <c r="H703" s="6">
        <f t="shared" si="102"/>
        <v>0</v>
      </c>
      <c r="I703" s="6">
        <v>2</v>
      </c>
      <c r="J703" s="6" t="str">
        <f t="shared" si="103"/>
        <v>Tuesday</v>
      </c>
      <c r="K703" s="6">
        <f t="shared" si="104"/>
        <v>0</v>
      </c>
      <c r="L703" s="6">
        <v>2</v>
      </c>
      <c r="M703" s="6" t="str">
        <f t="shared" si="105"/>
        <v>Cloudy</v>
      </c>
      <c r="N703" s="8">
        <v>0.22</v>
      </c>
      <c r="O703" s="8">
        <v>0.2576</v>
      </c>
      <c r="P703" s="8">
        <v>0.8</v>
      </c>
      <c r="Q703" s="8">
        <v>8.9599999999999999E-2</v>
      </c>
      <c r="R703" s="6">
        <v>5</v>
      </c>
      <c r="S703" s="6">
        <v>49</v>
      </c>
      <c r="T703" s="6">
        <v>54</v>
      </c>
      <c r="U703" s="8">
        <f t="shared" si="106"/>
        <v>1.0335040078932463E-2</v>
      </c>
      <c r="V703" s="8" t="str">
        <f t="shared" si="107"/>
        <v>Normal</v>
      </c>
      <c r="W703" s="8">
        <f t="shared" si="108"/>
        <v>-9.1514656426227359E-2</v>
      </c>
      <c r="X703" s="8" t="str">
        <f t="shared" si="109"/>
        <v>Normal</v>
      </c>
    </row>
    <row r="704" spans="1:24" x14ac:dyDescent="0.25">
      <c r="A704" s="6">
        <v>703</v>
      </c>
      <c r="B704" s="7">
        <v>40575</v>
      </c>
      <c r="C704" s="6">
        <v>2</v>
      </c>
      <c r="D704" s="6" t="str">
        <f t="shared" si="100"/>
        <v>february</v>
      </c>
      <c r="E704" s="6">
        <v>15</v>
      </c>
      <c r="F704" s="6" t="str">
        <f t="shared" si="101"/>
        <v>Afternoon</v>
      </c>
      <c r="G704" s="6" t="b">
        <v>0</v>
      </c>
      <c r="H704" s="6">
        <f t="shared" si="102"/>
        <v>0</v>
      </c>
      <c r="I704" s="6">
        <v>2</v>
      </c>
      <c r="J704" s="6" t="str">
        <f t="shared" si="103"/>
        <v>Tuesday</v>
      </c>
      <c r="K704" s="6">
        <f t="shared" si="104"/>
        <v>0</v>
      </c>
      <c r="L704" s="6">
        <v>2</v>
      </c>
      <c r="M704" s="6" t="str">
        <f t="shared" si="105"/>
        <v>Cloudy</v>
      </c>
      <c r="N704" s="8">
        <v>0.24</v>
      </c>
      <c r="O704" s="8">
        <v>0.28789999999999999</v>
      </c>
      <c r="P704" s="8">
        <v>0.75</v>
      </c>
      <c r="Q704" s="8">
        <v>0</v>
      </c>
      <c r="R704" s="6">
        <v>7</v>
      </c>
      <c r="S704" s="6">
        <v>45</v>
      </c>
      <c r="T704" s="6">
        <v>52</v>
      </c>
      <c r="U704" s="8">
        <f t="shared" si="106"/>
        <v>0.27198162435570455</v>
      </c>
      <c r="V704" s="8" t="str">
        <f t="shared" si="107"/>
        <v>Normal</v>
      </c>
      <c r="W704" s="8">
        <f t="shared" si="108"/>
        <v>-0.17503248113645078</v>
      </c>
      <c r="X704" s="8" t="str">
        <f t="shared" si="109"/>
        <v>Normal</v>
      </c>
    </row>
    <row r="705" spans="1:24" x14ac:dyDescent="0.25">
      <c r="A705" s="6">
        <v>704</v>
      </c>
      <c r="B705" s="7">
        <v>40575</v>
      </c>
      <c r="C705" s="6">
        <v>2</v>
      </c>
      <c r="D705" s="6" t="str">
        <f t="shared" si="100"/>
        <v>february</v>
      </c>
      <c r="E705" s="6">
        <v>16</v>
      </c>
      <c r="F705" s="6" t="str">
        <f t="shared" si="101"/>
        <v>Afternoon</v>
      </c>
      <c r="G705" s="6" t="b">
        <v>0</v>
      </c>
      <c r="H705" s="6">
        <f t="shared" si="102"/>
        <v>0</v>
      </c>
      <c r="I705" s="6">
        <v>2</v>
      </c>
      <c r="J705" s="6" t="str">
        <f t="shared" si="103"/>
        <v>Tuesday</v>
      </c>
      <c r="K705" s="6">
        <f t="shared" si="104"/>
        <v>0</v>
      </c>
      <c r="L705" s="6">
        <v>2</v>
      </c>
      <c r="M705" s="6" t="str">
        <f t="shared" si="105"/>
        <v>Cloudy</v>
      </c>
      <c r="N705" s="8">
        <v>0.24</v>
      </c>
      <c r="O705" s="8">
        <v>0.2424</v>
      </c>
      <c r="P705" s="8">
        <v>0.75</v>
      </c>
      <c r="Q705" s="8">
        <v>0.1343</v>
      </c>
      <c r="R705" s="6">
        <v>3</v>
      </c>
      <c r="S705" s="6">
        <v>61</v>
      </c>
      <c r="T705" s="6">
        <v>64</v>
      </c>
      <c r="U705" s="8">
        <f t="shared" si="106"/>
        <v>-0.25131154419783963</v>
      </c>
      <c r="V705" s="8" t="str">
        <f t="shared" si="107"/>
        <v>Normal</v>
      </c>
      <c r="W705" s="8">
        <f t="shared" si="108"/>
        <v>0.15903881770444289</v>
      </c>
      <c r="X705" s="8" t="str">
        <f t="shared" si="109"/>
        <v>Normal</v>
      </c>
    </row>
    <row r="706" spans="1:24" x14ac:dyDescent="0.25">
      <c r="A706" s="6">
        <v>705</v>
      </c>
      <c r="B706" s="7">
        <v>40575</v>
      </c>
      <c r="C706" s="6">
        <v>2</v>
      </c>
      <c r="D706" s="6" t="str">
        <f t="shared" ref="D706:D769" si="110">IF(C706=1,"january",IF(C706=2,"february"))</f>
        <v>february</v>
      </c>
      <c r="E706" s="6">
        <v>17</v>
      </c>
      <c r="F706" s="6" t="str">
        <f t="shared" ref="F706:F769" si="111">IF(AND(E706&gt;=5,E706&lt;8),"Early Morning", IF(AND(E706&gt;=8,E706&lt;12),"Morning", IF(AND(E706&gt;=12,E706&lt;17),"Afternoon", IF(AND(E706&gt;=17,E706&lt;21),"Evening","Night"))))</f>
        <v>Evening</v>
      </c>
      <c r="G706" s="6" t="b">
        <v>0</v>
      </c>
      <c r="H706" s="6">
        <f t="shared" ref="H706:H769" si="112">IF(G706=FALSE,0,IF(G706=TRUE,1))</f>
        <v>0</v>
      </c>
      <c r="I706" s="6">
        <v>2</v>
      </c>
      <c r="J706" s="6" t="str">
        <f t="shared" ref="J706:J769" si="113">TEXT(B706,"dddd")</f>
        <v>Tuesday</v>
      </c>
      <c r="K706" s="6">
        <f t="shared" ref="K706:K769" si="114">IF(OR(J706="Saturday",J706="Sunday"),1,0)</f>
        <v>0</v>
      </c>
      <c r="L706" s="6">
        <v>2</v>
      </c>
      <c r="M706" s="6" t="str">
        <f t="shared" ref="M706:M769" si="115">IF(L706=0,"clear sky",IF(L706=1,"Partly cloudy",IF(L706=2,"Cloudy",IF(L706=3,"Light rain",IF(L706=4,"Heavy rain")))))</f>
        <v>Cloudy</v>
      </c>
      <c r="N706" s="8">
        <v>0.24</v>
      </c>
      <c r="O706" s="8">
        <v>0.28789999999999999</v>
      </c>
      <c r="P706" s="8">
        <v>0.75</v>
      </c>
      <c r="Q706" s="8">
        <v>0</v>
      </c>
      <c r="R706" s="6">
        <v>4</v>
      </c>
      <c r="S706" s="6">
        <v>172</v>
      </c>
      <c r="T706" s="6">
        <v>176</v>
      </c>
      <c r="U706" s="8">
        <f t="shared" ref="U706:U769" si="116">(R706-$AA$7)/$AA$9</f>
        <v>-0.1204882520594536</v>
      </c>
      <c r="V706" s="8" t="str">
        <f t="shared" ref="V706:V769" si="117">IF(ABS(U706)&gt;2,"Peak","Normal")</f>
        <v>Normal</v>
      </c>
      <c r="W706" s="8">
        <f t="shared" ref="W706:W769" si="118">(S706-$AA$11)/$AA$13</f>
        <v>2.4766584534131426</v>
      </c>
      <c r="X706" s="8" t="str">
        <f t="shared" ref="X706:X769" si="119">IF(ABS(W706)&gt;2,"Peak","Normal")</f>
        <v>Peak</v>
      </c>
    </row>
    <row r="707" spans="1:24" x14ac:dyDescent="0.25">
      <c r="A707" s="6">
        <v>706</v>
      </c>
      <c r="B707" s="7">
        <v>40575</v>
      </c>
      <c r="C707" s="6">
        <v>2</v>
      </c>
      <c r="D707" s="6" t="str">
        <f t="shared" si="110"/>
        <v>february</v>
      </c>
      <c r="E707" s="6">
        <v>18</v>
      </c>
      <c r="F707" s="6" t="str">
        <f t="shared" si="111"/>
        <v>Evening</v>
      </c>
      <c r="G707" s="6" t="b">
        <v>0</v>
      </c>
      <c r="H707" s="6">
        <f t="shared" si="112"/>
        <v>0</v>
      </c>
      <c r="I707" s="6">
        <v>2</v>
      </c>
      <c r="J707" s="6" t="str">
        <f t="shared" si="113"/>
        <v>Tuesday</v>
      </c>
      <c r="K707" s="6">
        <f t="shared" si="114"/>
        <v>0</v>
      </c>
      <c r="L707" s="6">
        <v>2</v>
      </c>
      <c r="M707" s="6" t="str">
        <f t="shared" si="115"/>
        <v>Cloudy</v>
      </c>
      <c r="N707" s="8">
        <v>0.24</v>
      </c>
      <c r="O707" s="8">
        <v>0.2576</v>
      </c>
      <c r="P707" s="8">
        <v>0.81</v>
      </c>
      <c r="Q707" s="8">
        <v>0.1045</v>
      </c>
      <c r="R707" s="6">
        <v>3</v>
      </c>
      <c r="S707" s="6">
        <v>165</v>
      </c>
      <c r="T707" s="6">
        <v>168</v>
      </c>
      <c r="U707" s="8">
        <f t="shared" si="116"/>
        <v>-0.25131154419783963</v>
      </c>
      <c r="V707" s="8" t="str">
        <f t="shared" si="117"/>
        <v>Normal</v>
      </c>
      <c r="W707" s="8">
        <f t="shared" si="118"/>
        <v>2.3305022601702516</v>
      </c>
      <c r="X707" s="8" t="str">
        <f t="shared" si="119"/>
        <v>Peak</v>
      </c>
    </row>
    <row r="708" spans="1:24" x14ac:dyDescent="0.25">
      <c r="A708" s="6">
        <v>707</v>
      </c>
      <c r="B708" s="7">
        <v>40575</v>
      </c>
      <c r="C708" s="6">
        <v>2</v>
      </c>
      <c r="D708" s="6" t="str">
        <f t="shared" si="110"/>
        <v>february</v>
      </c>
      <c r="E708" s="6">
        <v>19</v>
      </c>
      <c r="F708" s="6" t="str">
        <f t="shared" si="111"/>
        <v>Evening</v>
      </c>
      <c r="G708" s="6" t="b">
        <v>0</v>
      </c>
      <c r="H708" s="6">
        <f t="shared" si="112"/>
        <v>0</v>
      </c>
      <c r="I708" s="6">
        <v>2</v>
      </c>
      <c r="J708" s="6" t="str">
        <f t="shared" si="113"/>
        <v>Tuesday</v>
      </c>
      <c r="K708" s="6">
        <f t="shared" si="114"/>
        <v>0</v>
      </c>
      <c r="L708" s="6">
        <v>2</v>
      </c>
      <c r="M708" s="6" t="str">
        <f t="shared" si="115"/>
        <v>Cloudy</v>
      </c>
      <c r="N708" s="8">
        <v>0.24</v>
      </c>
      <c r="O708" s="8">
        <v>0.2424</v>
      </c>
      <c r="P708" s="8">
        <v>0.81</v>
      </c>
      <c r="Q708" s="8">
        <v>0.1343</v>
      </c>
      <c r="R708" s="6">
        <v>3</v>
      </c>
      <c r="S708" s="6">
        <v>105</v>
      </c>
      <c r="T708" s="6">
        <v>108</v>
      </c>
      <c r="U708" s="8">
        <f t="shared" si="116"/>
        <v>-0.25131154419783963</v>
      </c>
      <c r="V708" s="8" t="str">
        <f t="shared" si="117"/>
        <v>Normal</v>
      </c>
      <c r="W708" s="8">
        <f t="shared" si="118"/>
        <v>1.0777348895169006</v>
      </c>
      <c r="X708" s="8" t="str">
        <f t="shared" si="119"/>
        <v>Normal</v>
      </c>
    </row>
    <row r="709" spans="1:24" x14ac:dyDescent="0.25">
      <c r="A709" s="6">
        <v>708</v>
      </c>
      <c r="B709" s="7">
        <v>40575</v>
      </c>
      <c r="C709" s="6">
        <v>2</v>
      </c>
      <c r="D709" s="6" t="str">
        <f t="shared" si="110"/>
        <v>february</v>
      </c>
      <c r="E709" s="6">
        <v>20</v>
      </c>
      <c r="F709" s="6" t="str">
        <f t="shared" si="111"/>
        <v>Evening</v>
      </c>
      <c r="G709" s="6" t="b">
        <v>0</v>
      </c>
      <c r="H709" s="6">
        <f t="shared" si="112"/>
        <v>0</v>
      </c>
      <c r="I709" s="6">
        <v>2</v>
      </c>
      <c r="J709" s="6" t="str">
        <f t="shared" si="113"/>
        <v>Tuesday</v>
      </c>
      <c r="K709" s="6">
        <f t="shared" si="114"/>
        <v>0</v>
      </c>
      <c r="L709" s="6">
        <v>2</v>
      </c>
      <c r="M709" s="6" t="str">
        <f t="shared" si="115"/>
        <v>Cloudy</v>
      </c>
      <c r="N709" s="8">
        <v>0.22</v>
      </c>
      <c r="O709" s="8">
        <v>0.2273</v>
      </c>
      <c r="P709" s="8">
        <v>0.87</v>
      </c>
      <c r="Q709" s="8">
        <v>0.1343</v>
      </c>
      <c r="R709" s="6">
        <v>5</v>
      </c>
      <c r="S709" s="6">
        <v>69</v>
      </c>
      <c r="T709" s="6">
        <v>74</v>
      </c>
      <c r="U709" s="8">
        <f t="shared" si="116"/>
        <v>1.0335040078932463E-2</v>
      </c>
      <c r="V709" s="8" t="str">
        <f t="shared" si="117"/>
        <v>Normal</v>
      </c>
      <c r="W709" s="8">
        <f t="shared" si="118"/>
        <v>0.32607446712488969</v>
      </c>
      <c r="X709" s="8" t="str">
        <f t="shared" si="119"/>
        <v>Normal</v>
      </c>
    </row>
    <row r="710" spans="1:24" x14ac:dyDescent="0.25">
      <c r="A710" s="6">
        <v>709</v>
      </c>
      <c r="B710" s="7">
        <v>40575</v>
      </c>
      <c r="C710" s="6">
        <v>2</v>
      </c>
      <c r="D710" s="6" t="str">
        <f t="shared" si="110"/>
        <v>february</v>
      </c>
      <c r="E710" s="6">
        <v>21</v>
      </c>
      <c r="F710" s="6" t="str">
        <f t="shared" si="111"/>
        <v>Night</v>
      </c>
      <c r="G710" s="6" t="b">
        <v>0</v>
      </c>
      <c r="H710" s="6">
        <f t="shared" si="112"/>
        <v>0</v>
      </c>
      <c r="I710" s="6">
        <v>2</v>
      </c>
      <c r="J710" s="6" t="str">
        <f t="shared" si="113"/>
        <v>Tuesday</v>
      </c>
      <c r="K710" s="6">
        <f t="shared" si="114"/>
        <v>0</v>
      </c>
      <c r="L710" s="6">
        <v>2</v>
      </c>
      <c r="M710" s="6" t="str">
        <f t="shared" si="115"/>
        <v>Cloudy</v>
      </c>
      <c r="N710" s="8">
        <v>0.22</v>
      </c>
      <c r="O710" s="8">
        <v>0.2273</v>
      </c>
      <c r="P710" s="8">
        <v>0.87</v>
      </c>
      <c r="Q710" s="8">
        <v>0.1343</v>
      </c>
      <c r="R710" s="6">
        <v>0</v>
      </c>
      <c r="S710" s="6">
        <v>64</v>
      </c>
      <c r="T710" s="6">
        <v>64</v>
      </c>
      <c r="U710" s="8">
        <f t="shared" si="116"/>
        <v>-0.64378142061299781</v>
      </c>
      <c r="V710" s="8" t="str">
        <f t="shared" si="117"/>
        <v>Normal</v>
      </c>
      <c r="W710" s="8">
        <f t="shared" si="118"/>
        <v>0.22167718623711044</v>
      </c>
      <c r="X710" s="8" t="str">
        <f t="shared" si="119"/>
        <v>Normal</v>
      </c>
    </row>
    <row r="711" spans="1:24" x14ac:dyDescent="0.25">
      <c r="A711" s="6">
        <v>710</v>
      </c>
      <c r="B711" s="7">
        <v>40575</v>
      </c>
      <c r="C711" s="6">
        <v>2</v>
      </c>
      <c r="D711" s="6" t="str">
        <f t="shared" si="110"/>
        <v>february</v>
      </c>
      <c r="E711" s="6">
        <v>22</v>
      </c>
      <c r="F711" s="6" t="str">
        <f t="shared" si="111"/>
        <v>Night</v>
      </c>
      <c r="G711" s="6" t="b">
        <v>0</v>
      </c>
      <c r="H711" s="6">
        <f t="shared" si="112"/>
        <v>0</v>
      </c>
      <c r="I711" s="6">
        <v>2</v>
      </c>
      <c r="J711" s="6" t="str">
        <f t="shared" si="113"/>
        <v>Tuesday</v>
      </c>
      <c r="K711" s="6">
        <f t="shared" si="114"/>
        <v>0</v>
      </c>
      <c r="L711" s="6">
        <v>2</v>
      </c>
      <c r="M711" s="6" t="str">
        <f t="shared" si="115"/>
        <v>Cloudy</v>
      </c>
      <c r="N711" s="8">
        <v>0.22</v>
      </c>
      <c r="O711" s="8">
        <v>0.2576</v>
      </c>
      <c r="P711" s="8">
        <v>0.87</v>
      </c>
      <c r="Q711" s="8">
        <v>8.9599999999999999E-2</v>
      </c>
      <c r="R711" s="6">
        <v>2</v>
      </c>
      <c r="S711" s="6">
        <v>34</v>
      </c>
      <c r="T711" s="6">
        <v>36</v>
      </c>
      <c r="U711" s="8">
        <f t="shared" si="116"/>
        <v>-0.38213483633622569</v>
      </c>
      <c r="V711" s="8" t="str">
        <f t="shared" si="117"/>
        <v>Normal</v>
      </c>
      <c r="W711" s="8">
        <f t="shared" si="118"/>
        <v>-0.40470649908956519</v>
      </c>
      <c r="X711" s="8" t="str">
        <f t="shared" si="119"/>
        <v>Normal</v>
      </c>
    </row>
    <row r="712" spans="1:24" x14ac:dyDescent="0.25">
      <c r="A712" s="6">
        <v>711</v>
      </c>
      <c r="B712" s="7">
        <v>40575</v>
      </c>
      <c r="C712" s="6">
        <v>2</v>
      </c>
      <c r="D712" s="6" t="str">
        <f t="shared" si="110"/>
        <v>february</v>
      </c>
      <c r="E712" s="6">
        <v>23</v>
      </c>
      <c r="F712" s="6" t="str">
        <f t="shared" si="111"/>
        <v>Night</v>
      </c>
      <c r="G712" s="6" t="b">
        <v>0</v>
      </c>
      <c r="H712" s="6">
        <f t="shared" si="112"/>
        <v>0</v>
      </c>
      <c r="I712" s="6">
        <v>2</v>
      </c>
      <c r="J712" s="6" t="str">
        <f t="shared" si="113"/>
        <v>Tuesday</v>
      </c>
      <c r="K712" s="6">
        <f t="shared" si="114"/>
        <v>0</v>
      </c>
      <c r="L712" s="6">
        <v>3</v>
      </c>
      <c r="M712" s="6" t="str">
        <f t="shared" si="115"/>
        <v>Light rain</v>
      </c>
      <c r="N712" s="8">
        <v>0.2</v>
      </c>
      <c r="O712" s="8">
        <v>0.19700000000000001</v>
      </c>
      <c r="P712" s="8">
        <v>0.93</v>
      </c>
      <c r="Q712" s="8">
        <v>0.19400000000000001</v>
      </c>
      <c r="R712" s="6">
        <v>1</v>
      </c>
      <c r="S712" s="6">
        <v>15</v>
      </c>
      <c r="T712" s="6">
        <v>16</v>
      </c>
      <c r="U712" s="8">
        <f t="shared" si="116"/>
        <v>-0.51295812847461175</v>
      </c>
      <c r="V712" s="8" t="str">
        <f t="shared" si="117"/>
        <v>Normal</v>
      </c>
      <c r="W712" s="8">
        <f t="shared" si="118"/>
        <v>-0.80141616646312641</v>
      </c>
      <c r="X712" s="8" t="str">
        <f t="shared" si="119"/>
        <v>Normal</v>
      </c>
    </row>
    <row r="713" spans="1:24" x14ac:dyDescent="0.25">
      <c r="A713" s="6">
        <v>712</v>
      </c>
      <c r="B713" s="7">
        <v>40576</v>
      </c>
      <c r="C713" s="6">
        <v>2</v>
      </c>
      <c r="D713" s="6" t="str">
        <f t="shared" si="110"/>
        <v>february</v>
      </c>
      <c r="E713" s="6">
        <v>0</v>
      </c>
      <c r="F713" s="6" t="str">
        <f t="shared" si="111"/>
        <v>Night</v>
      </c>
      <c r="G713" s="6" t="b">
        <v>0</v>
      </c>
      <c r="H713" s="6">
        <f t="shared" si="112"/>
        <v>0</v>
      </c>
      <c r="I713" s="6">
        <v>3</v>
      </c>
      <c r="J713" s="6" t="str">
        <f t="shared" si="113"/>
        <v>Wednesday</v>
      </c>
      <c r="K713" s="6">
        <f t="shared" si="114"/>
        <v>0</v>
      </c>
      <c r="L713" s="6">
        <v>3</v>
      </c>
      <c r="M713" s="6" t="str">
        <f t="shared" si="115"/>
        <v>Light rain</v>
      </c>
      <c r="N713" s="8">
        <v>0.22</v>
      </c>
      <c r="O713" s="8">
        <v>0.2424</v>
      </c>
      <c r="P713" s="8">
        <v>0.93</v>
      </c>
      <c r="Q713" s="8">
        <v>0.1045</v>
      </c>
      <c r="R713" s="6">
        <v>0</v>
      </c>
      <c r="S713" s="6">
        <v>2</v>
      </c>
      <c r="T713" s="6">
        <v>2</v>
      </c>
      <c r="U713" s="8">
        <f t="shared" si="116"/>
        <v>-0.64378142061299781</v>
      </c>
      <c r="V713" s="8" t="str">
        <f t="shared" si="117"/>
        <v>Normal</v>
      </c>
      <c r="W713" s="8">
        <f t="shared" si="118"/>
        <v>-1.0728490967713524</v>
      </c>
      <c r="X713" s="8" t="str">
        <f t="shared" si="119"/>
        <v>Normal</v>
      </c>
    </row>
    <row r="714" spans="1:24" x14ac:dyDescent="0.25">
      <c r="A714" s="6">
        <v>713</v>
      </c>
      <c r="B714" s="7">
        <v>40576</v>
      </c>
      <c r="C714" s="6">
        <v>2</v>
      </c>
      <c r="D714" s="6" t="str">
        <f t="shared" si="110"/>
        <v>february</v>
      </c>
      <c r="E714" s="6">
        <v>1</v>
      </c>
      <c r="F714" s="6" t="str">
        <f t="shared" si="111"/>
        <v>Night</v>
      </c>
      <c r="G714" s="6" t="b">
        <v>0</v>
      </c>
      <c r="H714" s="6">
        <f t="shared" si="112"/>
        <v>0</v>
      </c>
      <c r="I714" s="6">
        <v>3</v>
      </c>
      <c r="J714" s="6" t="str">
        <f t="shared" si="113"/>
        <v>Wednesday</v>
      </c>
      <c r="K714" s="6">
        <f t="shared" si="114"/>
        <v>0</v>
      </c>
      <c r="L714" s="6">
        <v>3</v>
      </c>
      <c r="M714" s="6" t="str">
        <f t="shared" si="115"/>
        <v>Light rain</v>
      </c>
      <c r="N714" s="8">
        <v>0.22</v>
      </c>
      <c r="O714" s="8">
        <v>0.2273</v>
      </c>
      <c r="P714" s="8">
        <v>0.93</v>
      </c>
      <c r="Q714" s="8">
        <v>0.19400000000000001</v>
      </c>
      <c r="R714" s="6">
        <v>0</v>
      </c>
      <c r="S714" s="6">
        <v>3</v>
      </c>
      <c r="T714" s="6">
        <v>3</v>
      </c>
      <c r="U714" s="8">
        <f t="shared" si="116"/>
        <v>-0.64378142061299781</v>
      </c>
      <c r="V714" s="8" t="str">
        <f t="shared" si="117"/>
        <v>Normal</v>
      </c>
      <c r="W714" s="8">
        <f t="shared" si="118"/>
        <v>-1.0519696405937966</v>
      </c>
      <c r="X714" s="8" t="str">
        <f t="shared" si="119"/>
        <v>Normal</v>
      </c>
    </row>
    <row r="715" spans="1:24" x14ac:dyDescent="0.25">
      <c r="A715" s="6">
        <v>714</v>
      </c>
      <c r="B715" s="7">
        <v>40576</v>
      </c>
      <c r="C715" s="6">
        <v>2</v>
      </c>
      <c r="D715" s="6" t="str">
        <f t="shared" si="110"/>
        <v>february</v>
      </c>
      <c r="E715" s="6">
        <v>2</v>
      </c>
      <c r="F715" s="6" t="str">
        <f t="shared" si="111"/>
        <v>Night</v>
      </c>
      <c r="G715" s="6" t="b">
        <v>0</v>
      </c>
      <c r="H715" s="6">
        <f t="shared" si="112"/>
        <v>0</v>
      </c>
      <c r="I715" s="6">
        <v>3</v>
      </c>
      <c r="J715" s="6" t="str">
        <f t="shared" si="113"/>
        <v>Wednesday</v>
      </c>
      <c r="K715" s="6">
        <f t="shared" si="114"/>
        <v>0</v>
      </c>
      <c r="L715" s="6">
        <v>3</v>
      </c>
      <c r="M715" s="6" t="str">
        <f t="shared" si="115"/>
        <v>Light rain</v>
      </c>
      <c r="N715" s="8">
        <v>0.22</v>
      </c>
      <c r="O715" s="8">
        <v>0.2273</v>
      </c>
      <c r="P715" s="8">
        <v>0.93</v>
      </c>
      <c r="Q715" s="8">
        <v>0.1343</v>
      </c>
      <c r="R715" s="6">
        <v>4</v>
      </c>
      <c r="S715" s="6">
        <v>0</v>
      </c>
      <c r="T715" s="6">
        <v>4</v>
      </c>
      <c r="U715" s="8">
        <f t="shared" si="116"/>
        <v>-0.1204882520594536</v>
      </c>
      <c r="V715" s="8" t="str">
        <f t="shared" si="117"/>
        <v>Normal</v>
      </c>
      <c r="W715" s="8">
        <f t="shared" si="118"/>
        <v>-1.1146080091264643</v>
      </c>
      <c r="X715" s="8" t="str">
        <f t="shared" si="119"/>
        <v>Normal</v>
      </c>
    </row>
    <row r="716" spans="1:24" x14ac:dyDescent="0.25">
      <c r="A716" s="6">
        <v>715</v>
      </c>
      <c r="B716" s="7">
        <v>40576</v>
      </c>
      <c r="C716" s="6">
        <v>2</v>
      </c>
      <c r="D716" s="6" t="str">
        <f t="shared" si="110"/>
        <v>february</v>
      </c>
      <c r="E716" s="6">
        <v>3</v>
      </c>
      <c r="F716" s="6" t="str">
        <f t="shared" si="111"/>
        <v>Night</v>
      </c>
      <c r="G716" s="6" t="b">
        <v>0</v>
      </c>
      <c r="H716" s="6">
        <f t="shared" si="112"/>
        <v>0</v>
      </c>
      <c r="I716" s="6">
        <v>3</v>
      </c>
      <c r="J716" s="6" t="str">
        <f t="shared" si="113"/>
        <v>Wednesday</v>
      </c>
      <c r="K716" s="6">
        <f t="shared" si="114"/>
        <v>0</v>
      </c>
      <c r="L716" s="6">
        <v>3</v>
      </c>
      <c r="M716" s="6" t="str">
        <f t="shared" si="115"/>
        <v>Light rain</v>
      </c>
      <c r="N716" s="8">
        <v>0.22</v>
      </c>
      <c r="O716" s="8">
        <v>0.2273</v>
      </c>
      <c r="P716" s="8">
        <v>0.93</v>
      </c>
      <c r="Q716" s="8">
        <v>0.1343</v>
      </c>
      <c r="R716" s="6">
        <v>0</v>
      </c>
      <c r="S716" s="6">
        <v>1</v>
      </c>
      <c r="T716" s="6">
        <v>1</v>
      </c>
      <c r="U716" s="8">
        <f t="shared" si="116"/>
        <v>-0.64378142061299781</v>
      </c>
      <c r="V716" s="8" t="str">
        <f t="shared" si="117"/>
        <v>Normal</v>
      </c>
      <c r="W716" s="8">
        <f t="shared" si="118"/>
        <v>-1.0937285529489083</v>
      </c>
      <c r="X716" s="8" t="str">
        <f t="shared" si="119"/>
        <v>Normal</v>
      </c>
    </row>
    <row r="717" spans="1:24" x14ac:dyDescent="0.25">
      <c r="A717" s="6">
        <v>716</v>
      </c>
      <c r="B717" s="7">
        <v>40576</v>
      </c>
      <c r="C717" s="6">
        <v>2</v>
      </c>
      <c r="D717" s="6" t="str">
        <f t="shared" si="110"/>
        <v>february</v>
      </c>
      <c r="E717" s="6">
        <v>4</v>
      </c>
      <c r="F717" s="6" t="str">
        <f t="shared" si="111"/>
        <v>Night</v>
      </c>
      <c r="G717" s="6" t="b">
        <v>0</v>
      </c>
      <c r="H717" s="6">
        <f t="shared" si="112"/>
        <v>0</v>
      </c>
      <c r="I717" s="6">
        <v>3</v>
      </c>
      <c r="J717" s="6" t="str">
        <f t="shared" si="113"/>
        <v>Wednesday</v>
      </c>
      <c r="K717" s="6">
        <f t="shared" si="114"/>
        <v>0</v>
      </c>
      <c r="L717" s="6">
        <v>3</v>
      </c>
      <c r="M717" s="6" t="str">
        <f t="shared" si="115"/>
        <v>Light rain</v>
      </c>
      <c r="N717" s="8">
        <v>0.22</v>
      </c>
      <c r="O717" s="8">
        <v>0.21210000000000001</v>
      </c>
      <c r="P717" s="8">
        <v>0.93</v>
      </c>
      <c r="Q717" s="8">
        <v>0.28360000000000002</v>
      </c>
      <c r="R717" s="6">
        <v>0</v>
      </c>
      <c r="S717" s="6">
        <v>1</v>
      </c>
      <c r="T717" s="6">
        <v>1</v>
      </c>
      <c r="U717" s="8">
        <f t="shared" si="116"/>
        <v>-0.64378142061299781</v>
      </c>
      <c r="V717" s="8" t="str">
        <f t="shared" si="117"/>
        <v>Normal</v>
      </c>
      <c r="W717" s="8">
        <f t="shared" si="118"/>
        <v>-1.0937285529489083</v>
      </c>
      <c r="X717" s="8" t="str">
        <f t="shared" si="119"/>
        <v>Normal</v>
      </c>
    </row>
    <row r="718" spans="1:24" x14ac:dyDescent="0.25">
      <c r="A718" s="6">
        <v>717</v>
      </c>
      <c r="B718" s="7">
        <v>40576</v>
      </c>
      <c r="C718" s="6">
        <v>2</v>
      </c>
      <c r="D718" s="6" t="str">
        <f t="shared" si="110"/>
        <v>february</v>
      </c>
      <c r="E718" s="6">
        <v>5</v>
      </c>
      <c r="F718" s="6" t="str">
        <f t="shared" si="111"/>
        <v>Early Morning</v>
      </c>
      <c r="G718" s="6" t="b">
        <v>0</v>
      </c>
      <c r="H718" s="6">
        <f t="shared" si="112"/>
        <v>0</v>
      </c>
      <c r="I718" s="6">
        <v>3</v>
      </c>
      <c r="J718" s="6" t="str">
        <f t="shared" si="113"/>
        <v>Wednesday</v>
      </c>
      <c r="K718" s="6">
        <f t="shared" si="114"/>
        <v>0</v>
      </c>
      <c r="L718" s="6">
        <v>3</v>
      </c>
      <c r="M718" s="6" t="str">
        <f t="shared" si="115"/>
        <v>Light rain</v>
      </c>
      <c r="N718" s="8">
        <v>0.22</v>
      </c>
      <c r="O718" s="8">
        <v>0.2424</v>
      </c>
      <c r="P718" s="8">
        <v>0.93</v>
      </c>
      <c r="Q718" s="8">
        <v>0.1045</v>
      </c>
      <c r="R718" s="6">
        <v>0</v>
      </c>
      <c r="S718" s="6">
        <v>3</v>
      </c>
      <c r="T718" s="6">
        <v>3</v>
      </c>
      <c r="U718" s="8">
        <f t="shared" si="116"/>
        <v>-0.64378142061299781</v>
      </c>
      <c r="V718" s="8" t="str">
        <f t="shared" si="117"/>
        <v>Normal</v>
      </c>
      <c r="W718" s="8">
        <f t="shared" si="118"/>
        <v>-1.0519696405937966</v>
      </c>
      <c r="X718" s="8" t="str">
        <f t="shared" si="119"/>
        <v>Normal</v>
      </c>
    </row>
    <row r="719" spans="1:24" x14ac:dyDescent="0.25">
      <c r="A719" s="6">
        <v>718</v>
      </c>
      <c r="B719" s="7">
        <v>40576</v>
      </c>
      <c r="C719" s="6">
        <v>2</v>
      </c>
      <c r="D719" s="6" t="str">
        <f t="shared" si="110"/>
        <v>february</v>
      </c>
      <c r="E719" s="6">
        <v>6</v>
      </c>
      <c r="F719" s="6" t="str">
        <f t="shared" si="111"/>
        <v>Early Morning</v>
      </c>
      <c r="G719" s="6" t="b">
        <v>0</v>
      </c>
      <c r="H719" s="6">
        <f t="shared" si="112"/>
        <v>0</v>
      </c>
      <c r="I719" s="6">
        <v>3</v>
      </c>
      <c r="J719" s="6" t="str">
        <f t="shared" si="113"/>
        <v>Wednesday</v>
      </c>
      <c r="K719" s="6">
        <f t="shared" si="114"/>
        <v>0</v>
      </c>
      <c r="L719" s="6">
        <v>3</v>
      </c>
      <c r="M719" s="6" t="str">
        <f t="shared" si="115"/>
        <v>Light rain</v>
      </c>
      <c r="N719" s="8">
        <v>0.22</v>
      </c>
      <c r="O719" s="8">
        <v>0.2424</v>
      </c>
      <c r="P719" s="8">
        <v>0.93</v>
      </c>
      <c r="Q719" s="8">
        <v>0.1045</v>
      </c>
      <c r="R719" s="6">
        <v>1</v>
      </c>
      <c r="S719" s="6">
        <v>17</v>
      </c>
      <c r="T719" s="6">
        <v>18</v>
      </c>
      <c r="U719" s="8">
        <f t="shared" si="116"/>
        <v>-0.51295812847461175</v>
      </c>
      <c r="V719" s="8" t="str">
        <f t="shared" si="117"/>
        <v>Normal</v>
      </c>
      <c r="W719" s="8">
        <f t="shared" si="118"/>
        <v>-0.75965725410801466</v>
      </c>
      <c r="X719" s="8" t="str">
        <f t="shared" si="119"/>
        <v>Normal</v>
      </c>
    </row>
    <row r="720" spans="1:24" x14ac:dyDescent="0.25">
      <c r="A720" s="6">
        <v>719</v>
      </c>
      <c r="B720" s="7">
        <v>40576</v>
      </c>
      <c r="C720" s="6">
        <v>2</v>
      </c>
      <c r="D720" s="6" t="str">
        <f t="shared" si="110"/>
        <v>february</v>
      </c>
      <c r="E720" s="6">
        <v>7</v>
      </c>
      <c r="F720" s="6" t="str">
        <f t="shared" si="111"/>
        <v>Early Morning</v>
      </c>
      <c r="G720" s="6" t="b">
        <v>0</v>
      </c>
      <c r="H720" s="6">
        <f t="shared" si="112"/>
        <v>0</v>
      </c>
      <c r="I720" s="6">
        <v>3</v>
      </c>
      <c r="J720" s="6" t="str">
        <f t="shared" si="113"/>
        <v>Wednesday</v>
      </c>
      <c r="K720" s="6">
        <f t="shared" si="114"/>
        <v>0</v>
      </c>
      <c r="L720" s="6">
        <v>3</v>
      </c>
      <c r="M720" s="6" t="str">
        <f t="shared" si="115"/>
        <v>Light rain</v>
      </c>
      <c r="N720" s="8">
        <v>0.22</v>
      </c>
      <c r="O720" s="8">
        <v>0.21210000000000001</v>
      </c>
      <c r="P720" s="8">
        <v>0.93</v>
      </c>
      <c r="Q720" s="8">
        <v>0.22389999999999999</v>
      </c>
      <c r="R720" s="6">
        <v>1</v>
      </c>
      <c r="S720" s="6">
        <v>48</v>
      </c>
      <c r="T720" s="6">
        <v>49</v>
      </c>
      <c r="U720" s="8">
        <f t="shared" si="116"/>
        <v>-0.51295812847461175</v>
      </c>
      <c r="V720" s="8" t="str">
        <f t="shared" si="117"/>
        <v>Normal</v>
      </c>
      <c r="W720" s="8">
        <f t="shared" si="118"/>
        <v>-0.11239411260378322</v>
      </c>
      <c r="X720" s="8" t="str">
        <f t="shared" si="119"/>
        <v>Normal</v>
      </c>
    </row>
    <row r="721" spans="1:24" x14ac:dyDescent="0.25">
      <c r="A721" s="6">
        <v>720</v>
      </c>
      <c r="B721" s="7">
        <v>40576</v>
      </c>
      <c r="C721" s="6">
        <v>2</v>
      </c>
      <c r="D721" s="6" t="str">
        <f t="shared" si="110"/>
        <v>february</v>
      </c>
      <c r="E721" s="6">
        <v>8</v>
      </c>
      <c r="F721" s="6" t="str">
        <f t="shared" si="111"/>
        <v>Morning</v>
      </c>
      <c r="G721" s="6" t="b">
        <v>0</v>
      </c>
      <c r="H721" s="6">
        <f t="shared" si="112"/>
        <v>0</v>
      </c>
      <c r="I721" s="6">
        <v>3</v>
      </c>
      <c r="J721" s="6" t="str">
        <f t="shared" si="113"/>
        <v>Wednesday</v>
      </c>
      <c r="K721" s="6">
        <f t="shared" si="114"/>
        <v>0</v>
      </c>
      <c r="L721" s="6">
        <v>3</v>
      </c>
      <c r="M721" s="6" t="str">
        <f t="shared" si="115"/>
        <v>Light rain</v>
      </c>
      <c r="N721" s="8">
        <v>0.22</v>
      </c>
      <c r="O721" s="8">
        <v>0.21210000000000001</v>
      </c>
      <c r="P721" s="8">
        <v>0.93</v>
      </c>
      <c r="Q721" s="8">
        <v>0.22389999999999999</v>
      </c>
      <c r="R721" s="6">
        <v>1</v>
      </c>
      <c r="S721" s="6">
        <v>154</v>
      </c>
      <c r="T721" s="6">
        <v>155</v>
      </c>
      <c r="U721" s="8">
        <f t="shared" si="116"/>
        <v>-0.51295812847461175</v>
      </c>
      <c r="V721" s="8" t="str">
        <f t="shared" si="117"/>
        <v>Normal</v>
      </c>
      <c r="W721" s="8">
        <f t="shared" si="118"/>
        <v>2.1008282422171369</v>
      </c>
      <c r="X721" s="8" t="str">
        <f t="shared" si="119"/>
        <v>Peak</v>
      </c>
    </row>
    <row r="722" spans="1:24" x14ac:dyDescent="0.25">
      <c r="A722" s="6">
        <v>721</v>
      </c>
      <c r="B722" s="7">
        <v>40576</v>
      </c>
      <c r="C722" s="6">
        <v>2</v>
      </c>
      <c r="D722" s="6" t="str">
        <f t="shared" si="110"/>
        <v>february</v>
      </c>
      <c r="E722" s="6">
        <v>9</v>
      </c>
      <c r="F722" s="6" t="str">
        <f t="shared" si="111"/>
        <v>Morning</v>
      </c>
      <c r="G722" s="6" t="b">
        <v>0</v>
      </c>
      <c r="H722" s="6">
        <f t="shared" si="112"/>
        <v>0</v>
      </c>
      <c r="I722" s="6">
        <v>3</v>
      </c>
      <c r="J722" s="6" t="str">
        <f t="shared" si="113"/>
        <v>Wednesday</v>
      </c>
      <c r="K722" s="6">
        <f t="shared" si="114"/>
        <v>0</v>
      </c>
      <c r="L722" s="6">
        <v>2</v>
      </c>
      <c r="M722" s="6" t="str">
        <f t="shared" si="115"/>
        <v>Cloudy</v>
      </c>
      <c r="N722" s="8">
        <v>0.24</v>
      </c>
      <c r="O722" s="8">
        <v>0.2576</v>
      </c>
      <c r="P722" s="8">
        <v>0.93</v>
      </c>
      <c r="Q722" s="8">
        <v>8.9599999999999999E-2</v>
      </c>
      <c r="R722" s="6">
        <v>4</v>
      </c>
      <c r="S722" s="6">
        <v>119</v>
      </c>
      <c r="T722" s="6">
        <v>123</v>
      </c>
      <c r="U722" s="8">
        <f t="shared" si="116"/>
        <v>-0.1204882520594536</v>
      </c>
      <c r="V722" s="8" t="str">
        <f t="shared" si="117"/>
        <v>Normal</v>
      </c>
      <c r="W722" s="8">
        <f t="shared" si="118"/>
        <v>1.3700472760026823</v>
      </c>
      <c r="X722" s="8" t="str">
        <f t="shared" si="119"/>
        <v>Normal</v>
      </c>
    </row>
    <row r="723" spans="1:24" x14ac:dyDescent="0.25">
      <c r="A723" s="6">
        <v>722</v>
      </c>
      <c r="B723" s="7">
        <v>40576</v>
      </c>
      <c r="C723" s="6">
        <v>2</v>
      </c>
      <c r="D723" s="6" t="str">
        <f t="shared" si="110"/>
        <v>february</v>
      </c>
      <c r="E723" s="6">
        <v>10</v>
      </c>
      <c r="F723" s="6" t="str">
        <f t="shared" si="111"/>
        <v>Morning</v>
      </c>
      <c r="G723" s="6" t="b">
        <v>0</v>
      </c>
      <c r="H723" s="6">
        <f t="shared" si="112"/>
        <v>0</v>
      </c>
      <c r="I723" s="6">
        <v>3</v>
      </c>
      <c r="J723" s="6" t="str">
        <f t="shared" si="113"/>
        <v>Wednesday</v>
      </c>
      <c r="K723" s="6">
        <f t="shared" si="114"/>
        <v>0</v>
      </c>
      <c r="L723" s="6">
        <v>2</v>
      </c>
      <c r="M723" s="6" t="str">
        <f t="shared" si="115"/>
        <v>Cloudy</v>
      </c>
      <c r="N723" s="8">
        <v>0.22</v>
      </c>
      <c r="O723" s="8">
        <v>0.2727</v>
      </c>
      <c r="P723" s="8">
        <v>1</v>
      </c>
      <c r="Q723" s="8">
        <v>0</v>
      </c>
      <c r="R723" s="6">
        <v>2</v>
      </c>
      <c r="S723" s="6">
        <v>59</v>
      </c>
      <c r="T723" s="6">
        <v>61</v>
      </c>
      <c r="U723" s="8">
        <f t="shared" si="116"/>
        <v>-0.38213483633622569</v>
      </c>
      <c r="V723" s="8" t="str">
        <f t="shared" si="117"/>
        <v>Normal</v>
      </c>
      <c r="W723" s="8">
        <f t="shared" si="118"/>
        <v>0.11727990534933118</v>
      </c>
      <c r="X723" s="8" t="str">
        <f t="shared" si="119"/>
        <v>Normal</v>
      </c>
    </row>
    <row r="724" spans="1:24" x14ac:dyDescent="0.25">
      <c r="A724" s="6">
        <v>723</v>
      </c>
      <c r="B724" s="7">
        <v>40576</v>
      </c>
      <c r="C724" s="6">
        <v>2</v>
      </c>
      <c r="D724" s="6" t="str">
        <f t="shared" si="110"/>
        <v>february</v>
      </c>
      <c r="E724" s="6">
        <v>11</v>
      </c>
      <c r="F724" s="6" t="str">
        <f t="shared" si="111"/>
        <v>Morning</v>
      </c>
      <c r="G724" s="6" t="b">
        <v>0</v>
      </c>
      <c r="H724" s="6">
        <f t="shared" si="112"/>
        <v>0</v>
      </c>
      <c r="I724" s="6">
        <v>3</v>
      </c>
      <c r="J724" s="6" t="str">
        <f t="shared" si="113"/>
        <v>Wednesday</v>
      </c>
      <c r="K724" s="6">
        <f t="shared" si="114"/>
        <v>0</v>
      </c>
      <c r="L724" s="6">
        <v>2</v>
      </c>
      <c r="M724" s="6" t="str">
        <f t="shared" si="115"/>
        <v>Cloudy</v>
      </c>
      <c r="N724" s="8">
        <v>0.24</v>
      </c>
      <c r="O724" s="8">
        <v>0.2273</v>
      </c>
      <c r="P724" s="8">
        <v>0.93</v>
      </c>
      <c r="Q724" s="8">
        <v>0.19400000000000001</v>
      </c>
      <c r="R724" s="6">
        <v>5</v>
      </c>
      <c r="S724" s="6">
        <v>47</v>
      </c>
      <c r="T724" s="6">
        <v>52</v>
      </c>
      <c r="U724" s="8">
        <f t="shared" si="116"/>
        <v>1.0335040078932463E-2</v>
      </c>
      <c r="V724" s="8" t="str">
        <f t="shared" si="117"/>
        <v>Normal</v>
      </c>
      <c r="W724" s="8">
        <f t="shared" si="118"/>
        <v>-0.13327356878133906</v>
      </c>
      <c r="X724" s="8" t="str">
        <f t="shared" si="119"/>
        <v>Normal</v>
      </c>
    </row>
    <row r="725" spans="1:24" x14ac:dyDescent="0.25">
      <c r="A725" s="6">
        <v>724</v>
      </c>
      <c r="B725" s="7">
        <v>40576</v>
      </c>
      <c r="C725" s="6">
        <v>2</v>
      </c>
      <c r="D725" s="6" t="str">
        <f t="shared" si="110"/>
        <v>february</v>
      </c>
      <c r="E725" s="6">
        <v>12</v>
      </c>
      <c r="F725" s="6" t="str">
        <f t="shared" si="111"/>
        <v>Afternoon</v>
      </c>
      <c r="G725" s="6" t="b">
        <v>0</v>
      </c>
      <c r="H725" s="6">
        <f t="shared" si="112"/>
        <v>0</v>
      </c>
      <c r="I725" s="6">
        <v>3</v>
      </c>
      <c r="J725" s="6" t="str">
        <f t="shared" si="113"/>
        <v>Wednesday</v>
      </c>
      <c r="K725" s="6">
        <f t="shared" si="114"/>
        <v>0</v>
      </c>
      <c r="L725" s="6">
        <v>2</v>
      </c>
      <c r="M725" s="6" t="str">
        <f t="shared" si="115"/>
        <v>Cloudy</v>
      </c>
      <c r="N725" s="8">
        <v>0.24</v>
      </c>
      <c r="O725" s="8">
        <v>0.2273</v>
      </c>
      <c r="P725" s="8">
        <v>0.93</v>
      </c>
      <c r="Q725" s="8">
        <v>0.22389999999999999</v>
      </c>
      <c r="R725" s="6">
        <v>3</v>
      </c>
      <c r="S725" s="6">
        <v>61</v>
      </c>
      <c r="T725" s="6">
        <v>64</v>
      </c>
      <c r="U725" s="8">
        <f t="shared" si="116"/>
        <v>-0.25131154419783963</v>
      </c>
      <c r="V725" s="8" t="str">
        <f t="shared" si="117"/>
        <v>Normal</v>
      </c>
      <c r="W725" s="8">
        <f t="shared" si="118"/>
        <v>0.15903881770444289</v>
      </c>
      <c r="X725" s="8" t="str">
        <f t="shared" si="119"/>
        <v>Normal</v>
      </c>
    </row>
    <row r="726" spans="1:24" x14ac:dyDescent="0.25">
      <c r="A726" s="6">
        <v>725</v>
      </c>
      <c r="B726" s="7">
        <v>40576</v>
      </c>
      <c r="C726" s="6">
        <v>2</v>
      </c>
      <c r="D726" s="6" t="str">
        <f t="shared" si="110"/>
        <v>february</v>
      </c>
      <c r="E726" s="6">
        <v>13</v>
      </c>
      <c r="F726" s="6" t="str">
        <f t="shared" si="111"/>
        <v>Afternoon</v>
      </c>
      <c r="G726" s="6" t="b">
        <v>0</v>
      </c>
      <c r="H726" s="6">
        <f t="shared" si="112"/>
        <v>0</v>
      </c>
      <c r="I726" s="6">
        <v>3</v>
      </c>
      <c r="J726" s="6" t="str">
        <f t="shared" si="113"/>
        <v>Wednesday</v>
      </c>
      <c r="K726" s="6">
        <f t="shared" si="114"/>
        <v>0</v>
      </c>
      <c r="L726" s="6">
        <v>1</v>
      </c>
      <c r="M726" s="6" t="str">
        <f t="shared" si="115"/>
        <v>Partly cloudy</v>
      </c>
      <c r="N726" s="8">
        <v>0.34</v>
      </c>
      <c r="O726" s="8">
        <v>0.33329999999999999</v>
      </c>
      <c r="P726" s="8">
        <v>0.93</v>
      </c>
      <c r="Q726" s="8">
        <v>0.16420000000000001</v>
      </c>
      <c r="R726" s="6">
        <v>1</v>
      </c>
      <c r="S726" s="6">
        <v>74</v>
      </c>
      <c r="T726" s="6">
        <v>75</v>
      </c>
      <c r="U726" s="8">
        <f t="shared" si="116"/>
        <v>-0.51295812847461175</v>
      </c>
      <c r="V726" s="8" t="str">
        <f t="shared" si="117"/>
        <v>Normal</v>
      </c>
      <c r="W726" s="8">
        <f t="shared" si="118"/>
        <v>0.43047174801266896</v>
      </c>
      <c r="X726" s="8" t="str">
        <f t="shared" si="119"/>
        <v>Normal</v>
      </c>
    </row>
    <row r="727" spans="1:24" x14ac:dyDescent="0.25">
      <c r="A727" s="6">
        <v>726</v>
      </c>
      <c r="B727" s="7">
        <v>40576</v>
      </c>
      <c r="C727" s="6">
        <v>2</v>
      </c>
      <c r="D727" s="6" t="str">
        <f t="shared" si="110"/>
        <v>february</v>
      </c>
      <c r="E727" s="6">
        <v>14</v>
      </c>
      <c r="F727" s="6" t="str">
        <f t="shared" si="111"/>
        <v>Afternoon</v>
      </c>
      <c r="G727" s="6" t="b">
        <v>0</v>
      </c>
      <c r="H727" s="6">
        <f t="shared" si="112"/>
        <v>0</v>
      </c>
      <c r="I727" s="6">
        <v>3</v>
      </c>
      <c r="J727" s="6" t="str">
        <f t="shared" si="113"/>
        <v>Wednesday</v>
      </c>
      <c r="K727" s="6">
        <f t="shared" si="114"/>
        <v>0</v>
      </c>
      <c r="L727" s="6">
        <v>1</v>
      </c>
      <c r="M727" s="6" t="str">
        <f t="shared" si="115"/>
        <v>Partly cloudy</v>
      </c>
      <c r="N727" s="8">
        <v>0.38</v>
      </c>
      <c r="O727" s="8">
        <v>0.39389999999999997</v>
      </c>
      <c r="P727" s="8">
        <v>0.82</v>
      </c>
      <c r="Q727" s="8">
        <v>0.3881</v>
      </c>
      <c r="R727" s="6">
        <v>2</v>
      </c>
      <c r="S727" s="6">
        <v>61</v>
      </c>
      <c r="T727" s="6">
        <v>63</v>
      </c>
      <c r="U727" s="8">
        <f t="shared" si="116"/>
        <v>-0.38213483633622569</v>
      </c>
      <c r="V727" s="8" t="str">
        <f t="shared" si="117"/>
        <v>Normal</v>
      </c>
      <c r="W727" s="8">
        <f t="shared" si="118"/>
        <v>0.15903881770444289</v>
      </c>
      <c r="X727" s="8" t="str">
        <f t="shared" si="119"/>
        <v>Normal</v>
      </c>
    </row>
    <row r="728" spans="1:24" x14ac:dyDescent="0.25">
      <c r="A728" s="6">
        <v>727</v>
      </c>
      <c r="B728" s="7">
        <v>40576</v>
      </c>
      <c r="C728" s="6">
        <v>2</v>
      </c>
      <c r="D728" s="6" t="str">
        <f t="shared" si="110"/>
        <v>february</v>
      </c>
      <c r="E728" s="6">
        <v>15</v>
      </c>
      <c r="F728" s="6" t="str">
        <f t="shared" si="111"/>
        <v>Afternoon</v>
      </c>
      <c r="G728" s="6" t="b">
        <v>0</v>
      </c>
      <c r="H728" s="6">
        <f t="shared" si="112"/>
        <v>0</v>
      </c>
      <c r="I728" s="6">
        <v>3</v>
      </c>
      <c r="J728" s="6" t="str">
        <f t="shared" si="113"/>
        <v>Wednesday</v>
      </c>
      <c r="K728" s="6">
        <f t="shared" si="114"/>
        <v>0</v>
      </c>
      <c r="L728" s="6">
        <v>1</v>
      </c>
      <c r="M728" s="6" t="str">
        <f t="shared" si="115"/>
        <v>Partly cloudy</v>
      </c>
      <c r="N728" s="8">
        <v>0.38</v>
      </c>
      <c r="O728" s="8">
        <v>0.39389999999999997</v>
      </c>
      <c r="P728" s="8">
        <v>0.76</v>
      </c>
      <c r="Q728" s="8">
        <v>0.32840000000000003</v>
      </c>
      <c r="R728" s="6">
        <v>10</v>
      </c>
      <c r="S728" s="6">
        <v>66</v>
      </c>
      <c r="T728" s="6">
        <v>76</v>
      </c>
      <c r="U728" s="8">
        <f t="shared" si="116"/>
        <v>0.66445150077086279</v>
      </c>
      <c r="V728" s="8" t="str">
        <f t="shared" si="117"/>
        <v>Normal</v>
      </c>
      <c r="W728" s="8">
        <f t="shared" si="118"/>
        <v>0.26343609859222217</v>
      </c>
      <c r="X728" s="8" t="str">
        <f t="shared" si="119"/>
        <v>Normal</v>
      </c>
    </row>
    <row r="729" spans="1:24" x14ac:dyDescent="0.25">
      <c r="A729" s="6">
        <v>728</v>
      </c>
      <c r="B729" s="7">
        <v>40576</v>
      </c>
      <c r="C729" s="6">
        <v>2</v>
      </c>
      <c r="D729" s="6" t="str">
        <f t="shared" si="110"/>
        <v>february</v>
      </c>
      <c r="E729" s="6">
        <v>16</v>
      </c>
      <c r="F729" s="6" t="str">
        <f t="shared" si="111"/>
        <v>Afternoon</v>
      </c>
      <c r="G729" s="6" t="b">
        <v>0</v>
      </c>
      <c r="H729" s="6">
        <f t="shared" si="112"/>
        <v>0</v>
      </c>
      <c r="I729" s="6">
        <v>3</v>
      </c>
      <c r="J729" s="6" t="str">
        <f t="shared" si="113"/>
        <v>Wednesday</v>
      </c>
      <c r="K729" s="6">
        <f t="shared" si="114"/>
        <v>0</v>
      </c>
      <c r="L729" s="6">
        <v>1</v>
      </c>
      <c r="M729" s="6" t="str">
        <f t="shared" si="115"/>
        <v>Partly cloudy</v>
      </c>
      <c r="N729" s="8">
        <v>0.36</v>
      </c>
      <c r="O729" s="8">
        <v>0.33329999999999999</v>
      </c>
      <c r="P729" s="8">
        <v>0.71</v>
      </c>
      <c r="Q729" s="8">
        <v>0.29849999999999999</v>
      </c>
      <c r="R729" s="6">
        <v>8</v>
      </c>
      <c r="S729" s="6">
        <v>95</v>
      </c>
      <c r="T729" s="6">
        <v>103</v>
      </c>
      <c r="U729" s="8">
        <f t="shared" si="116"/>
        <v>0.40280491649409061</v>
      </c>
      <c r="V729" s="8" t="str">
        <f t="shared" si="117"/>
        <v>Normal</v>
      </c>
      <c r="W729" s="8">
        <f t="shared" si="118"/>
        <v>0.86894032774134189</v>
      </c>
      <c r="X729" s="8" t="str">
        <f t="shared" si="119"/>
        <v>Normal</v>
      </c>
    </row>
    <row r="730" spans="1:24" x14ac:dyDescent="0.25">
      <c r="A730" s="6">
        <v>729</v>
      </c>
      <c r="B730" s="7">
        <v>40576</v>
      </c>
      <c r="C730" s="6">
        <v>2</v>
      </c>
      <c r="D730" s="6" t="str">
        <f t="shared" si="110"/>
        <v>february</v>
      </c>
      <c r="E730" s="6">
        <v>17</v>
      </c>
      <c r="F730" s="6" t="str">
        <f t="shared" si="111"/>
        <v>Evening</v>
      </c>
      <c r="G730" s="6" t="b">
        <v>0</v>
      </c>
      <c r="H730" s="6">
        <f t="shared" si="112"/>
        <v>0</v>
      </c>
      <c r="I730" s="6">
        <v>3</v>
      </c>
      <c r="J730" s="6" t="str">
        <f t="shared" si="113"/>
        <v>Wednesday</v>
      </c>
      <c r="K730" s="6">
        <f t="shared" si="114"/>
        <v>0</v>
      </c>
      <c r="L730" s="6">
        <v>1</v>
      </c>
      <c r="M730" s="6" t="str">
        <f t="shared" si="115"/>
        <v>Partly cloudy</v>
      </c>
      <c r="N730" s="8">
        <v>0.36</v>
      </c>
      <c r="O730" s="8">
        <v>0.31819999999999998</v>
      </c>
      <c r="P730" s="8">
        <v>0.53</v>
      </c>
      <c r="Q730" s="8">
        <v>0.52239999999999998</v>
      </c>
      <c r="R730" s="6">
        <v>7</v>
      </c>
      <c r="S730" s="6">
        <v>183</v>
      </c>
      <c r="T730" s="6">
        <v>190</v>
      </c>
      <c r="U730" s="8">
        <f t="shared" si="116"/>
        <v>0.27198162435570455</v>
      </c>
      <c r="V730" s="8" t="str">
        <f t="shared" si="117"/>
        <v>Normal</v>
      </c>
      <c r="W730" s="8">
        <f t="shared" si="118"/>
        <v>2.7063324713662569</v>
      </c>
      <c r="X730" s="8" t="str">
        <f t="shared" si="119"/>
        <v>Peak</v>
      </c>
    </row>
    <row r="731" spans="1:24" x14ac:dyDescent="0.25">
      <c r="A731" s="6">
        <v>730</v>
      </c>
      <c r="B731" s="7">
        <v>40576</v>
      </c>
      <c r="C731" s="6">
        <v>2</v>
      </c>
      <c r="D731" s="6" t="str">
        <f t="shared" si="110"/>
        <v>february</v>
      </c>
      <c r="E731" s="6">
        <v>18</v>
      </c>
      <c r="F731" s="6" t="str">
        <f t="shared" si="111"/>
        <v>Evening</v>
      </c>
      <c r="G731" s="6" t="b">
        <v>0</v>
      </c>
      <c r="H731" s="6">
        <f t="shared" si="112"/>
        <v>0</v>
      </c>
      <c r="I731" s="6">
        <v>3</v>
      </c>
      <c r="J731" s="6" t="str">
        <f t="shared" si="113"/>
        <v>Wednesday</v>
      </c>
      <c r="K731" s="6">
        <f t="shared" si="114"/>
        <v>0</v>
      </c>
      <c r="L731" s="6">
        <v>1</v>
      </c>
      <c r="M731" s="6" t="str">
        <f t="shared" si="115"/>
        <v>Partly cloudy</v>
      </c>
      <c r="N731" s="8">
        <v>0.34</v>
      </c>
      <c r="O731" s="8">
        <v>0.28789999999999999</v>
      </c>
      <c r="P731" s="8">
        <v>0.42</v>
      </c>
      <c r="Q731" s="8">
        <v>0.55220000000000002</v>
      </c>
      <c r="R731" s="6">
        <v>7</v>
      </c>
      <c r="S731" s="6">
        <v>175</v>
      </c>
      <c r="T731" s="6">
        <v>182</v>
      </c>
      <c r="U731" s="8">
        <f t="shared" si="116"/>
        <v>0.27198162435570455</v>
      </c>
      <c r="V731" s="8" t="str">
        <f t="shared" si="117"/>
        <v>Normal</v>
      </c>
      <c r="W731" s="8">
        <f t="shared" si="118"/>
        <v>2.5392968219458103</v>
      </c>
      <c r="X731" s="8" t="str">
        <f t="shared" si="119"/>
        <v>Peak</v>
      </c>
    </row>
    <row r="732" spans="1:24" x14ac:dyDescent="0.25">
      <c r="A732" s="6">
        <v>731</v>
      </c>
      <c r="B732" s="7">
        <v>40576</v>
      </c>
      <c r="C732" s="6">
        <v>2</v>
      </c>
      <c r="D732" s="6" t="str">
        <f t="shared" si="110"/>
        <v>february</v>
      </c>
      <c r="E732" s="6">
        <v>19</v>
      </c>
      <c r="F732" s="6" t="str">
        <f t="shared" si="111"/>
        <v>Evening</v>
      </c>
      <c r="G732" s="6" t="b">
        <v>0</v>
      </c>
      <c r="H732" s="6">
        <f t="shared" si="112"/>
        <v>0</v>
      </c>
      <c r="I732" s="6">
        <v>3</v>
      </c>
      <c r="J732" s="6" t="str">
        <f t="shared" si="113"/>
        <v>Wednesday</v>
      </c>
      <c r="K732" s="6">
        <f t="shared" si="114"/>
        <v>0</v>
      </c>
      <c r="L732" s="6">
        <v>1</v>
      </c>
      <c r="M732" s="6" t="str">
        <f t="shared" si="115"/>
        <v>Partly cloudy</v>
      </c>
      <c r="N732" s="8">
        <v>0.28000000000000003</v>
      </c>
      <c r="O732" s="8">
        <v>0.2424</v>
      </c>
      <c r="P732" s="8">
        <v>0.45</v>
      </c>
      <c r="Q732" s="8">
        <v>0.49249999999999999</v>
      </c>
      <c r="R732" s="6">
        <v>3</v>
      </c>
      <c r="S732" s="6">
        <v>88</v>
      </c>
      <c r="T732" s="6">
        <v>91</v>
      </c>
      <c r="U732" s="8">
        <f t="shared" si="116"/>
        <v>-0.25131154419783963</v>
      </c>
      <c r="V732" s="8" t="str">
        <f t="shared" si="117"/>
        <v>Normal</v>
      </c>
      <c r="W732" s="8">
        <f t="shared" si="118"/>
        <v>0.72278413449845091</v>
      </c>
      <c r="X732" s="8" t="str">
        <f t="shared" si="119"/>
        <v>Normal</v>
      </c>
    </row>
    <row r="733" spans="1:24" x14ac:dyDescent="0.25">
      <c r="A733" s="6">
        <v>732</v>
      </c>
      <c r="B733" s="7">
        <v>40576</v>
      </c>
      <c r="C733" s="6">
        <v>2</v>
      </c>
      <c r="D733" s="6" t="str">
        <f t="shared" si="110"/>
        <v>february</v>
      </c>
      <c r="E733" s="6">
        <v>20</v>
      </c>
      <c r="F733" s="6" t="str">
        <f t="shared" si="111"/>
        <v>Evening</v>
      </c>
      <c r="G733" s="6" t="b">
        <v>0</v>
      </c>
      <c r="H733" s="6">
        <f t="shared" si="112"/>
        <v>0</v>
      </c>
      <c r="I733" s="6">
        <v>3</v>
      </c>
      <c r="J733" s="6" t="str">
        <f t="shared" si="113"/>
        <v>Wednesday</v>
      </c>
      <c r="K733" s="6">
        <f t="shared" si="114"/>
        <v>0</v>
      </c>
      <c r="L733" s="6">
        <v>1</v>
      </c>
      <c r="M733" s="6" t="str">
        <f t="shared" si="115"/>
        <v>Partly cloudy</v>
      </c>
      <c r="N733" s="8">
        <v>0.24</v>
      </c>
      <c r="O733" s="8">
        <v>0.19700000000000001</v>
      </c>
      <c r="P733" s="8">
        <v>0.48</v>
      </c>
      <c r="Q733" s="8">
        <v>0.55220000000000002</v>
      </c>
      <c r="R733" s="6">
        <v>4</v>
      </c>
      <c r="S733" s="6">
        <v>71</v>
      </c>
      <c r="T733" s="6">
        <v>75</v>
      </c>
      <c r="U733" s="8">
        <f t="shared" si="116"/>
        <v>-0.1204882520594536</v>
      </c>
      <c r="V733" s="8" t="str">
        <f t="shared" si="117"/>
        <v>Normal</v>
      </c>
      <c r="W733" s="8">
        <f t="shared" si="118"/>
        <v>0.36783337948000144</v>
      </c>
      <c r="X733" s="8" t="str">
        <f t="shared" si="119"/>
        <v>Normal</v>
      </c>
    </row>
    <row r="734" spans="1:24" x14ac:dyDescent="0.25">
      <c r="A734" s="6">
        <v>733</v>
      </c>
      <c r="B734" s="7">
        <v>40576</v>
      </c>
      <c r="C734" s="6">
        <v>2</v>
      </c>
      <c r="D734" s="6" t="str">
        <f t="shared" si="110"/>
        <v>february</v>
      </c>
      <c r="E734" s="6">
        <v>21</v>
      </c>
      <c r="F734" s="6" t="str">
        <f t="shared" si="111"/>
        <v>Night</v>
      </c>
      <c r="G734" s="6" t="b">
        <v>0</v>
      </c>
      <c r="H734" s="6">
        <f t="shared" si="112"/>
        <v>0</v>
      </c>
      <c r="I734" s="6">
        <v>3</v>
      </c>
      <c r="J734" s="6" t="str">
        <f t="shared" si="113"/>
        <v>Wednesday</v>
      </c>
      <c r="K734" s="6">
        <f t="shared" si="114"/>
        <v>0</v>
      </c>
      <c r="L734" s="6">
        <v>1</v>
      </c>
      <c r="M734" s="6" t="str">
        <f t="shared" si="115"/>
        <v>Partly cloudy</v>
      </c>
      <c r="N734" s="8">
        <v>0.22</v>
      </c>
      <c r="O734" s="8">
        <v>0.19700000000000001</v>
      </c>
      <c r="P734" s="8">
        <v>0.47</v>
      </c>
      <c r="Q734" s="8">
        <v>0.32840000000000003</v>
      </c>
      <c r="R734" s="6">
        <v>1</v>
      </c>
      <c r="S734" s="6">
        <v>62</v>
      </c>
      <c r="T734" s="6">
        <v>63</v>
      </c>
      <c r="U734" s="8">
        <f t="shared" si="116"/>
        <v>-0.51295812847461175</v>
      </c>
      <c r="V734" s="8" t="str">
        <f t="shared" si="117"/>
        <v>Normal</v>
      </c>
      <c r="W734" s="8">
        <f t="shared" si="118"/>
        <v>0.17991827388199874</v>
      </c>
      <c r="X734" s="8" t="str">
        <f t="shared" si="119"/>
        <v>Normal</v>
      </c>
    </row>
    <row r="735" spans="1:24" x14ac:dyDescent="0.25">
      <c r="A735" s="6">
        <v>734</v>
      </c>
      <c r="B735" s="7">
        <v>40576</v>
      </c>
      <c r="C735" s="6">
        <v>2</v>
      </c>
      <c r="D735" s="6" t="str">
        <f t="shared" si="110"/>
        <v>february</v>
      </c>
      <c r="E735" s="6">
        <v>22</v>
      </c>
      <c r="F735" s="6" t="str">
        <f t="shared" si="111"/>
        <v>Night</v>
      </c>
      <c r="G735" s="6" t="b">
        <v>0</v>
      </c>
      <c r="H735" s="6">
        <f t="shared" si="112"/>
        <v>0</v>
      </c>
      <c r="I735" s="6">
        <v>3</v>
      </c>
      <c r="J735" s="6" t="str">
        <f t="shared" si="113"/>
        <v>Wednesday</v>
      </c>
      <c r="K735" s="6">
        <f t="shared" si="114"/>
        <v>0</v>
      </c>
      <c r="L735" s="6">
        <v>1</v>
      </c>
      <c r="M735" s="6" t="str">
        <f t="shared" si="115"/>
        <v>Partly cloudy</v>
      </c>
      <c r="N735" s="8">
        <v>0.22</v>
      </c>
      <c r="O735" s="8">
        <v>0.21210000000000001</v>
      </c>
      <c r="P735" s="8">
        <v>0.44</v>
      </c>
      <c r="Q735" s="8">
        <v>0.25369999999999998</v>
      </c>
      <c r="R735" s="6">
        <v>5</v>
      </c>
      <c r="S735" s="6">
        <v>35</v>
      </c>
      <c r="T735" s="6">
        <v>40</v>
      </c>
      <c r="U735" s="8">
        <f t="shared" si="116"/>
        <v>1.0335040078932463E-2</v>
      </c>
      <c r="V735" s="8" t="str">
        <f t="shared" si="117"/>
        <v>Normal</v>
      </c>
      <c r="W735" s="8">
        <f t="shared" si="118"/>
        <v>-0.38382704291200931</v>
      </c>
      <c r="X735" s="8" t="str">
        <f t="shared" si="119"/>
        <v>Normal</v>
      </c>
    </row>
    <row r="736" spans="1:24" x14ac:dyDescent="0.25">
      <c r="A736" s="6">
        <v>735</v>
      </c>
      <c r="B736" s="7">
        <v>40576</v>
      </c>
      <c r="C736" s="6">
        <v>2</v>
      </c>
      <c r="D736" s="6" t="str">
        <f t="shared" si="110"/>
        <v>february</v>
      </c>
      <c r="E736" s="6">
        <v>23</v>
      </c>
      <c r="F736" s="6" t="str">
        <f t="shared" si="111"/>
        <v>Night</v>
      </c>
      <c r="G736" s="6" t="b">
        <v>0</v>
      </c>
      <c r="H736" s="6">
        <f t="shared" si="112"/>
        <v>0</v>
      </c>
      <c r="I736" s="6">
        <v>3</v>
      </c>
      <c r="J736" s="6" t="str">
        <f t="shared" si="113"/>
        <v>Wednesday</v>
      </c>
      <c r="K736" s="6">
        <f t="shared" si="114"/>
        <v>0</v>
      </c>
      <c r="L736" s="6">
        <v>1</v>
      </c>
      <c r="M736" s="6" t="str">
        <f t="shared" si="115"/>
        <v>Partly cloudy</v>
      </c>
      <c r="N736" s="8">
        <v>0.2</v>
      </c>
      <c r="O736" s="8">
        <v>0.16669999999999999</v>
      </c>
      <c r="P736" s="8">
        <v>0.44</v>
      </c>
      <c r="Q736" s="8">
        <v>0.44779999999999998</v>
      </c>
      <c r="R736" s="6">
        <v>3</v>
      </c>
      <c r="S736" s="6">
        <v>29</v>
      </c>
      <c r="T736" s="6">
        <v>32</v>
      </c>
      <c r="U736" s="8">
        <f t="shared" si="116"/>
        <v>-0.25131154419783963</v>
      </c>
      <c r="V736" s="8" t="str">
        <f t="shared" si="117"/>
        <v>Normal</v>
      </c>
      <c r="W736" s="8">
        <f t="shared" si="118"/>
        <v>-0.50910377997734446</v>
      </c>
      <c r="X736" s="8" t="str">
        <f t="shared" si="119"/>
        <v>Normal</v>
      </c>
    </row>
    <row r="737" spans="1:24" x14ac:dyDescent="0.25">
      <c r="A737" s="6">
        <v>736</v>
      </c>
      <c r="B737" s="7">
        <v>40577</v>
      </c>
      <c r="C737" s="6">
        <v>2</v>
      </c>
      <c r="D737" s="6" t="str">
        <f t="shared" si="110"/>
        <v>february</v>
      </c>
      <c r="E737" s="6">
        <v>0</v>
      </c>
      <c r="F737" s="6" t="str">
        <f t="shared" si="111"/>
        <v>Night</v>
      </c>
      <c r="G737" s="6" t="b">
        <v>0</v>
      </c>
      <c r="H737" s="6">
        <f t="shared" si="112"/>
        <v>0</v>
      </c>
      <c r="I737" s="6">
        <v>4</v>
      </c>
      <c r="J737" s="6" t="str">
        <f t="shared" si="113"/>
        <v>Thursday</v>
      </c>
      <c r="K737" s="6">
        <f t="shared" si="114"/>
        <v>0</v>
      </c>
      <c r="L737" s="6">
        <v>1</v>
      </c>
      <c r="M737" s="6" t="str">
        <f t="shared" si="115"/>
        <v>Partly cloudy</v>
      </c>
      <c r="N737" s="8">
        <v>0.2</v>
      </c>
      <c r="O737" s="8">
        <v>0.16669999999999999</v>
      </c>
      <c r="P737" s="8">
        <v>0.4</v>
      </c>
      <c r="Q737" s="8">
        <v>0.44779999999999998</v>
      </c>
      <c r="R737" s="6">
        <v>1</v>
      </c>
      <c r="S737" s="6">
        <v>11</v>
      </c>
      <c r="T737" s="6">
        <v>12</v>
      </c>
      <c r="U737" s="8">
        <f t="shared" si="116"/>
        <v>-0.51295812847461175</v>
      </c>
      <c r="V737" s="8" t="str">
        <f t="shared" si="117"/>
        <v>Normal</v>
      </c>
      <c r="W737" s="8">
        <f t="shared" si="118"/>
        <v>-0.88493399117334981</v>
      </c>
      <c r="X737" s="8" t="str">
        <f t="shared" si="119"/>
        <v>Normal</v>
      </c>
    </row>
    <row r="738" spans="1:24" x14ac:dyDescent="0.25">
      <c r="A738" s="6">
        <v>737</v>
      </c>
      <c r="B738" s="7">
        <v>40577</v>
      </c>
      <c r="C738" s="6">
        <v>2</v>
      </c>
      <c r="D738" s="6" t="str">
        <f t="shared" si="110"/>
        <v>february</v>
      </c>
      <c r="E738" s="6">
        <v>1</v>
      </c>
      <c r="F738" s="6" t="str">
        <f t="shared" si="111"/>
        <v>Night</v>
      </c>
      <c r="G738" s="6" t="b">
        <v>0</v>
      </c>
      <c r="H738" s="6">
        <f t="shared" si="112"/>
        <v>0</v>
      </c>
      <c r="I738" s="6">
        <v>4</v>
      </c>
      <c r="J738" s="6" t="str">
        <f t="shared" si="113"/>
        <v>Thursday</v>
      </c>
      <c r="K738" s="6">
        <f t="shared" si="114"/>
        <v>0</v>
      </c>
      <c r="L738" s="6">
        <v>1</v>
      </c>
      <c r="M738" s="6" t="str">
        <f t="shared" si="115"/>
        <v>Partly cloudy</v>
      </c>
      <c r="N738" s="8">
        <v>0.2</v>
      </c>
      <c r="O738" s="8">
        <v>0.1515</v>
      </c>
      <c r="P738" s="8">
        <v>0.44</v>
      </c>
      <c r="Q738" s="8">
        <v>0.52239999999999998</v>
      </c>
      <c r="R738" s="6">
        <v>0</v>
      </c>
      <c r="S738" s="6">
        <v>5</v>
      </c>
      <c r="T738" s="6">
        <v>5</v>
      </c>
      <c r="U738" s="8">
        <f t="shared" si="116"/>
        <v>-0.64378142061299781</v>
      </c>
      <c r="V738" s="8" t="str">
        <f t="shared" si="117"/>
        <v>Normal</v>
      </c>
      <c r="W738" s="8">
        <f t="shared" si="118"/>
        <v>-1.010210728238685</v>
      </c>
      <c r="X738" s="8" t="str">
        <f t="shared" si="119"/>
        <v>Normal</v>
      </c>
    </row>
    <row r="739" spans="1:24" x14ac:dyDescent="0.25">
      <c r="A739" s="6">
        <v>738</v>
      </c>
      <c r="B739" s="7">
        <v>40577</v>
      </c>
      <c r="C739" s="6">
        <v>2</v>
      </c>
      <c r="D739" s="6" t="str">
        <f t="shared" si="110"/>
        <v>february</v>
      </c>
      <c r="E739" s="6">
        <v>2</v>
      </c>
      <c r="F739" s="6" t="str">
        <f t="shared" si="111"/>
        <v>Night</v>
      </c>
      <c r="G739" s="6" t="b">
        <v>0</v>
      </c>
      <c r="H739" s="6">
        <f t="shared" si="112"/>
        <v>0</v>
      </c>
      <c r="I739" s="6">
        <v>4</v>
      </c>
      <c r="J739" s="6" t="str">
        <f t="shared" si="113"/>
        <v>Thursday</v>
      </c>
      <c r="K739" s="6">
        <f t="shared" si="114"/>
        <v>0</v>
      </c>
      <c r="L739" s="6">
        <v>1</v>
      </c>
      <c r="M739" s="6" t="str">
        <f t="shared" si="115"/>
        <v>Partly cloudy</v>
      </c>
      <c r="N739" s="8">
        <v>0.18</v>
      </c>
      <c r="O739" s="8">
        <v>0.16669999999999999</v>
      </c>
      <c r="P739" s="8">
        <v>0.43</v>
      </c>
      <c r="Q739" s="8">
        <v>0.25369999999999998</v>
      </c>
      <c r="R739" s="6">
        <v>0</v>
      </c>
      <c r="S739" s="6">
        <v>2</v>
      </c>
      <c r="T739" s="6">
        <v>2</v>
      </c>
      <c r="U739" s="8">
        <f t="shared" si="116"/>
        <v>-0.64378142061299781</v>
      </c>
      <c r="V739" s="8" t="str">
        <f t="shared" si="117"/>
        <v>Normal</v>
      </c>
      <c r="W739" s="8">
        <f t="shared" si="118"/>
        <v>-1.0728490967713524</v>
      </c>
      <c r="X739" s="8" t="str">
        <f t="shared" si="119"/>
        <v>Normal</v>
      </c>
    </row>
    <row r="740" spans="1:24" x14ac:dyDescent="0.25">
      <c r="A740" s="6">
        <v>739</v>
      </c>
      <c r="B740" s="7">
        <v>40577</v>
      </c>
      <c r="C740" s="6">
        <v>2</v>
      </c>
      <c r="D740" s="6" t="str">
        <f t="shared" si="110"/>
        <v>february</v>
      </c>
      <c r="E740" s="6">
        <v>3</v>
      </c>
      <c r="F740" s="6" t="str">
        <f t="shared" si="111"/>
        <v>Night</v>
      </c>
      <c r="G740" s="6" t="b">
        <v>0</v>
      </c>
      <c r="H740" s="6">
        <f t="shared" si="112"/>
        <v>0</v>
      </c>
      <c r="I740" s="6">
        <v>4</v>
      </c>
      <c r="J740" s="6" t="str">
        <f t="shared" si="113"/>
        <v>Thursday</v>
      </c>
      <c r="K740" s="6">
        <f t="shared" si="114"/>
        <v>0</v>
      </c>
      <c r="L740" s="6">
        <v>1</v>
      </c>
      <c r="M740" s="6" t="str">
        <f t="shared" si="115"/>
        <v>Partly cloudy</v>
      </c>
      <c r="N740" s="8">
        <v>0.18</v>
      </c>
      <c r="O740" s="8">
        <v>0.16669999999999999</v>
      </c>
      <c r="P740" s="8">
        <v>0.43</v>
      </c>
      <c r="Q740" s="8">
        <v>0.25369999999999998</v>
      </c>
      <c r="R740" s="6">
        <v>0</v>
      </c>
      <c r="S740" s="6">
        <v>1</v>
      </c>
      <c r="T740" s="6">
        <v>1</v>
      </c>
      <c r="U740" s="8">
        <f t="shared" si="116"/>
        <v>-0.64378142061299781</v>
      </c>
      <c r="V740" s="8" t="str">
        <f t="shared" si="117"/>
        <v>Normal</v>
      </c>
      <c r="W740" s="8">
        <f t="shared" si="118"/>
        <v>-1.0937285529489083</v>
      </c>
      <c r="X740" s="8" t="str">
        <f t="shared" si="119"/>
        <v>Normal</v>
      </c>
    </row>
    <row r="741" spans="1:24" x14ac:dyDescent="0.25">
      <c r="A741" s="6">
        <v>740</v>
      </c>
      <c r="B741" s="7">
        <v>40577</v>
      </c>
      <c r="C741" s="6">
        <v>2</v>
      </c>
      <c r="D741" s="6" t="str">
        <f t="shared" si="110"/>
        <v>february</v>
      </c>
      <c r="E741" s="6">
        <v>5</v>
      </c>
      <c r="F741" s="6" t="str">
        <f t="shared" si="111"/>
        <v>Early Morning</v>
      </c>
      <c r="G741" s="6" t="b">
        <v>0</v>
      </c>
      <c r="H741" s="6">
        <f t="shared" si="112"/>
        <v>0</v>
      </c>
      <c r="I741" s="6">
        <v>4</v>
      </c>
      <c r="J741" s="6" t="str">
        <f t="shared" si="113"/>
        <v>Thursday</v>
      </c>
      <c r="K741" s="6">
        <f t="shared" si="114"/>
        <v>0</v>
      </c>
      <c r="L741" s="6">
        <v>1</v>
      </c>
      <c r="M741" s="6" t="str">
        <f t="shared" si="115"/>
        <v>Partly cloudy</v>
      </c>
      <c r="N741" s="8">
        <v>0.16</v>
      </c>
      <c r="O741" s="8">
        <v>0.13639999999999999</v>
      </c>
      <c r="P741" s="8">
        <v>0.5</v>
      </c>
      <c r="Q741" s="8">
        <v>0.29849999999999999</v>
      </c>
      <c r="R741" s="6">
        <v>0</v>
      </c>
      <c r="S741" s="6">
        <v>2</v>
      </c>
      <c r="T741" s="6">
        <v>2</v>
      </c>
      <c r="U741" s="8">
        <f t="shared" si="116"/>
        <v>-0.64378142061299781</v>
      </c>
      <c r="V741" s="8" t="str">
        <f t="shared" si="117"/>
        <v>Normal</v>
      </c>
      <c r="W741" s="8">
        <f t="shared" si="118"/>
        <v>-1.0728490967713524</v>
      </c>
      <c r="X741" s="8" t="str">
        <f t="shared" si="119"/>
        <v>Normal</v>
      </c>
    </row>
    <row r="742" spans="1:24" x14ac:dyDescent="0.25">
      <c r="A742" s="6">
        <v>741</v>
      </c>
      <c r="B742" s="7">
        <v>40577</v>
      </c>
      <c r="C742" s="6">
        <v>2</v>
      </c>
      <c r="D742" s="6" t="str">
        <f t="shared" si="110"/>
        <v>february</v>
      </c>
      <c r="E742" s="6">
        <v>6</v>
      </c>
      <c r="F742" s="6" t="str">
        <f t="shared" si="111"/>
        <v>Early Morning</v>
      </c>
      <c r="G742" s="6" t="b">
        <v>0</v>
      </c>
      <c r="H742" s="6">
        <f t="shared" si="112"/>
        <v>0</v>
      </c>
      <c r="I742" s="6">
        <v>4</v>
      </c>
      <c r="J742" s="6" t="str">
        <f t="shared" si="113"/>
        <v>Thursday</v>
      </c>
      <c r="K742" s="6">
        <f t="shared" si="114"/>
        <v>0</v>
      </c>
      <c r="L742" s="6">
        <v>1</v>
      </c>
      <c r="M742" s="6" t="str">
        <f t="shared" si="115"/>
        <v>Partly cloudy</v>
      </c>
      <c r="N742" s="8">
        <v>0.16</v>
      </c>
      <c r="O742" s="8">
        <v>0.13639999999999999</v>
      </c>
      <c r="P742" s="8">
        <v>0.43</v>
      </c>
      <c r="Q742" s="8">
        <v>0.35820000000000002</v>
      </c>
      <c r="R742" s="6">
        <v>0</v>
      </c>
      <c r="S742" s="6">
        <v>39</v>
      </c>
      <c r="T742" s="6">
        <v>39</v>
      </c>
      <c r="U742" s="8">
        <f t="shared" si="116"/>
        <v>-0.64378142061299781</v>
      </c>
      <c r="V742" s="8" t="str">
        <f t="shared" si="117"/>
        <v>Normal</v>
      </c>
      <c r="W742" s="8">
        <f t="shared" si="118"/>
        <v>-0.30030921820178591</v>
      </c>
      <c r="X742" s="8" t="str">
        <f t="shared" si="119"/>
        <v>Normal</v>
      </c>
    </row>
    <row r="743" spans="1:24" x14ac:dyDescent="0.25">
      <c r="A743" s="6">
        <v>742</v>
      </c>
      <c r="B743" s="7">
        <v>40577</v>
      </c>
      <c r="C743" s="6">
        <v>2</v>
      </c>
      <c r="D743" s="6" t="str">
        <f t="shared" si="110"/>
        <v>february</v>
      </c>
      <c r="E743" s="6">
        <v>7</v>
      </c>
      <c r="F743" s="6" t="str">
        <f t="shared" si="111"/>
        <v>Early Morning</v>
      </c>
      <c r="G743" s="6" t="b">
        <v>0</v>
      </c>
      <c r="H743" s="6">
        <f t="shared" si="112"/>
        <v>0</v>
      </c>
      <c r="I743" s="6">
        <v>4</v>
      </c>
      <c r="J743" s="6" t="str">
        <f t="shared" si="113"/>
        <v>Thursday</v>
      </c>
      <c r="K743" s="6">
        <f t="shared" si="114"/>
        <v>0</v>
      </c>
      <c r="L743" s="6">
        <v>1</v>
      </c>
      <c r="M743" s="6" t="str">
        <f t="shared" si="115"/>
        <v>Partly cloudy</v>
      </c>
      <c r="N743" s="8">
        <v>0.14000000000000001</v>
      </c>
      <c r="O743" s="8">
        <v>0.1212</v>
      </c>
      <c r="P743" s="8">
        <v>0.5</v>
      </c>
      <c r="Q743" s="8">
        <v>0.32840000000000003</v>
      </c>
      <c r="R743" s="6">
        <v>1</v>
      </c>
      <c r="S743" s="6">
        <v>86</v>
      </c>
      <c r="T743" s="6">
        <v>87</v>
      </c>
      <c r="U743" s="8">
        <f t="shared" si="116"/>
        <v>-0.51295812847461175</v>
      </c>
      <c r="V743" s="8" t="str">
        <f t="shared" si="117"/>
        <v>Normal</v>
      </c>
      <c r="W743" s="8">
        <f t="shared" si="118"/>
        <v>0.68102522214333927</v>
      </c>
      <c r="X743" s="8" t="str">
        <f t="shared" si="119"/>
        <v>Normal</v>
      </c>
    </row>
    <row r="744" spans="1:24" x14ac:dyDescent="0.25">
      <c r="A744" s="6">
        <v>743</v>
      </c>
      <c r="B744" s="7">
        <v>40577</v>
      </c>
      <c r="C744" s="6">
        <v>2</v>
      </c>
      <c r="D744" s="6" t="str">
        <f t="shared" si="110"/>
        <v>february</v>
      </c>
      <c r="E744" s="6">
        <v>8</v>
      </c>
      <c r="F744" s="6" t="str">
        <f t="shared" si="111"/>
        <v>Morning</v>
      </c>
      <c r="G744" s="6" t="b">
        <v>0</v>
      </c>
      <c r="H744" s="6">
        <f t="shared" si="112"/>
        <v>0</v>
      </c>
      <c r="I744" s="6">
        <v>4</v>
      </c>
      <c r="J744" s="6" t="str">
        <f t="shared" si="113"/>
        <v>Thursday</v>
      </c>
      <c r="K744" s="6">
        <f t="shared" si="114"/>
        <v>0</v>
      </c>
      <c r="L744" s="6">
        <v>1</v>
      </c>
      <c r="M744" s="6" t="str">
        <f t="shared" si="115"/>
        <v>Partly cloudy</v>
      </c>
      <c r="N744" s="8">
        <v>0.14000000000000001</v>
      </c>
      <c r="O744" s="8">
        <v>0.1212</v>
      </c>
      <c r="P744" s="8">
        <v>0.5</v>
      </c>
      <c r="Q744" s="8">
        <v>0.35820000000000002</v>
      </c>
      <c r="R744" s="6">
        <v>4</v>
      </c>
      <c r="S744" s="6">
        <v>184</v>
      </c>
      <c r="T744" s="6">
        <v>188</v>
      </c>
      <c r="U744" s="8">
        <f t="shared" si="116"/>
        <v>-0.1204882520594536</v>
      </c>
      <c r="V744" s="8" t="str">
        <f t="shared" si="117"/>
        <v>Normal</v>
      </c>
      <c r="W744" s="8">
        <f t="shared" si="118"/>
        <v>2.7272119275438129</v>
      </c>
      <c r="X744" s="8" t="str">
        <f t="shared" si="119"/>
        <v>Peak</v>
      </c>
    </row>
    <row r="745" spans="1:24" x14ac:dyDescent="0.25">
      <c r="A745" s="6">
        <v>744</v>
      </c>
      <c r="B745" s="7">
        <v>40577</v>
      </c>
      <c r="C745" s="6">
        <v>2</v>
      </c>
      <c r="D745" s="6" t="str">
        <f t="shared" si="110"/>
        <v>february</v>
      </c>
      <c r="E745" s="6">
        <v>9</v>
      </c>
      <c r="F745" s="6" t="str">
        <f t="shared" si="111"/>
        <v>Morning</v>
      </c>
      <c r="G745" s="6" t="b">
        <v>0</v>
      </c>
      <c r="H745" s="6">
        <f t="shared" si="112"/>
        <v>0</v>
      </c>
      <c r="I745" s="6">
        <v>4</v>
      </c>
      <c r="J745" s="6" t="str">
        <f t="shared" si="113"/>
        <v>Thursday</v>
      </c>
      <c r="K745" s="6">
        <f t="shared" si="114"/>
        <v>0</v>
      </c>
      <c r="L745" s="6">
        <v>1</v>
      </c>
      <c r="M745" s="6" t="str">
        <f t="shared" si="115"/>
        <v>Partly cloudy</v>
      </c>
      <c r="N745" s="8">
        <v>0.16</v>
      </c>
      <c r="O745" s="8">
        <v>0.13639999999999999</v>
      </c>
      <c r="P745" s="8">
        <v>0.47</v>
      </c>
      <c r="Q745" s="8">
        <v>0.29849999999999999</v>
      </c>
      <c r="R745" s="6">
        <v>6</v>
      </c>
      <c r="S745" s="6">
        <v>127</v>
      </c>
      <c r="T745" s="6">
        <v>133</v>
      </c>
      <c r="U745" s="8">
        <f t="shared" si="116"/>
        <v>0.14115833221731852</v>
      </c>
      <c r="V745" s="8" t="str">
        <f t="shared" si="117"/>
        <v>Normal</v>
      </c>
      <c r="W745" s="8">
        <f t="shared" si="118"/>
        <v>1.5370829254231291</v>
      </c>
      <c r="X745" s="8" t="str">
        <f t="shared" si="119"/>
        <v>Normal</v>
      </c>
    </row>
    <row r="746" spans="1:24" x14ac:dyDescent="0.25">
      <c r="A746" s="6">
        <v>745</v>
      </c>
      <c r="B746" s="7">
        <v>40577</v>
      </c>
      <c r="C746" s="6">
        <v>2</v>
      </c>
      <c r="D746" s="6" t="str">
        <f t="shared" si="110"/>
        <v>february</v>
      </c>
      <c r="E746" s="6">
        <v>10</v>
      </c>
      <c r="F746" s="6" t="str">
        <f t="shared" si="111"/>
        <v>Morning</v>
      </c>
      <c r="G746" s="6" t="b">
        <v>0</v>
      </c>
      <c r="H746" s="6">
        <f t="shared" si="112"/>
        <v>0</v>
      </c>
      <c r="I746" s="6">
        <v>4</v>
      </c>
      <c r="J746" s="6" t="str">
        <f t="shared" si="113"/>
        <v>Thursday</v>
      </c>
      <c r="K746" s="6">
        <f t="shared" si="114"/>
        <v>0</v>
      </c>
      <c r="L746" s="6">
        <v>1</v>
      </c>
      <c r="M746" s="6" t="str">
        <f t="shared" si="115"/>
        <v>Partly cloudy</v>
      </c>
      <c r="N746" s="8">
        <v>0.18</v>
      </c>
      <c r="O746" s="8">
        <v>0.1515</v>
      </c>
      <c r="P746" s="8">
        <v>0.43</v>
      </c>
      <c r="Q746" s="8">
        <v>0.32840000000000003</v>
      </c>
      <c r="R746" s="6">
        <v>2</v>
      </c>
      <c r="S746" s="6">
        <v>50</v>
      </c>
      <c r="T746" s="6">
        <v>52</v>
      </c>
      <c r="U746" s="8">
        <f t="shared" si="116"/>
        <v>-0.38213483633622569</v>
      </c>
      <c r="V746" s="8" t="str">
        <f t="shared" si="117"/>
        <v>Normal</v>
      </c>
      <c r="W746" s="8">
        <f t="shared" si="118"/>
        <v>-7.0635200248671509E-2</v>
      </c>
      <c r="X746" s="8" t="str">
        <f t="shared" si="119"/>
        <v>Normal</v>
      </c>
    </row>
    <row r="747" spans="1:24" x14ac:dyDescent="0.25">
      <c r="A747" s="6">
        <v>746</v>
      </c>
      <c r="B747" s="7">
        <v>40577</v>
      </c>
      <c r="C747" s="6">
        <v>2</v>
      </c>
      <c r="D747" s="6" t="str">
        <f t="shared" si="110"/>
        <v>february</v>
      </c>
      <c r="E747" s="6">
        <v>11</v>
      </c>
      <c r="F747" s="6" t="str">
        <f t="shared" si="111"/>
        <v>Morning</v>
      </c>
      <c r="G747" s="6" t="b">
        <v>0</v>
      </c>
      <c r="H747" s="6">
        <f t="shared" si="112"/>
        <v>0</v>
      </c>
      <c r="I747" s="6">
        <v>4</v>
      </c>
      <c r="J747" s="6" t="str">
        <f t="shared" si="113"/>
        <v>Thursday</v>
      </c>
      <c r="K747" s="6">
        <f t="shared" si="114"/>
        <v>0</v>
      </c>
      <c r="L747" s="6">
        <v>1</v>
      </c>
      <c r="M747" s="6" t="str">
        <f t="shared" si="115"/>
        <v>Partly cloudy</v>
      </c>
      <c r="N747" s="8">
        <v>0.18</v>
      </c>
      <c r="O747" s="8">
        <v>0.13639999999999999</v>
      </c>
      <c r="P747" s="8">
        <v>0.43</v>
      </c>
      <c r="Q747" s="8">
        <v>0.44779999999999998</v>
      </c>
      <c r="R747" s="6">
        <v>9</v>
      </c>
      <c r="S747" s="6">
        <v>55</v>
      </c>
      <c r="T747" s="6">
        <v>64</v>
      </c>
      <c r="U747" s="8">
        <f t="shared" si="116"/>
        <v>0.53362820863247673</v>
      </c>
      <c r="V747" s="8" t="str">
        <f t="shared" si="117"/>
        <v>Normal</v>
      </c>
      <c r="W747" s="8">
        <f t="shared" si="118"/>
        <v>3.376208063910776E-2</v>
      </c>
      <c r="X747" s="8" t="str">
        <f t="shared" si="119"/>
        <v>Normal</v>
      </c>
    </row>
    <row r="748" spans="1:24" x14ac:dyDescent="0.25">
      <c r="A748" s="6">
        <v>747</v>
      </c>
      <c r="B748" s="7">
        <v>40577</v>
      </c>
      <c r="C748" s="6">
        <v>2</v>
      </c>
      <c r="D748" s="6" t="str">
        <f t="shared" si="110"/>
        <v>february</v>
      </c>
      <c r="E748" s="6">
        <v>12</v>
      </c>
      <c r="F748" s="6" t="str">
        <f t="shared" si="111"/>
        <v>Afternoon</v>
      </c>
      <c r="G748" s="6" t="b">
        <v>0</v>
      </c>
      <c r="H748" s="6">
        <f t="shared" si="112"/>
        <v>0</v>
      </c>
      <c r="I748" s="6">
        <v>4</v>
      </c>
      <c r="J748" s="6" t="str">
        <f t="shared" si="113"/>
        <v>Thursday</v>
      </c>
      <c r="K748" s="6">
        <f t="shared" si="114"/>
        <v>0</v>
      </c>
      <c r="L748" s="6">
        <v>1</v>
      </c>
      <c r="M748" s="6" t="str">
        <f t="shared" si="115"/>
        <v>Partly cloudy</v>
      </c>
      <c r="N748" s="8">
        <v>0.2</v>
      </c>
      <c r="O748" s="8">
        <v>0.18179999999999999</v>
      </c>
      <c r="P748" s="8">
        <v>0.4</v>
      </c>
      <c r="Q748" s="8">
        <v>0.35820000000000002</v>
      </c>
      <c r="R748" s="6">
        <v>2</v>
      </c>
      <c r="S748" s="6">
        <v>67</v>
      </c>
      <c r="T748" s="6">
        <v>69</v>
      </c>
      <c r="U748" s="8">
        <f t="shared" si="116"/>
        <v>-0.38213483633622569</v>
      </c>
      <c r="V748" s="8" t="str">
        <f t="shared" si="117"/>
        <v>Normal</v>
      </c>
      <c r="W748" s="8">
        <f t="shared" si="118"/>
        <v>0.28431555476977799</v>
      </c>
      <c r="X748" s="8" t="str">
        <f t="shared" si="119"/>
        <v>Normal</v>
      </c>
    </row>
    <row r="749" spans="1:24" x14ac:dyDescent="0.25">
      <c r="A749" s="6">
        <v>748</v>
      </c>
      <c r="B749" s="7">
        <v>40577</v>
      </c>
      <c r="C749" s="6">
        <v>2</v>
      </c>
      <c r="D749" s="6" t="str">
        <f t="shared" si="110"/>
        <v>february</v>
      </c>
      <c r="E749" s="6">
        <v>13</v>
      </c>
      <c r="F749" s="6" t="str">
        <f t="shared" si="111"/>
        <v>Afternoon</v>
      </c>
      <c r="G749" s="6" t="b">
        <v>0</v>
      </c>
      <c r="H749" s="6">
        <f t="shared" si="112"/>
        <v>0</v>
      </c>
      <c r="I749" s="6">
        <v>4</v>
      </c>
      <c r="J749" s="6" t="str">
        <f t="shared" si="113"/>
        <v>Thursday</v>
      </c>
      <c r="K749" s="6">
        <f t="shared" si="114"/>
        <v>0</v>
      </c>
      <c r="L749" s="6">
        <v>1</v>
      </c>
      <c r="M749" s="6" t="str">
        <f t="shared" si="115"/>
        <v>Partly cloudy</v>
      </c>
      <c r="N749" s="8">
        <v>0.2</v>
      </c>
      <c r="O749" s="8">
        <v>0.16669999999999999</v>
      </c>
      <c r="P749" s="8">
        <v>0.4</v>
      </c>
      <c r="Q749" s="8">
        <v>0.41789999999999999</v>
      </c>
      <c r="R749" s="6">
        <v>4</v>
      </c>
      <c r="S749" s="6">
        <v>47</v>
      </c>
      <c r="T749" s="6">
        <v>51</v>
      </c>
      <c r="U749" s="8">
        <f t="shared" si="116"/>
        <v>-0.1204882520594536</v>
      </c>
      <c r="V749" s="8" t="str">
        <f t="shared" si="117"/>
        <v>Normal</v>
      </c>
      <c r="W749" s="8">
        <f t="shared" si="118"/>
        <v>-0.13327356878133906</v>
      </c>
      <c r="X749" s="8" t="str">
        <f t="shared" si="119"/>
        <v>Normal</v>
      </c>
    </row>
    <row r="750" spans="1:24" x14ac:dyDescent="0.25">
      <c r="A750" s="6">
        <v>749</v>
      </c>
      <c r="B750" s="7">
        <v>40577</v>
      </c>
      <c r="C750" s="6">
        <v>2</v>
      </c>
      <c r="D750" s="6" t="str">
        <f t="shared" si="110"/>
        <v>february</v>
      </c>
      <c r="E750" s="6">
        <v>14</v>
      </c>
      <c r="F750" s="6" t="str">
        <f t="shared" si="111"/>
        <v>Afternoon</v>
      </c>
      <c r="G750" s="6" t="b">
        <v>0</v>
      </c>
      <c r="H750" s="6">
        <f t="shared" si="112"/>
        <v>0</v>
      </c>
      <c r="I750" s="6">
        <v>4</v>
      </c>
      <c r="J750" s="6" t="str">
        <f t="shared" si="113"/>
        <v>Thursday</v>
      </c>
      <c r="K750" s="6">
        <f t="shared" si="114"/>
        <v>0</v>
      </c>
      <c r="L750" s="6">
        <v>1</v>
      </c>
      <c r="M750" s="6" t="str">
        <f t="shared" si="115"/>
        <v>Partly cloudy</v>
      </c>
      <c r="N750" s="8">
        <v>0.22</v>
      </c>
      <c r="O750" s="8">
        <v>0.19700000000000001</v>
      </c>
      <c r="P750" s="8">
        <v>0.37</v>
      </c>
      <c r="Q750" s="8">
        <v>0.3881</v>
      </c>
      <c r="R750" s="6">
        <v>4</v>
      </c>
      <c r="S750" s="6">
        <v>43</v>
      </c>
      <c r="T750" s="6">
        <v>47</v>
      </c>
      <c r="U750" s="8">
        <f t="shared" si="116"/>
        <v>-0.1204882520594536</v>
      </c>
      <c r="V750" s="8" t="str">
        <f t="shared" si="117"/>
        <v>Normal</v>
      </c>
      <c r="W750" s="8">
        <f t="shared" si="118"/>
        <v>-0.21679139349156248</v>
      </c>
      <c r="X750" s="8" t="str">
        <f t="shared" si="119"/>
        <v>Normal</v>
      </c>
    </row>
    <row r="751" spans="1:24" x14ac:dyDescent="0.25">
      <c r="A751" s="6">
        <v>750</v>
      </c>
      <c r="B751" s="7">
        <v>40577</v>
      </c>
      <c r="C751" s="6">
        <v>2</v>
      </c>
      <c r="D751" s="6" t="str">
        <f t="shared" si="110"/>
        <v>february</v>
      </c>
      <c r="E751" s="6">
        <v>15</v>
      </c>
      <c r="F751" s="6" t="str">
        <f t="shared" si="111"/>
        <v>Afternoon</v>
      </c>
      <c r="G751" s="6" t="b">
        <v>0</v>
      </c>
      <c r="H751" s="6">
        <f t="shared" si="112"/>
        <v>0</v>
      </c>
      <c r="I751" s="6">
        <v>4</v>
      </c>
      <c r="J751" s="6" t="str">
        <f t="shared" si="113"/>
        <v>Thursday</v>
      </c>
      <c r="K751" s="6">
        <f t="shared" si="114"/>
        <v>0</v>
      </c>
      <c r="L751" s="6">
        <v>1</v>
      </c>
      <c r="M751" s="6" t="str">
        <f t="shared" si="115"/>
        <v>Partly cloudy</v>
      </c>
      <c r="N751" s="8">
        <v>0.22</v>
      </c>
      <c r="O751" s="8">
        <v>0.19700000000000001</v>
      </c>
      <c r="P751" s="8">
        <v>0.37</v>
      </c>
      <c r="Q751" s="8">
        <v>0.32840000000000003</v>
      </c>
      <c r="R751" s="6">
        <v>4</v>
      </c>
      <c r="S751" s="6">
        <v>56</v>
      </c>
      <c r="T751" s="6">
        <v>60</v>
      </c>
      <c r="U751" s="8">
        <f t="shared" si="116"/>
        <v>-0.1204882520594536</v>
      </c>
      <c r="V751" s="8" t="str">
        <f t="shared" si="117"/>
        <v>Normal</v>
      </c>
      <c r="W751" s="8">
        <f t="shared" si="118"/>
        <v>5.4641536816663616E-2</v>
      </c>
      <c r="X751" s="8" t="str">
        <f t="shared" si="119"/>
        <v>Normal</v>
      </c>
    </row>
    <row r="752" spans="1:24" x14ac:dyDescent="0.25">
      <c r="A752" s="6">
        <v>751</v>
      </c>
      <c r="B752" s="7">
        <v>40577</v>
      </c>
      <c r="C752" s="6">
        <v>2</v>
      </c>
      <c r="D752" s="6" t="str">
        <f t="shared" si="110"/>
        <v>february</v>
      </c>
      <c r="E752" s="6">
        <v>16</v>
      </c>
      <c r="F752" s="6" t="str">
        <f t="shared" si="111"/>
        <v>Afternoon</v>
      </c>
      <c r="G752" s="6" t="b">
        <v>0</v>
      </c>
      <c r="H752" s="6">
        <f t="shared" si="112"/>
        <v>0</v>
      </c>
      <c r="I752" s="6">
        <v>4</v>
      </c>
      <c r="J752" s="6" t="str">
        <f t="shared" si="113"/>
        <v>Thursday</v>
      </c>
      <c r="K752" s="6">
        <f t="shared" si="114"/>
        <v>0</v>
      </c>
      <c r="L752" s="6">
        <v>1</v>
      </c>
      <c r="M752" s="6" t="str">
        <f t="shared" si="115"/>
        <v>Partly cloudy</v>
      </c>
      <c r="N752" s="8">
        <v>0.22</v>
      </c>
      <c r="O752" s="8">
        <v>0.21210000000000001</v>
      </c>
      <c r="P752" s="8">
        <v>0.37</v>
      </c>
      <c r="Q752" s="8">
        <v>0.25369999999999998</v>
      </c>
      <c r="R752" s="6">
        <v>5</v>
      </c>
      <c r="S752" s="6">
        <v>73</v>
      </c>
      <c r="T752" s="6">
        <v>78</v>
      </c>
      <c r="U752" s="8">
        <f t="shared" si="116"/>
        <v>1.0335040078932463E-2</v>
      </c>
      <c r="V752" s="8" t="str">
        <f t="shared" si="117"/>
        <v>Normal</v>
      </c>
      <c r="W752" s="8">
        <f t="shared" si="118"/>
        <v>0.40959229183511314</v>
      </c>
      <c r="X752" s="8" t="str">
        <f t="shared" si="119"/>
        <v>Normal</v>
      </c>
    </row>
    <row r="753" spans="1:24" x14ac:dyDescent="0.25">
      <c r="A753" s="6">
        <v>752</v>
      </c>
      <c r="B753" s="7">
        <v>40577</v>
      </c>
      <c r="C753" s="6">
        <v>2</v>
      </c>
      <c r="D753" s="6" t="str">
        <f t="shared" si="110"/>
        <v>february</v>
      </c>
      <c r="E753" s="6">
        <v>17</v>
      </c>
      <c r="F753" s="6" t="str">
        <f t="shared" si="111"/>
        <v>Evening</v>
      </c>
      <c r="G753" s="6" t="b">
        <v>0</v>
      </c>
      <c r="H753" s="6">
        <f t="shared" si="112"/>
        <v>0</v>
      </c>
      <c r="I753" s="6">
        <v>4</v>
      </c>
      <c r="J753" s="6" t="str">
        <f t="shared" si="113"/>
        <v>Thursday</v>
      </c>
      <c r="K753" s="6">
        <f t="shared" si="114"/>
        <v>0</v>
      </c>
      <c r="L753" s="6">
        <v>1</v>
      </c>
      <c r="M753" s="6" t="str">
        <f t="shared" si="115"/>
        <v>Partly cloudy</v>
      </c>
      <c r="N753" s="8">
        <v>0.2</v>
      </c>
      <c r="O753" s="8">
        <v>0.19700000000000001</v>
      </c>
      <c r="P753" s="8">
        <v>0.4</v>
      </c>
      <c r="Q753" s="8">
        <v>0.19400000000000001</v>
      </c>
      <c r="R753" s="6">
        <v>5</v>
      </c>
      <c r="S753" s="6">
        <v>170</v>
      </c>
      <c r="T753" s="6">
        <v>175</v>
      </c>
      <c r="U753" s="8">
        <f t="shared" si="116"/>
        <v>1.0335040078932463E-2</v>
      </c>
      <c r="V753" s="8" t="str">
        <f t="shared" si="117"/>
        <v>Normal</v>
      </c>
      <c r="W753" s="8">
        <f t="shared" si="118"/>
        <v>2.434899541058031</v>
      </c>
      <c r="X753" s="8" t="str">
        <f t="shared" si="119"/>
        <v>Peak</v>
      </c>
    </row>
    <row r="754" spans="1:24" x14ac:dyDescent="0.25">
      <c r="A754" s="6">
        <v>753</v>
      </c>
      <c r="B754" s="7">
        <v>40577</v>
      </c>
      <c r="C754" s="6">
        <v>2</v>
      </c>
      <c r="D754" s="6" t="str">
        <f t="shared" si="110"/>
        <v>february</v>
      </c>
      <c r="E754" s="6">
        <v>18</v>
      </c>
      <c r="F754" s="6" t="str">
        <f t="shared" si="111"/>
        <v>Evening</v>
      </c>
      <c r="G754" s="6" t="b">
        <v>0</v>
      </c>
      <c r="H754" s="6">
        <f t="shared" si="112"/>
        <v>0</v>
      </c>
      <c r="I754" s="6">
        <v>4</v>
      </c>
      <c r="J754" s="6" t="str">
        <f t="shared" si="113"/>
        <v>Thursday</v>
      </c>
      <c r="K754" s="6">
        <f t="shared" si="114"/>
        <v>0</v>
      </c>
      <c r="L754" s="6">
        <v>1</v>
      </c>
      <c r="M754" s="6" t="str">
        <f t="shared" si="115"/>
        <v>Partly cloudy</v>
      </c>
      <c r="N754" s="8">
        <v>0.2</v>
      </c>
      <c r="O754" s="8">
        <v>0.21210000000000001</v>
      </c>
      <c r="P754" s="8">
        <v>0.4</v>
      </c>
      <c r="Q754" s="8">
        <v>0.16420000000000001</v>
      </c>
      <c r="R754" s="6">
        <v>2</v>
      </c>
      <c r="S754" s="6">
        <v>145</v>
      </c>
      <c r="T754" s="6">
        <v>147</v>
      </c>
      <c r="U754" s="8">
        <f t="shared" si="116"/>
        <v>-0.38213483633622569</v>
      </c>
      <c r="V754" s="8" t="str">
        <f t="shared" si="117"/>
        <v>Normal</v>
      </c>
      <c r="W754" s="8">
        <f t="shared" si="118"/>
        <v>1.9129131366191345</v>
      </c>
      <c r="X754" s="8" t="str">
        <f t="shared" si="119"/>
        <v>Normal</v>
      </c>
    </row>
    <row r="755" spans="1:24" x14ac:dyDescent="0.25">
      <c r="A755" s="6">
        <v>754</v>
      </c>
      <c r="B755" s="7">
        <v>40577</v>
      </c>
      <c r="C755" s="6">
        <v>2</v>
      </c>
      <c r="D755" s="6" t="str">
        <f t="shared" si="110"/>
        <v>february</v>
      </c>
      <c r="E755" s="6">
        <v>19</v>
      </c>
      <c r="F755" s="6" t="str">
        <f t="shared" si="111"/>
        <v>Evening</v>
      </c>
      <c r="G755" s="6" t="b">
        <v>0</v>
      </c>
      <c r="H755" s="6">
        <f t="shared" si="112"/>
        <v>0</v>
      </c>
      <c r="I755" s="6">
        <v>4</v>
      </c>
      <c r="J755" s="6" t="str">
        <f t="shared" si="113"/>
        <v>Thursday</v>
      </c>
      <c r="K755" s="6">
        <f t="shared" si="114"/>
        <v>0</v>
      </c>
      <c r="L755" s="6">
        <v>1</v>
      </c>
      <c r="M755" s="6" t="str">
        <f t="shared" si="115"/>
        <v>Partly cloudy</v>
      </c>
      <c r="N755" s="8">
        <v>0.2</v>
      </c>
      <c r="O755" s="8">
        <v>0.2576</v>
      </c>
      <c r="P755" s="8">
        <v>0.4</v>
      </c>
      <c r="Q755" s="8">
        <v>0</v>
      </c>
      <c r="R755" s="6">
        <v>4</v>
      </c>
      <c r="S755" s="6">
        <v>92</v>
      </c>
      <c r="T755" s="6">
        <v>96</v>
      </c>
      <c r="U755" s="8">
        <f t="shared" si="116"/>
        <v>-0.1204882520594536</v>
      </c>
      <c r="V755" s="8" t="str">
        <f t="shared" si="117"/>
        <v>Normal</v>
      </c>
      <c r="W755" s="8">
        <f t="shared" si="118"/>
        <v>0.80630195920867431</v>
      </c>
      <c r="X755" s="8" t="str">
        <f t="shared" si="119"/>
        <v>Normal</v>
      </c>
    </row>
    <row r="756" spans="1:24" x14ac:dyDescent="0.25">
      <c r="A756" s="6">
        <v>755</v>
      </c>
      <c r="B756" s="7">
        <v>40577</v>
      </c>
      <c r="C756" s="6">
        <v>2</v>
      </c>
      <c r="D756" s="6" t="str">
        <f t="shared" si="110"/>
        <v>february</v>
      </c>
      <c r="E756" s="6">
        <v>20</v>
      </c>
      <c r="F756" s="6" t="str">
        <f t="shared" si="111"/>
        <v>Evening</v>
      </c>
      <c r="G756" s="6" t="b">
        <v>0</v>
      </c>
      <c r="H756" s="6">
        <f t="shared" si="112"/>
        <v>0</v>
      </c>
      <c r="I756" s="6">
        <v>4</v>
      </c>
      <c r="J756" s="6" t="str">
        <f t="shared" si="113"/>
        <v>Thursday</v>
      </c>
      <c r="K756" s="6">
        <f t="shared" si="114"/>
        <v>0</v>
      </c>
      <c r="L756" s="6">
        <v>1</v>
      </c>
      <c r="M756" s="6" t="str">
        <f t="shared" si="115"/>
        <v>Partly cloudy</v>
      </c>
      <c r="N756" s="8">
        <v>0.2</v>
      </c>
      <c r="O756" s="8">
        <v>0.2273</v>
      </c>
      <c r="P756" s="8">
        <v>0.47</v>
      </c>
      <c r="Q756" s="8">
        <v>8.9599999999999999E-2</v>
      </c>
      <c r="R756" s="6">
        <v>1</v>
      </c>
      <c r="S756" s="6">
        <v>108</v>
      </c>
      <c r="T756" s="6">
        <v>109</v>
      </c>
      <c r="U756" s="8">
        <f t="shared" si="116"/>
        <v>-0.51295812847461175</v>
      </c>
      <c r="V756" s="8" t="str">
        <f t="shared" si="117"/>
        <v>Normal</v>
      </c>
      <c r="W756" s="8">
        <f t="shared" si="118"/>
        <v>1.140373258049568</v>
      </c>
      <c r="X756" s="8" t="str">
        <f t="shared" si="119"/>
        <v>Normal</v>
      </c>
    </row>
    <row r="757" spans="1:24" x14ac:dyDescent="0.25">
      <c r="A757" s="6">
        <v>756</v>
      </c>
      <c r="B757" s="7">
        <v>40577</v>
      </c>
      <c r="C757" s="6">
        <v>2</v>
      </c>
      <c r="D757" s="6" t="str">
        <f t="shared" si="110"/>
        <v>february</v>
      </c>
      <c r="E757" s="6">
        <v>21</v>
      </c>
      <c r="F757" s="6" t="str">
        <f t="shared" si="111"/>
        <v>Night</v>
      </c>
      <c r="G757" s="6" t="b">
        <v>0</v>
      </c>
      <c r="H757" s="6">
        <f t="shared" si="112"/>
        <v>0</v>
      </c>
      <c r="I757" s="6">
        <v>4</v>
      </c>
      <c r="J757" s="6" t="str">
        <f t="shared" si="113"/>
        <v>Thursday</v>
      </c>
      <c r="K757" s="6">
        <f t="shared" si="114"/>
        <v>0</v>
      </c>
      <c r="L757" s="6">
        <v>1</v>
      </c>
      <c r="M757" s="6" t="str">
        <f t="shared" si="115"/>
        <v>Partly cloudy</v>
      </c>
      <c r="N757" s="8">
        <v>0.18</v>
      </c>
      <c r="O757" s="8">
        <v>0.21210000000000001</v>
      </c>
      <c r="P757" s="8">
        <v>0.55000000000000004</v>
      </c>
      <c r="Q757" s="8">
        <v>0.1045</v>
      </c>
      <c r="R757" s="6">
        <v>1</v>
      </c>
      <c r="S757" s="6">
        <v>53</v>
      </c>
      <c r="T757" s="6">
        <v>54</v>
      </c>
      <c r="U757" s="8">
        <f t="shared" si="116"/>
        <v>-0.51295812847461175</v>
      </c>
      <c r="V757" s="8" t="str">
        <f t="shared" si="117"/>
        <v>Normal</v>
      </c>
      <c r="W757" s="8">
        <f t="shared" si="118"/>
        <v>-7.9968317160039482E-3</v>
      </c>
      <c r="X757" s="8" t="str">
        <f t="shared" si="119"/>
        <v>Normal</v>
      </c>
    </row>
    <row r="758" spans="1:24" x14ac:dyDescent="0.25">
      <c r="A758" s="6">
        <v>757</v>
      </c>
      <c r="B758" s="7">
        <v>40577</v>
      </c>
      <c r="C758" s="6">
        <v>2</v>
      </c>
      <c r="D758" s="6" t="str">
        <f t="shared" si="110"/>
        <v>february</v>
      </c>
      <c r="E758" s="6">
        <v>22</v>
      </c>
      <c r="F758" s="6" t="str">
        <f t="shared" si="111"/>
        <v>Night</v>
      </c>
      <c r="G758" s="6" t="b">
        <v>0</v>
      </c>
      <c r="H758" s="6">
        <f t="shared" si="112"/>
        <v>0</v>
      </c>
      <c r="I758" s="6">
        <v>4</v>
      </c>
      <c r="J758" s="6" t="str">
        <f t="shared" si="113"/>
        <v>Thursday</v>
      </c>
      <c r="K758" s="6">
        <f t="shared" si="114"/>
        <v>0</v>
      </c>
      <c r="L758" s="6">
        <v>1</v>
      </c>
      <c r="M758" s="6" t="str">
        <f t="shared" si="115"/>
        <v>Partly cloudy</v>
      </c>
      <c r="N758" s="8">
        <v>0.18</v>
      </c>
      <c r="O758" s="8">
        <v>0.21210000000000001</v>
      </c>
      <c r="P758" s="8">
        <v>0.51</v>
      </c>
      <c r="Q758" s="8">
        <v>8.9599999999999999E-2</v>
      </c>
      <c r="R758" s="6">
        <v>2</v>
      </c>
      <c r="S758" s="6">
        <v>39</v>
      </c>
      <c r="T758" s="6">
        <v>41</v>
      </c>
      <c r="U758" s="8">
        <f t="shared" si="116"/>
        <v>-0.38213483633622569</v>
      </c>
      <c r="V758" s="8" t="str">
        <f t="shared" si="117"/>
        <v>Normal</v>
      </c>
      <c r="W758" s="8">
        <f t="shared" si="118"/>
        <v>-0.30030921820178591</v>
      </c>
      <c r="X758" s="8" t="str">
        <f t="shared" si="119"/>
        <v>Normal</v>
      </c>
    </row>
    <row r="759" spans="1:24" x14ac:dyDescent="0.25">
      <c r="A759" s="6">
        <v>758</v>
      </c>
      <c r="B759" s="7">
        <v>40577</v>
      </c>
      <c r="C759" s="6">
        <v>2</v>
      </c>
      <c r="D759" s="6" t="str">
        <f t="shared" si="110"/>
        <v>february</v>
      </c>
      <c r="E759" s="6">
        <v>23</v>
      </c>
      <c r="F759" s="6" t="str">
        <f t="shared" si="111"/>
        <v>Night</v>
      </c>
      <c r="G759" s="6" t="b">
        <v>0</v>
      </c>
      <c r="H759" s="6">
        <f t="shared" si="112"/>
        <v>0</v>
      </c>
      <c r="I759" s="6">
        <v>4</v>
      </c>
      <c r="J759" s="6" t="str">
        <f t="shared" si="113"/>
        <v>Thursday</v>
      </c>
      <c r="K759" s="6">
        <f t="shared" si="114"/>
        <v>0</v>
      </c>
      <c r="L759" s="6">
        <v>1</v>
      </c>
      <c r="M759" s="6" t="str">
        <f t="shared" si="115"/>
        <v>Partly cloudy</v>
      </c>
      <c r="N759" s="8">
        <v>0.2</v>
      </c>
      <c r="O759" s="8">
        <v>0.2273</v>
      </c>
      <c r="P759" s="8">
        <v>0.47</v>
      </c>
      <c r="Q759" s="8">
        <v>0.1045</v>
      </c>
      <c r="R759" s="6">
        <v>4</v>
      </c>
      <c r="S759" s="6">
        <v>34</v>
      </c>
      <c r="T759" s="6">
        <v>38</v>
      </c>
      <c r="U759" s="8">
        <f t="shared" si="116"/>
        <v>-0.1204882520594536</v>
      </c>
      <c r="V759" s="8" t="str">
        <f t="shared" si="117"/>
        <v>Normal</v>
      </c>
      <c r="W759" s="8">
        <f t="shared" si="118"/>
        <v>-0.40470649908956519</v>
      </c>
      <c r="X759" s="8" t="str">
        <f t="shared" si="119"/>
        <v>Normal</v>
      </c>
    </row>
    <row r="760" spans="1:24" x14ac:dyDescent="0.25">
      <c r="A760" s="6">
        <v>759</v>
      </c>
      <c r="B760" s="7">
        <v>40578</v>
      </c>
      <c r="C760" s="6">
        <v>2</v>
      </c>
      <c r="D760" s="6" t="str">
        <f t="shared" si="110"/>
        <v>february</v>
      </c>
      <c r="E760" s="6">
        <v>0</v>
      </c>
      <c r="F760" s="6" t="str">
        <f t="shared" si="111"/>
        <v>Night</v>
      </c>
      <c r="G760" s="6" t="b">
        <v>0</v>
      </c>
      <c r="H760" s="6">
        <f t="shared" si="112"/>
        <v>0</v>
      </c>
      <c r="I760" s="6">
        <v>5</v>
      </c>
      <c r="J760" s="6" t="str">
        <f t="shared" si="113"/>
        <v>Friday</v>
      </c>
      <c r="K760" s="6">
        <f t="shared" si="114"/>
        <v>0</v>
      </c>
      <c r="L760" s="6">
        <v>2</v>
      </c>
      <c r="M760" s="6" t="str">
        <f t="shared" si="115"/>
        <v>Cloudy</v>
      </c>
      <c r="N760" s="8">
        <v>0.2</v>
      </c>
      <c r="O760" s="8">
        <v>0.2576</v>
      </c>
      <c r="P760" s="8">
        <v>0.44</v>
      </c>
      <c r="Q760" s="8">
        <v>0</v>
      </c>
      <c r="R760" s="6">
        <v>3</v>
      </c>
      <c r="S760" s="6">
        <v>10</v>
      </c>
      <c r="T760" s="6">
        <v>13</v>
      </c>
      <c r="U760" s="8">
        <f t="shared" si="116"/>
        <v>-0.25131154419783963</v>
      </c>
      <c r="V760" s="8" t="str">
        <f t="shared" si="117"/>
        <v>Normal</v>
      </c>
      <c r="W760" s="8">
        <f t="shared" si="118"/>
        <v>-0.90581344735090563</v>
      </c>
      <c r="X760" s="8" t="str">
        <f t="shared" si="119"/>
        <v>Normal</v>
      </c>
    </row>
    <row r="761" spans="1:24" x14ac:dyDescent="0.25">
      <c r="A761" s="6">
        <v>760</v>
      </c>
      <c r="B761" s="7">
        <v>40578</v>
      </c>
      <c r="C761" s="6">
        <v>2</v>
      </c>
      <c r="D761" s="6" t="str">
        <f t="shared" si="110"/>
        <v>february</v>
      </c>
      <c r="E761" s="6">
        <v>1</v>
      </c>
      <c r="F761" s="6" t="str">
        <f t="shared" si="111"/>
        <v>Night</v>
      </c>
      <c r="G761" s="6" t="b">
        <v>0</v>
      </c>
      <c r="H761" s="6">
        <f t="shared" si="112"/>
        <v>0</v>
      </c>
      <c r="I761" s="6">
        <v>5</v>
      </c>
      <c r="J761" s="6" t="str">
        <f t="shared" si="113"/>
        <v>Friday</v>
      </c>
      <c r="K761" s="6">
        <f t="shared" si="114"/>
        <v>0</v>
      </c>
      <c r="L761" s="6">
        <v>2</v>
      </c>
      <c r="M761" s="6" t="str">
        <f t="shared" si="115"/>
        <v>Cloudy</v>
      </c>
      <c r="N761" s="8">
        <v>0.16</v>
      </c>
      <c r="O761" s="8">
        <v>0.2273</v>
      </c>
      <c r="P761" s="8">
        <v>0.59</v>
      </c>
      <c r="Q761" s="8">
        <v>0</v>
      </c>
      <c r="R761" s="6">
        <v>0</v>
      </c>
      <c r="S761" s="6">
        <v>7</v>
      </c>
      <c r="T761" s="6">
        <v>7</v>
      </c>
      <c r="U761" s="8">
        <f t="shared" si="116"/>
        <v>-0.64378142061299781</v>
      </c>
      <c r="V761" s="8" t="str">
        <f t="shared" si="117"/>
        <v>Normal</v>
      </c>
      <c r="W761" s="8">
        <f t="shared" si="118"/>
        <v>-0.96845181588357321</v>
      </c>
      <c r="X761" s="8" t="str">
        <f t="shared" si="119"/>
        <v>Normal</v>
      </c>
    </row>
    <row r="762" spans="1:24" x14ac:dyDescent="0.25">
      <c r="A762" s="6">
        <v>761</v>
      </c>
      <c r="B762" s="7">
        <v>40578</v>
      </c>
      <c r="C762" s="6">
        <v>2</v>
      </c>
      <c r="D762" s="6" t="str">
        <f t="shared" si="110"/>
        <v>february</v>
      </c>
      <c r="E762" s="6">
        <v>2</v>
      </c>
      <c r="F762" s="6" t="str">
        <f t="shared" si="111"/>
        <v>Night</v>
      </c>
      <c r="G762" s="6" t="b">
        <v>0</v>
      </c>
      <c r="H762" s="6">
        <f t="shared" si="112"/>
        <v>0</v>
      </c>
      <c r="I762" s="6">
        <v>5</v>
      </c>
      <c r="J762" s="6" t="str">
        <f t="shared" si="113"/>
        <v>Friday</v>
      </c>
      <c r="K762" s="6">
        <f t="shared" si="114"/>
        <v>0</v>
      </c>
      <c r="L762" s="6">
        <v>2</v>
      </c>
      <c r="M762" s="6" t="str">
        <f t="shared" si="115"/>
        <v>Cloudy</v>
      </c>
      <c r="N762" s="8">
        <v>0.14000000000000001</v>
      </c>
      <c r="O762" s="8">
        <v>0.16669999999999999</v>
      </c>
      <c r="P762" s="8">
        <v>0.63</v>
      </c>
      <c r="Q762" s="8">
        <v>0.1045</v>
      </c>
      <c r="R762" s="6">
        <v>0</v>
      </c>
      <c r="S762" s="6">
        <v>1</v>
      </c>
      <c r="T762" s="6">
        <v>1</v>
      </c>
      <c r="U762" s="8">
        <f t="shared" si="116"/>
        <v>-0.64378142061299781</v>
      </c>
      <c r="V762" s="8" t="str">
        <f t="shared" si="117"/>
        <v>Normal</v>
      </c>
      <c r="W762" s="8">
        <f t="shared" si="118"/>
        <v>-1.0937285529489083</v>
      </c>
      <c r="X762" s="8" t="str">
        <f t="shared" si="119"/>
        <v>Normal</v>
      </c>
    </row>
    <row r="763" spans="1:24" x14ac:dyDescent="0.25">
      <c r="A763" s="6">
        <v>762</v>
      </c>
      <c r="B763" s="7">
        <v>40578</v>
      </c>
      <c r="C763" s="6">
        <v>2</v>
      </c>
      <c r="D763" s="6" t="str">
        <f t="shared" si="110"/>
        <v>february</v>
      </c>
      <c r="E763" s="6">
        <v>3</v>
      </c>
      <c r="F763" s="6" t="str">
        <f t="shared" si="111"/>
        <v>Night</v>
      </c>
      <c r="G763" s="6" t="b">
        <v>0</v>
      </c>
      <c r="H763" s="6">
        <f t="shared" si="112"/>
        <v>0</v>
      </c>
      <c r="I763" s="6">
        <v>5</v>
      </c>
      <c r="J763" s="6" t="str">
        <f t="shared" si="113"/>
        <v>Friday</v>
      </c>
      <c r="K763" s="6">
        <f t="shared" si="114"/>
        <v>0</v>
      </c>
      <c r="L763" s="6">
        <v>2</v>
      </c>
      <c r="M763" s="6" t="str">
        <f t="shared" si="115"/>
        <v>Cloudy</v>
      </c>
      <c r="N763" s="8">
        <v>0.14000000000000001</v>
      </c>
      <c r="O763" s="8">
        <v>0.16669999999999999</v>
      </c>
      <c r="P763" s="8">
        <v>0.63</v>
      </c>
      <c r="Q763" s="8">
        <v>0.1045</v>
      </c>
      <c r="R763" s="6">
        <v>0</v>
      </c>
      <c r="S763" s="6">
        <v>1</v>
      </c>
      <c r="T763" s="6">
        <v>1</v>
      </c>
      <c r="U763" s="8">
        <f t="shared" si="116"/>
        <v>-0.64378142061299781</v>
      </c>
      <c r="V763" s="8" t="str">
        <f t="shared" si="117"/>
        <v>Normal</v>
      </c>
      <c r="W763" s="8">
        <f t="shared" si="118"/>
        <v>-1.0937285529489083</v>
      </c>
      <c r="X763" s="8" t="str">
        <f t="shared" si="119"/>
        <v>Normal</v>
      </c>
    </row>
    <row r="764" spans="1:24" x14ac:dyDescent="0.25">
      <c r="A764" s="6">
        <v>763</v>
      </c>
      <c r="B764" s="7">
        <v>40578</v>
      </c>
      <c r="C764" s="6">
        <v>2</v>
      </c>
      <c r="D764" s="6" t="str">
        <f t="shared" si="110"/>
        <v>february</v>
      </c>
      <c r="E764" s="6">
        <v>5</v>
      </c>
      <c r="F764" s="6" t="str">
        <f t="shared" si="111"/>
        <v>Early Morning</v>
      </c>
      <c r="G764" s="6" t="b">
        <v>0</v>
      </c>
      <c r="H764" s="6">
        <f t="shared" si="112"/>
        <v>0</v>
      </c>
      <c r="I764" s="6">
        <v>5</v>
      </c>
      <c r="J764" s="6" t="str">
        <f t="shared" si="113"/>
        <v>Friday</v>
      </c>
      <c r="K764" s="6">
        <f t="shared" si="114"/>
        <v>0</v>
      </c>
      <c r="L764" s="6">
        <v>2</v>
      </c>
      <c r="M764" s="6" t="str">
        <f t="shared" si="115"/>
        <v>Cloudy</v>
      </c>
      <c r="N764" s="8">
        <v>0.14000000000000001</v>
      </c>
      <c r="O764" s="8">
        <v>0.1515</v>
      </c>
      <c r="P764" s="8">
        <v>0.63</v>
      </c>
      <c r="Q764" s="8">
        <v>0.1343</v>
      </c>
      <c r="R764" s="6">
        <v>0</v>
      </c>
      <c r="S764" s="6">
        <v>7</v>
      </c>
      <c r="T764" s="6">
        <v>7</v>
      </c>
      <c r="U764" s="8">
        <f t="shared" si="116"/>
        <v>-0.64378142061299781</v>
      </c>
      <c r="V764" s="8" t="str">
        <f t="shared" si="117"/>
        <v>Normal</v>
      </c>
      <c r="W764" s="8">
        <f t="shared" si="118"/>
        <v>-0.96845181588357321</v>
      </c>
      <c r="X764" s="8" t="str">
        <f t="shared" si="119"/>
        <v>Normal</v>
      </c>
    </row>
    <row r="765" spans="1:24" x14ac:dyDescent="0.25">
      <c r="A765" s="6">
        <v>764</v>
      </c>
      <c r="B765" s="7">
        <v>40578</v>
      </c>
      <c r="C765" s="6">
        <v>2</v>
      </c>
      <c r="D765" s="6" t="str">
        <f t="shared" si="110"/>
        <v>february</v>
      </c>
      <c r="E765" s="6">
        <v>6</v>
      </c>
      <c r="F765" s="6" t="str">
        <f t="shared" si="111"/>
        <v>Early Morning</v>
      </c>
      <c r="G765" s="6" t="b">
        <v>0</v>
      </c>
      <c r="H765" s="6">
        <f t="shared" si="112"/>
        <v>0</v>
      </c>
      <c r="I765" s="6">
        <v>5</v>
      </c>
      <c r="J765" s="6" t="str">
        <f t="shared" si="113"/>
        <v>Friday</v>
      </c>
      <c r="K765" s="6">
        <f t="shared" si="114"/>
        <v>0</v>
      </c>
      <c r="L765" s="6">
        <v>2</v>
      </c>
      <c r="M765" s="6" t="str">
        <f t="shared" si="115"/>
        <v>Cloudy</v>
      </c>
      <c r="N765" s="8">
        <v>0.16</v>
      </c>
      <c r="O765" s="8">
        <v>0.2273</v>
      </c>
      <c r="P765" s="8">
        <v>0.55000000000000004</v>
      </c>
      <c r="Q765" s="8">
        <v>0</v>
      </c>
      <c r="R765" s="6">
        <v>2</v>
      </c>
      <c r="S765" s="6">
        <v>26</v>
      </c>
      <c r="T765" s="6">
        <v>28</v>
      </c>
      <c r="U765" s="8">
        <f t="shared" si="116"/>
        <v>-0.38213483633622569</v>
      </c>
      <c r="V765" s="8" t="str">
        <f t="shared" si="117"/>
        <v>Normal</v>
      </c>
      <c r="W765" s="8">
        <f t="shared" si="118"/>
        <v>-0.57174214851001204</v>
      </c>
      <c r="X765" s="8" t="str">
        <f t="shared" si="119"/>
        <v>Normal</v>
      </c>
    </row>
    <row r="766" spans="1:24" x14ac:dyDescent="0.25">
      <c r="A766" s="6">
        <v>765</v>
      </c>
      <c r="B766" s="7">
        <v>40578</v>
      </c>
      <c r="C766" s="6">
        <v>2</v>
      </c>
      <c r="D766" s="6" t="str">
        <f t="shared" si="110"/>
        <v>february</v>
      </c>
      <c r="E766" s="6">
        <v>7</v>
      </c>
      <c r="F766" s="6" t="str">
        <f t="shared" si="111"/>
        <v>Early Morning</v>
      </c>
      <c r="G766" s="6" t="b">
        <v>0</v>
      </c>
      <c r="H766" s="6">
        <f t="shared" si="112"/>
        <v>0</v>
      </c>
      <c r="I766" s="6">
        <v>5</v>
      </c>
      <c r="J766" s="6" t="str">
        <f t="shared" si="113"/>
        <v>Friday</v>
      </c>
      <c r="K766" s="6">
        <f t="shared" si="114"/>
        <v>0</v>
      </c>
      <c r="L766" s="6">
        <v>1</v>
      </c>
      <c r="M766" s="6" t="str">
        <f t="shared" si="115"/>
        <v>Partly cloudy</v>
      </c>
      <c r="N766" s="8">
        <v>0.14000000000000001</v>
      </c>
      <c r="O766" s="8">
        <v>0.21210000000000001</v>
      </c>
      <c r="P766" s="8">
        <v>0.59</v>
      </c>
      <c r="Q766" s="8">
        <v>0</v>
      </c>
      <c r="R766" s="6">
        <v>0</v>
      </c>
      <c r="S766" s="6">
        <v>87</v>
      </c>
      <c r="T766" s="6">
        <v>87</v>
      </c>
      <c r="U766" s="8">
        <f t="shared" si="116"/>
        <v>-0.64378142061299781</v>
      </c>
      <c r="V766" s="8" t="str">
        <f t="shared" si="117"/>
        <v>Normal</v>
      </c>
      <c r="W766" s="8">
        <f t="shared" si="118"/>
        <v>0.70190467832089509</v>
      </c>
      <c r="X766" s="8" t="str">
        <f t="shared" si="119"/>
        <v>Normal</v>
      </c>
    </row>
    <row r="767" spans="1:24" x14ac:dyDescent="0.25">
      <c r="A767" s="6">
        <v>766</v>
      </c>
      <c r="B767" s="7">
        <v>40578</v>
      </c>
      <c r="C767" s="6">
        <v>2</v>
      </c>
      <c r="D767" s="6" t="str">
        <f t="shared" si="110"/>
        <v>february</v>
      </c>
      <c r="E767" s="6">
        <v>8</v>
      </c>
      <c r="F767" s="6" t="str">
        <f t="shared" si="111"/>
        <v>Morning</v>
      </c>
      <c r="G767" s="6" t="b">
        <v>0</v>
      </c>
      <c r="H767" s="6">
        <f t="shared" si="112"/>
        <v>0</v>
      </c>
      <c r="I767" s="6">
        <v>5</v>
      </c>
      <c r="J767" s="6" t="str">
        <f t="shared" si="113"/>
        <v>Friday</v>
      </c>
      <c r="K767" s="6">
        <f t="shared" si="114"/>
        <v>0</v>
      </c>
      <c r="L767" s="6">
        <v>1</v>
      </c>
      <c r="M767" s="6" t="str">
        <f t="shared" si="115"/>
        <v>Partly cloudy</v>
      </c>
      <c r="N767" s="8">
        <v>0.14000000000000001</v>
      </c>
      <c r="O767" s="8">
        <v>0.1515</v>
      </c>
      <c r="P767" s="8">
        <v>0.74</v>
      </c>
      <c r="Q767" s="8">
        <v>0.1343</v>
      </c>
      <c r="R767" s="6">
        <v>3</v>
      </c>
      <c r="S767" s="6">
        <v>217</v>
      </c>
      <c r="T767" s="6">
        <v>220</v>
      </c>
      <c r="U767" s="8">
        <f t="shared" si="116"/>
        <v>-0.25131154419783963</v>
      </c>
      <c r="V767" s="8" t="str">
        <f t="shared" si="117"/>
        <v>Normal</v>
      </c>
      <c r="W767" s="8">
        <f t="shared" si="118"/>
        <v>3.4162339814031562</v>
      </c>
      <c r="X767" s="8" t="str">
        <f t="shared" si="119"/>
        <v>Peak</v>
      </c>
    </row>
    <row r="768" spans="1:24" x14ac:dyDescent="0.25">
      <c r="A768" s="6">
        <v>767</v>
      </c>
      <c r="B768" s="7">
        <v>40578</v>
      </c>
      <c r="C768" s="6">
        <v>2</v>
      </c>
      <c r="D768" s="6" t="str">
        <f t="shared" si="110"/>
        <v>february</v>
      </c>
      <c r="E768" s="6">
        <v>9</v>
      </c>
      <c r="F768" s="6" t="str">
        <f t="shared" si="111"/>
        <v>Morning</v>
      </c>
      <c r="G768" s="6" t="b">
        <v>0</v>
      </c>
      <c r="H768" s="6">
        <f t="shared" si="112"/>
        <v>0</v>
      </c>
      <c r="I768" s="6">
        <v>5</v>
      </c>
      <c r="J768" s="6" t="str">
        <f t="shared" si="113"/>
        <v>Friday</v>
      </c>
      <c r="K768" s="6">
        <f t="shared" si="114"/>
        <v>0</v>
      </c>
      <c r="L768" s="6">
        <v>2</v>
      </c>
      <c r="M768" s="6" t="str">
        <f t="shared" si="115"/>
        <v>Cloudy</v>
      </c>
      <c r="N768" s="8">
        <v>0.16</v>
      </c>
      <c r="O768" s="8">
        <v>0.18179999999999999</v>
      </c>
      <c r="P768" s="8">
        <v>0.8</v>
      </c>
      <c r="Q768" s="8">
        <v>0.1343</v>
      </c>
      <c r="R768" s="6">
        <v>3</v>
      </c>
      <c r="S768" s="6">
        <v>124</v>
      </c>
      <c r="T768" s="6">
        <v>127</v>
      </c>
      <c r="U768" s="8">
        <f t="shared" si="116"/>
        <v>-0.25131154419783963</v>
      </c>
      <c r="V768" s="8" t="str">
        <f t="shared" si="117"/>
        <v>Normal</v>
      </c>
      <c r="W768" s="8">
        <f t="shared" si="118"/>
        <v>1.4744445568904616</v>
      </c>
      <c r="X768" s="8" t="str">
        <f t="shared" si="119"/>
        <v>Normal</v>
      </c>
    </row>
    <row r="769" spans="1:24" x14ac:dyDescent="0.25">
      <c r="A769" s="6">
        <v>768</v>
      </c>
      <c r="B769" s="7">
        <v>40578</v>
      </c>
      <c r="C769" s="6">
        <v>2</v>
      </c>
      <c r="D769" s="6" t="str">
        <f t="shared" si="110"/>
        <v>february</v>
      </c>
      <c r="E769" s="6">
        <v>10</v>
      </c>
      <c r="F769" s="6" t="str">
        <f t="shared" si="111"/>
        <v>Morning</v>
      </c>
      <c r="G769" s="6" t="b">
        <v>0</v>
      </c>
      <c r="H769" s="6">
        <f t="shared" si="112"/>
        <v>0</v>
      </c>
      <c r="I769" s="6">
        <v>5</v>
      </c>
      <c r="J769" s="6" t="str">
        <f t="shared" si="113"/>
        <v>Friday</v>
      </c>
      <c r="K769" s="6">
        <f t="shared" si="114"/>
        <v>0</v>
      </c>
      <c r="L769" s="6">
        <v>2</v>
      </c>
      <c r="M769" s="6" t="str">
        <f t="shared" si="115"/>
        <v>Cloudy</v>
      </c>
      <c r="N769" s="8">
        <v>0.2</v>
      </c>
      <c r="O769" s="8">
        <v>0.21210000000000001</v>
      </c>
      <c r="P769" s="8">
        <v>0.51</v>
      </c>
      <c r="Q769" s="8">
        <v>0.1343</v>
      </c>
      <c r="R769" s="6">
        <v>5</v>
      </c>
      <c r="S769" s="6">
        <v>46</v>
      </c>
      <c r="T769" s="6">
        <v>51</v>
      </c>
      <c r="U769" s="8">
        <f t="shared" si="116"/>
        <v>1.0335040078932463E-2</v>
      </c>
      <c r="V769" s="8" t="str">
        <f t="shared" si="117"/>
        <v>Normal</v>
      </c>
      <c r="W769" s="8">
        <f t="shared" si="118"/>
        <v>-0.15415302495889494</v>
      </c>
      <c r="X769" s="8" t="str">
        <f t="shared" si="119"/>
        <v>Normal</v>
      </c>
    </row>
    <row r="770" spans="1:24" x14ac:dyDescent="0.25">
      <c r="A770" s="6">
        <v>769</v>
      </c>
      <c r="B770" s="7">
        <v>40578</v>
      </c>
      <c r="C770" s="6">
        <v>2</v>
      </c>
      <c r="D770" s="6" t="str">
        <f t="shared" ref="D770:D833" si="120">IF(C770=1,"january",IF(C770=2,"february"))</f>
        <v>february</v>
      </c>
      <c r="E770" s="6">
        <v>11</v>
      </c>
      <c r="F770" s="6" t="str">
        <f t="shared" ref="F770:F833" si="121">IF(AND(E770&gt;=5,E770&lt;8),"Early Morning", IF(AND(E770&gt;=8,E770&lt;12),"Morning", IF(AND(E770&gt;=12,E770&lt;17),"Afternoon", IF(AND(E770&gt;=17,E770&lt;21),"Evening","Night"))))</f>
        <v>Morning</v>
      </c>
      <c r="G770" s="6" t="b">
        <v>0</v>
      </c>
      <c r="H770" s="6">
        <f t="shared" ref="H770:H833" si="122">IF(G770=FALSE,0,IF(G770=TRUE,1))</f>
        <v>0</v>
      </c>
      <c r="I770" s="6">
        <v>5</v>
      </c>
      <c r="J770" s="6" t="str">
        <f t="shared" ref="J770:J833" si="123">TEXT(B770,"dddd")</f>
        <v>Friday</v>
      </c>
      <c r="K770" s="6">
        <f t="shared" ref="K770:K833" si="124">IF(OR(J770="Saturday",J770="Sunday"),1,0)</f>
        <v>0</v>
      </c>
      <c r="L770" s="6">
        <v>1</v>
      </c>
      <c r="M770" s="6" t="str">
        <f t="shared" ref="M770:M833" si="125">IF(L770=0,"clear sky",IF(L770=1,"Partly cloudy",IF(L770=2,"Cloudy",IF(L770=3,"Light rain",IF(L770=4,"Heavy rain")))))</f>
        <v>Partly cloudy</v>
      </c>
      <c r="N770" s="8">
        <v>0.22</v>
      </c>
      <c r="O770" s="8">
        <v>0.2273</v>
      </c>
      <c r="P770" s="8">
        <v>0.51</v>
      </c>
      <c r="Q770" s="8">
        <v>0.16420000000000001</v>
      </c>
      <c r="R770" s="6">
        <v>3</v>
      </c>
      <c r="S770" s="6">
        <v>61</v>
      </c>
      <c r="T770" s="6">
        <v>64</v>
      </c>
      <c r="U770" s="8">
        <f t="shared" ref="U770:U833" si="126">(R770-$AA$7)/$AA$9</f>
        <v>-0.25131154419783963</v>
      </c>
      <c r="V770" s="8" t="str">
        <f t="shared" ref="V770:V833" si="127">IF(ABS(U770)&gt;2,"Peak","Normal")</f>
        <v>Normal</v>
      </c>
      <c r="W770" s="8">
        <f t="shared" ref="W770:W833" si="128">(S770-$AA$11)/$AA$13</f>
        <v>0.15903881770444289</v>
      </c>
      <c r="X770" s="8" t="str">
        <f t="shared" ref="X770:X833" si="129">IF(ABS(W770)&gt;2,"Peak","Normal")</f>
        <v>Normal</v>
      </c>
    </row>
    <row r="771" spans="1:24" x14ac:dyDescent="0.25">
      <c r="A771" s="6">
        <v>770</v>
      </c>
      <c r="B771" s="7">
        <v>40578</v>
      </c>
      <c r="C771" s="6">
        <v>2</v>
      </c>
      <c r="D771" s="6" t="str">
        <f t="shared" si="120"/>
        <v>february</v>
      </c>
      <c r="E771" s="6">
        <v>12</v>
      </c>
      <c r="F771" s="6" t="str">
        <f t="shared" si="121"/>
        <v>Afternoon</v>
      </c>
      <c r="G771" s="6" t="b">
        <v>0</v>
      </c>
      <c r="H771" s="6">
        <f t="shared" si="122"/>
        <v>0</v>
      </c>
      <c r="I771" s="6">
        <v>5</v>
      </c>
      <c r="J771" s="6" t="str">
        <f t="shared" si="123"/>
        <v>Friday</v>
      </c>
      <c r="K771" s="6">
        <f t="shared" si="124"/>
        <v>0</v>
      </c>
      <c r="L771" s="6">
        <v>2</v>
      </c>
      <c r="M771" s="6" t="str">
        <f t="shared" si="125"/>
        <v>Cloudy</v>
      </c>
      <c r="N771" s="8">
        <v>0.24</v>
      </c>
      <c r="O771" s="8">
        <v>0.2424</v>
      </c>
      <c r="P771" s="8">
        <v>0.48</v>
      </c>
      <c r="Q771" s="8">
        <v>0.16420000000000001</v>
      </c>
      <c r="R771" s="6">
        <v>8</v>
      </c>
      <c r="S771" s="6">
        <v>78</v>
      </c>
      <c r="T771" s="6">
        <v>86</v>
      </c>
      <c r="U771" s="8">
        <f t="shared" si="126"/>
        <v>0.40280491649409061</v>
      </c>
      <c r="V771" s="8" t="str">
        <f t="shared" si="127"/>
        <v>Normal</v>
      </c>
      <c r="W771" s="8">
        <f t="shared" si="128"/>
        <v>0.51398957272289236</v>
      </c>
      <c r="X771" s="8" t="str">
        <f t="shared" si="129"/>
        <v>Normal</v>
      </c>
    </row>
    <row r="772" spans="1:24" x14ac:dyDescent="0.25">
      <c r="A772" s="6">
        <v>771</v>
      </c>
      <c r="B772" s="7">
        <v>40578</v>
      </c>
      <c r="C772" s="6">
        <v>2</v>
      </c>
      <c r="D772" s="6" t="str">
        <f t="shared" si="120"/>
        <v>february</v>
      </c>
      <c r="E772" s="6">
        <v>13</v>
      </c>
      <c r="F772" s="6" t="str">
        <f t="shared" si="121"/>
        <v>Afternoon</v>
      </c>
      <c r="G772" s="6" t="b">
        <v>0</v>
      </c>
      <c r="H772" s="6">
        <f t="shared" si="122"/>
        <v>0</v>
      </c>
      <c r="I772" s="6">
        <v>5</v>
      </c>
      <c r="J772" s="6" t="str">
        <f t="shared" si="123"/>
        <v>Friday</v>
      </c>
      <c r="K772" s="6">
        <f t="shared" si="124"/>
        <v>0</v>
      </c>
      <c r="L772" s="6">
        <v>2</v>
      </c>
      <c r="M772" s="6" t="str">
        <f t="shared" si="125"/>
        <v>Cloudy</v>
      </c>
      <c r="N772" s="8">
        <v>0.26</v>
      </c>
      <c r="O772" s="8">
        <v>0.2576</v>
      </c>
      <c r="P772" s="8">
        <v>0.5</v>
      </c>
      <c r="Q772" s="8">
        <v>0.22389999999999999</v>
      </c>
      <c r="R772" s="6">
        <v>9</v>
      </c>
      <c r="S772" s="6">
        <v>73</v>
      </c>
      <c r="T772" s="6">
        <v>82</v>
      </c>
      <c r="U772" s="8">
        <f t="shared" si="126"/>
        <v>0.53362820863247673</v>
      </c>
      <c r="V772" s="8" t="str">
        <f t="shared" si="127"/>
        <v>Normal</v>
      </c>
      <c r="W772" s="8">
        <f t="shared" si="128"/>
        <v>0.40959229183511314</v>
      </c>
      <c r="X772" s="8" t="str">
        <f t="shared" si="129"/>
        <v>Normal</v>
      </c>
    </row>
    <row r="773" spans="1:24" x14ac:dyDescent="0.25">
      <c r="A773" s="6">
        <v>772</v>
      </c>
      <c r="B773" s="7">
        <v>40578</v>
      </c>
      <c r="C773" s="6">
        <v>2</v>
      </c>
      <c r="D773" s="6" t="str">
        <f t="shared" si="120"/>
        <v>february</v>
      </c>
      <c r="E773" s="6">
        <v>14</v>
      </c>
      <c r="F773" s="6" t="str">
        <f t="shared" si="121"/>
        <v>Afternoon</v>
      </c>
      <c r="G773" s="6" t="b">
        <v>0</v>
      </c>
      <c r="H773" s="6">
        <f t="shared" si="122"/>
        <v>0</v>
      </c>
      <c r="I773" s="6">
        <v>5</v>
      </c>
      <c r="J773" s="6" t="str">
        <f t="shared" si="123"/>
        <v>Friday</v>
      </c>
      <c r="K773" s="6">
        <f t="shared" si="124"/>
        <v>0</v>
      </c>
      <c r="L773" s="6">
        <v>2</v>
      </c>
      <c r="M773" s="6" t="str">
        <f t="shared" si="125"/>
        <v>Cloudy</v>
      </c>
      <c r="N773" s="8">
        <v>0.28000000000000003</v>
      </c>
      <c r="O773" s="8">
        <v>0.2727</v>
      </c>
      <c r="P773" s="8">
        <v>0.45</v>
      </c>
      <c r="Q773" s="8">
        <v>0.16420000000000001</v>
      </c>
      <c r="R773" s="6">
        <v>15</v>
      </c>
      <c r="S773" s="6">
        <v>76</v>
      </c>
      <c r="T773" s="6">
        <v>91</v>
      </c>
      <c r="U773" s="8">
        <f t="shared" si="126"/>
        <v>1.3185679614627932</v>
      </c>
      <c r="V773" s="8" t="str">
        <f t="shared" si="127"/>
        <v>Normal</v>
      </c>
      <c r="W773" s="8">
        <f t="shared" si="128"/>
        <v>0.47223066036778072</v>
      </c>
      <c r="X773" s="8" t="str">
        <f t="shared" si="129"/>
        <v>Normal</v>
      </c>
    </row>
    <row r="774" spans="1:24" x14ac:dyDescent="0.25">
      <c r="A774" s="6">
        <v>773</v>
      </c>
      <c r="B774" s="7">
        <v>40578</v>
      </c>
      <c r="C774" s="6">
        <v>2</v>
      </c>
      <c r="D774" s="6" t="str">
        <f t="shared" si="120"/>
        <v>february</v>
      </c>
      <c r="E774" s="6">
        <v>15</v>
      </c>
      <c r="F774" s="6" t="str">
        <f t="shared" si="121"/>
        <v>Afternoon</v>
      </c>
      <c r="G774" s="6" t="b">
        <v>0</v>
      </c>
      <c r="H774" s="6">
        <f t="shared" si="122"/>
        <v>0</v>
      </c>
      <c r="I774" s="6">
        <v>5</v>
      </c>
      <c r="J774" s="6" t="str">
        <f t="shared" si="123"/>
        <v>Friday</v>
      </c>
      <c r="K774" s="6">
        <f t="shared" si="124"/>
        <v>0</v>
      </c>
      <c r="L774" s="6">
        <v>2</v>
      </c>
      <c r="M774" s="6" t="str">
        <f t="shared" si="125"/>
        <v>Cloudy</v>
      </c>
      <c r="N774" s="8">
        <v>0.28000000000000003</v>
      </c>
      <c r="O774" s="8">
        <v>0.2727</v>
      </c>
      <c r="P774" s="8">
        <v>0.48</v>
      </c>
      <c r="Q774" s="8">
        <v>0.25369999999999998</v>
      </c>
      <c r="R774" s="6">
        <v>9</v>
      </c>
      <c r="S774" s="6">
        <v>81</v>
      </c>
      <c r="T774" s="6">
        <v>90</v>
      </c>
      <c r="U774" s="8">
        <f t="shared" si="126"/>
        <v>0.53362820863247673</v>
      </c>
      <c r="V774" s="8" t="str">
        <f t="shared" si="127"/>
        <v>Normal</v>
      </c>
      <c r="W774" s="8">
        <f t="shared" si="128"/>
        <v>0.57662794125555994</v>
      </c>
      <c r="X774" s="8" t="str">
        <f t="shared" si="129"/>
        <v>Normal</v>
      </c>
    </row>
    <row r="775" spans="1:24" x14ac:dyDescent="0.25">
      <c r="A775" s="6">
        <v>774</v>
      </c>
      <c r="B775" s="7">
        <v>40578</v>
      </c>
      <c r="C775" s="6">
        <v>2</v>
      </c>
      <c r="D775" s="6" t="str">
        <f t="shared" si="120"/>
        <v>february</v>
      </c>
      <c r="E775" s="6">
        <v>16</v>
      </c>
      <c r="F775" s="6" t="str">
        <f t="shared" si="121"/>
        <v>Afternoon</v>
      </c>
      <c r="G775" s="6" t="b">
        <v>0</v>
      </c>
      <c r="H775" s="6">
        <f t="shared" si="122"/>
        <v>0</v>
      </c>
      <c r="I775" s="6">
        <v>5</v>
      </c>
      <c r="J775" s="6" t="str">
        <f t="shared" si="123"/>
        <v>Friday</v>
      </c>
      <c r="K775" s="6">
        <f t="shared" si="124"/>
        <v>0</v>
      </c>
      <c r="L775" s="6">
        <v>2</v>
      </c>
      <c r="M775" s="6" t="str">
        <f t="shared" si="125"/>
        <v>Cloudy</v>
      </c>
      <c r="N775" s="8">
        <v>0.3</v>
      </c>
      <c r="O775" s="8">
        <v>0.28789999999999999</v>
      </c>
      <c r="P775" s="8">
        <v>0.42</v>
      </c>
      <c r="Q775" s="8">
        <v>0.22389999999999999</v>
      </c>
      <c r="R775" s="6">
        <v>8</v>
      </c>
      <c r="S775" s="6">
        <v>91</v>
      </c>
      <c r="T775" s="6">
        <v>99</v>
      </c>
      <c r="U775" s="8">
        <f t="shared" si="126"/>
        <v>0.40280491649409061</v>
      </c>
      <c r="V775" s="8" t="str">
        <f t="shared" si="127"/>
        <v>Normal</v>
      </c>
      <c r="W775" s="8">
        <f t="shared" si="128"/>
        <v>0.78542250303111849</v>
      </c>
      <c r="X775" s="8" t="str">
        <f t="shared" si="129"/>
        <v>Normal</v>
      </c>
    </row>
    <row r="776" spans="1:24" x14ac:dyDescent="0.25">
      <c r="A776" s="6">
        <v>775</v>
      </c>
      <c r="B776" s="7">
        <v>40578</v>
      </c>
      <c r="C776" s="6">
        <v>2</v>
      </c>
      <c r="D776" s="6" t="str">
        <f t="shared" si="120"/>
        <v>february</v>
      </c>
      <c r="E776" s="6">
        <v>17</v>
      </c>
      <c r="F776" s="6" t="str">
        <f t="shared" si="121"/>
        <v>Evening</v>
      </c>
      <c r="G776" s="6" t="b">
        <v>0</v>
      </c>
      <c r="H776" s="6">
        <f t="shared" si="122"/>
        <v>0</v>
      </c>
      <c r="I776" s="6">
        <v>5</v>
      </c>
      <c r="J776" s="6" t="str">
        <f t="shared" si="123"/>
        <v>Friday</v>
      </c>
      <c r="K776" s="6">
        <f t="shared" si="124"/>
        <v>0</v>
      </c>
      <c r="L776" s="6">
        <v>2</v>
      </c>
      <c r="M776" s="6" t="str">
        <f t="shared" si="125"/>
        <v>Cloudy</v>
      </c>
      <c r="N776" s="8">
        <v>0.26</v>
      </c>
      <c r="O776" s="8">
        <v>0.2727</v>
      </c>
      <c r="P776" s="8">
        <v>0.56000000000000005</v>
      </c>
      <c r="Q776" s="8">
        <v>0.1343</v>
      </c>
      <c r="R776" s="6">
        <v>10</v>
      </c>
      <c r="S776" s="6">
        <v>195</v>
      </c>
      <c r="T776" s="6">
        <v>205</v>
      </c>
      <c r="U776" s="8">
        <f t="shared" si="126"/>
        <v>0.66445150077086279</v>
      </c>
      <c r="V776" s="8" t="str">
        <f t="shared" si="127"/>
        <v>Normal</v>
      </c>
      <c r="W776" s="8">
        <f t="shared" si="128"/>
        <v>2.9568859454969272</v>
      </c>
      <c r="X776" s="8" t="str">
        <f t="shared" si="129"/>
        <v>Peak</v>
      </c>
    </row>
    <row r="777" spans="1:24" x14ac:dyDescent="0.25">
      <c r="A777" s="6">
        <v>776</v>
      </c>
      <c r="B777" s="7">
        <v>40578</v>
      </c>
      <c r="C777" s="6">
        <v>2</v>
      </c>
      <c r="D777" s="6" t="str">
        <f t="shared" si="120"/>
        <v>february</v>
      </c>
      <c r="E777" s="6">
        <v>18</v>
      </c>
      <c r="F777" s="6" t="str">
        <f t="shared" si="121"/>
        <v>Evening</v>
      </c>
      <c r="G777" s="6" t="b">
        <v>0</v>
      </c>
      <c r="H777" s="6">
        <f t="shared" si="122"/>
        <v>0</v>
      </c>
      <c r="I777" s="6">
        <v>5</v>
      </c>
      <c r="J777" s="6" t="str">
        <f t="shared" si="123"/>
        <v>Friday</v>
      </c>
      <c r="K777" s="6">
        <f t="shared" si="124"/>
        <v>0</v>
      </c>
      <c r="L777" s="6">
        <v>2</v>
      </c>
      <c r="M777" s="6" t="str">
        <f t="shared" si="125"/>
        <v>Cloudy</v>
      </c>
      <c r="N777" s="8">
        <v>0.24</v>
      </c>
      <c r="O777" s="8">
        <v>0.2576</v>
      </c>
      <c r="P777" s="8">
        <v>0.6</v>
      </c>
      <c r="Q777" s="8">
        <v>0.1045</v>
      </c>
      <c r="R777" s="6">
        <v>3</v>
      </c>
      <c r="S777" s="6">
        <v>152</v>
      </c>
      <c r="T777" s="6">
        <v>155</v>
      </c>
      <c r="U777" s="8">
        <f t="shared" si="126"/>
        <v>-0.25131154419783963</v>
      </c>
      <c r="V777" s="8" t="str">
        <f t="shared" si="127"/>
        <v>Normal</v>
      </c>
      <c r="W777" s="8">
        <f t="shared" si="128"/>
        <v>2.0590693298620253</v>
      </c>
      <c r="X777" s="8" t="str">
        <f t="shared" si="129"/>
        <v>Peak</v>
      </c>
    </row>
    <row r="778" spans="1:24" x14ac:dyDescent="0.25">
      <c r="A778" s="6">
        <v>777</v>
      </c>
      <c r="B778" s="7">
        <v>40578</v>
      </c>
      <c r="C778" s="6">
        <v>2</v>
      </c>
      <c r="D778" s="6" t="str">
        <f t="shared" si="120"/>
        <v>february</v>
      </c>
      <c r="E778" s="6">
        <v>19</v>
      </c>
      <c r="F778" s="6" t="str">
        <f t="shared" si="121"/>
        <v>Evening</v>
      </c>
      <c r="G778" s="6" t="b">
        <v>0</v>
      </c>
      <c r="H778" s="6">
        <f t="shared" si="122"/>
        <v>0</v>
      </c>
      <c r="I778" s="6">
        <v>5</v>
      </c>
      <c r="J778" s="6" t="str">
        <f t="shared" si="123"/>
        <v>Friday</v>
      </c>
      <c r="K778" s="6">
        <f t="shared" si="124"/>
        <v>0</v>
      </c>
      <c r="L778" s="6">
        <v>2</v>
      </c>
      <c r="M778" s="6" t="str">
        <f t="shared" si="125"/>
        <v>Cloudy</v>
      </c>
      <c r="N778" s="8">
        <v>0.24</v>
      </c>
      <c r="O778" s="8">
        <v>0.2424</v>
      </c>
      <c r="P778" s="8">
        <v>0.65</v>
      </c>
      <c r="Q778" s="8">
        <v>0.1343</v>
      </c>
      <c r="R778" s="6">
        <v>1</v>
      </c>
      <c r="S778" s="6">
        <v>102</v>
      </c>
      <c r="T778" s="6">
        <v>103</v>
      </c>
      <c r="U778" s="8">
        <f t="shared" si="126"/>
        <v>-0.51295812847461175</v>
      </c>
      <c r="V778" s="8" t="str">
        <f t="shared" si="127"/>
        <v>Normal</v>
      </c>
      <c r="W778" s="8">
        <f t="shared" si="128"/>
        <v>1.0150965209842329</v>
      </c>
      <c r="X778" s="8" t="str">
        <f t="shared" si="129"/>
        <v>Normal</v>
      </c>
    </row>
    <row r="779" spans="1:24" x14ac:dyDescent="0.25">
      <c r="A779" s="6">
        <v>778</v>
      </c>
      <c r="B779" s="7">
        <v>40578</v>
      </c>
      <c r="C779" s="6">
        <v>2</v>
      </c>
      <c r="D779" s="6" t="str">
        <f t="shared" si="120"/>
        <v>february</v>
      </c>
      <c r="E779" s="6">
        <v>20</v>
      </c>
      <c r="F779" s="6" t="str">
        <f t="shared" si="121"/>
        <v>Evening</v>
      </c>
      <c r="G779" s="6" t="b">
        <v>0</v>
      </c>
      <c r="H779" s="6">
        <f t="shared" si="122"/>
        <v>0</v>
      </c>
      <c r="I779" s="6">
        <v>5</v>
      </c>
      <c r="J779" s="6" t="str">
        <f t="shared" si="123"/>
        <v>Friday</v>
      </c>
      <c r="K779" s="6">
        <f t="shared" si="124"/>
        <v>0</v>
      </c>
      <c r="L779" s="6">
        <v>2</v>
      </c>
      <c r="M779" s="6" t="str">
        <f t="shared" si="125"/>
        <v>Cloudy</v>
      </c>
      <c r="N779" s="8">
        <v>0.24</v>
      </c>
      <c r="O779" s="8">
        <v>0.2424</v>
      </c>
      <c r="P779" s="8">
        <v>0.65</v>
      </c>
      <c r="Q779" s="8">
        <v>0.16420000000000001</v>
      </c>
      <c r="R779" s="6">
        <v>2</v>
      </c>
      <c r="S779" s="6">
        <v>69</v>
      </c>
      <c r="T779" s="6">
        <v>71</v>
      </c>
      <c r="U779" s="8">
        <f t="shared" si="126"/>
        <v>-0.38213483633622569</v>
      </c>
      <c r="V779" s="8" t="str">
        <f t="shared" si="127"/>
        <v>Normal</v>
      </c>
      <c r="W779" s="8">
        <f t="shared" si="128"/>
        <v>0.32607446712488969</v>
      </c>
      <c r="X779" s="8" t="str">
        <f t="shared" si="129"/>
        <v>Normal</v>
      </c>
    </row>
    <row r="780" spans="1:24" x14ac:dyDescent="0.25">
      <c r="A780" s="6">
        <v>779</v>
      </c>
      <c r="B780" s="7">
        <v>40578</v>
      </c>
      <c r="C780" s="6">
        <v>2</v>
      </c>
      <c r="D780" s="6" t="str">
        <f t="shared" si="120"/>
        <v>february</v>
      </c>
      <c r="E780" s="6">
        <v>21</v>
      </c>
      <c r="F780" s="6" t="str">
        <f t="shared" si="121"/>
        <v>Night</v>
      </c>
      <c r="G780" s="6" t="b">
        <v>0</v>
      </c>
      <c r="H780" s="6">
        <f t="shared" si="122"/>
        <v>0</v>
      </c>
      <c r="I780" s="6">
        <v>5</v>
      </c>
      <c r="J780" s="6" t="str">
        <f t="shared" si="123"/>
        <v>Friday</v>
      </c>
      <c r="K780" s="6">
        <f t="shared" si="124"/>
        <v>0</v>
      </c>
      <c r="L780" s="6">
        <v>2</v>
      </c>
      <c r="M780" s="6" t="str">
        <f t="shared" si="125"/>
        <v>Cloudy</v>
      </c>
      <c r="N780" s="8">
        <v>0.24</v>
      </c>
      <c r="O780" s="8">
        <v>0.2424</v>
      </c>
      <c r="P780" s="8">
        <v>0.7</v>
      </c>
      <c r="Q780" s="8">
        <v>0.16420000000000001</v>
      </c>
      <c r="R780" s="6">
        <v>2</v>
      </c>
      <c r="S780" s="6">
        <v>41</v>
      </c>
      <c r="T780" s="6">
        <v>43</v>
      </c>
      <c r="U780" s="8">
        <f t="shared" si="126"/>
        <v>-0.38213483633622569</v>
      </c>
      <c r="V780" s="8" t="str">
        <f t="shared" si="127"/>
        <v>Normal</v>
      </c>
      <c r="W780" s="8">
        <f t="shared" si="128"/>
        <v>-0.25855030584667421</v>
      </c>
      <c r="X780" s="8" t="str">
        <f t="shared" si="129"/>
        <v>Normal</v>
      </c>
    </row>
    <row r="781" spans="1:24" x14ac:dyDescent="0.25">
      <c r="A781" s="6">
        <v>780</v>
      </c>
      <c r="B781" s="7">
        <v>40578</v>
      </c>
      <c r="C781" s="6">
        <v>2</v>
      </c>
      <c r="D781" s="6" t="str">
        <f t="shared" si="120"/>
        <v>february</v>
      </c>
      <c r="E781" s="6">
        <v>22</v>
      </c>
      <c r="F781" s="6" t="str">
        <f t="shared" si="121"/>
        <v>Night</v>
      </c>
      <c r="G781" s="6" t="b">
        <v>0</v>
      </c>
      <c r="H781" s="6">
        <f t="shared" si="122"/>
        <v>0</v>
      </c>
      <c r="I781" s="6">
        <v>5</v>
      </c>
      <c r="J781" s="6" t="str">
        <f t="shared" si="123"/>
        <v>Friday</v>
      </c>
      <c r="K781" s="6">
        <f t="shared" si="124"/>
        <v>0</v>
      </c>
      <c r="L781" s="6">
        <v>2</v>
      </c>
      <c r="M781" s="6" t="str">
        <f t="shared" si="125"/>
        <v>Cloudy</v>
      </c>
      <c r="N781" s="8">
        <v>0.24</v>
      </c>
      <c r="O781" s="8">
        <v>0.2424</v>
      </c>
      <c r="P781" s="8">
        <v>0.65</v>
      </c>
      <c r="Q781" s="8">
        <v>0.16420000000000001</v>
      </c>
      <c r="R781" s="6">
        <v>1</v>
      </c>
      <c r="S781" s="6">
        <v>45</v>
      </c>
      <c r="T781" s="6">
        <v>46</v>
      </c>
      <c r="U781" s="8">
        <f t="shared" si="126"/>
        <v>-0.51295812847461175</v>
      </c>
      <c r="V781" s="8" t="str">
        <f t="shared" si="127"/>
        <v>Normal</v>
      </c>
      <c r="W781" s="8">
        <f t="shared" si="128"/>
        <v>-0.17503248113645078</v>
      </c>
      <c r="X781" s="8" t="str">
        <f t="shared" si="129"/>
        <v>Normal</v>
      </c>
    </row>
    <row r="782" spans="1:24" x14ac:dyDescent="0.25">
      <c r="A782" s="6">
        <v>781</v>
      </c>
      <c r="B782" s="7">
        <v>40578</v>
      </c>
      <c r="C782" s="6">
        <v>2</v>
      </c>
      <c r="D782" s="6" t="str">
        <f t="shared" si="120"/>
        <v>february</v>
      </c>
      <c r="E782" s="6">
        <v>23</v>
      </c>
      <c r="F782" s="6" t="str">
        <f t="shared" si="121"/>
        <v>Night</v>
      </c>
      <c r="G782" s="6" t="b">
        <v>0</v>
      </c>
      <c r="H782" s="6">
        <f t="shared" si="122"/>
        <v>0</v>
      </c>
      <c r="I782" s="6">
        <v>5</v>
      </c>
      <c r="J782" s="6" t="str">
        <f t="shared" si="123"/>
        <v>Friday</v>
      </c>
      <c r="K782" s="6">
        <f t="shared" si="124"/>
        <v>0</v>
      </c>
      <c r="L782" s="6">
        <v>2</v>
      </c>
      <c r="M782" s="6" t="str">
        <f t="shared" si="125"/>
        <v>Cloudy</v>
      </c>
      <c r="N782" s="8">
        <v>0.24</v>
      </c>
      <c r="O782" s="8">
        <v>0.2424</v>
      </c>
      <c r="P782" s="8">
        <v>0.7</v>
      </c>
      <c r="Q782" s="8">
        <v>0.1343</v>
      </c>
      <c r="R782" s="6">
        <v>1</v>
      </c>
      <c r="S782" s="6">
        <v>30</v>
      </c>
      <c r="T782" s="6">
        <v>31</v>
      </c>
      <c r="U782" s="8">
        <f t="shared" si="126"/>
        <v>-0.51295812847461175</v>
      </c>
      <c r="V782" s="8" t="str">
        <f t="shared" si="127"/>
        <v>Normal</v>
      </c>
      <c r="W782" s="8">
        <f t="shared" si="128"/>
        <v>-0.48822432379978858</v>
      </c>
      <c r="X782" s="8" t="str">
        <f t="shared" si="129"/>
        <v>Normal</v>
      </c>
    </row>
    <row r="783" spans="1:24" x14ac:dyDescent="0.25">
      <c r="A783" s="6">
        <v>782</v>
      </c>
      <c r="B783" s="7">
        <v>40579</v>
      </c>
      <c r="C783" s="6">
        <v>2</v>
      </c>
      <c r="D783" s="6" t="str">
        <f t="shared" si="120"/>
        <v>february</v>
      </c>
      <c r="E783" s="6">
        <v>0</v>
      </c>
      <c r="F783" s="6" t="str">
        <f t="shared" si="121"/>
        <v>Night</v>
      </c>
      <c r="G783" s="6" t="b">
        <v>0</v>
      </c>
      <c r="H783" s="6">
        <f t="shared" si="122"/>
        <v>0</v>
      </c>
      <c r="I783" s="6">
        <v>6</v>
      </c>
      <c r="J783" s="6" t="str">
        <f t="shared" si="123"/>
        <v>Saturday</v>
      </c>
      <c r="K783" s="6">
        <f t="shared" si="124"/>
        <v>1</v>
      </c>
      <c r="L783" s="6">
        <v>2</v>
      </c>
      <c r="M783" s="6" t="str">
        <f t="shared" si="125"/>
        <v>Cloudy</v>
      </c>
      <c r="N783" s="8">
        <v>0.24</v>
      </c>
      <c r="O783" s="8">
        <v>0.2424</v>
      </c>
      <c r="P783" s="8">
        <v>0.7</v>
      </c>
      <c r="Q783" s="8">
        <v>0.16420000000000001</v>
      </c>
      <c r="R783" s="6">
        <v>3</v>
      </c>
      <c r="S783" s="6">
        <v>36</v>
      </c>
      <c r="T783" s="6">
        <v>39</v>
      </c>
      <c r="U783" s="8">
        <f t="shared" si="126"/>
        <v>-0.25131154419783963</v>
      </c>
      <c r="V783" s="8" t="str">
        <f t="shared" si="127"/>
        <v>Normal</v>
      </c>
      <c r="W783" s="8">
        <f t="shared" si="128"/>
        <v>-0.36294758673445349</v>
      </c>
      <c r="X783" s="8" t="str">
        <f t="shared" si="129"/>
        <v>Normal</v>
      </c>
    </row>
    <row r="784" spans="1:24" x14ac:dyDescent="0.25">
      <c r="A784" s="6">
        <v>783</v>
      </c>
      <c r="B784" s="7">
        <v>40579</v>
      </c>
      <c r="C784" s="6">
        <v>2</v>
      </c>
      <c r="D784" s="6" t="str">
        <f t="shared" si="120"/>
        <v>february</v>
      </c>
      <c r="E784" s="6">
        <v>1</v>
      </c>
      <c r="F784" s="6" t="str">
        <f t="shared" si="121"/>
        <v>Night</v>
      </c>
      <c r="G784" s="6" t="b">
        <v>0</v>
      </c>
      <c r="H784" s="6">
        <f t="shared" si="122"/>
        <v>0</v>
      </c>
      <c r="I784" s="6">
        <v>6</v>
      </c>
      <c r="J784" s="6" t="str">
        <f t="shared" si="123"/>
        <v>Saturday</v>
      </c>
      <c r="K784" s="6">
        <f t="shared" si="124"/>
        <v>1</v>
      </c>
      <c r="L784" s="6">
        <v>2</v>
      </c>
      <c r="M784" s="6" t="str">
        <f t="shared" si="125"/>
        <v>Cloudy</v>
      </c>
      <c r="N784" s="8">
        <v>0.24</v>
      </c>
      <c r="O784" s="8">
        <v>0.2424</v>
      </c>
      <c r="P784" s="8">
        <v>0.65</v>
      </c>
      <c r="Q784" s="8">
        <v>0.16420000000000001</v>
      </c>
      <c r="R784" s="6">
        <v>1</v>
      </c>
      <c r="S784" s="6">
        <v>17</v>
      </c>
      <c r="T784" s="6">
        <v>18</v>
      </c>
      <c r="U784" s="8">
        <f t="shared" si="126"/>
        <v>-0.51295812847461175</v>
      </c>
      <c r="V784" s="8" t="str">
        <f t="shared" si="127"/>
        <v>Normal</v>
      </c>
      <c r="W784" s="8">
        <f t="shared" si="128"/>
        <v>-0.75965725410801466</v>
      </c>
      <c r="X784" s="8" t="str">
        <f t="shared" si="129"/>
        <v>Normal</v>
      </c>
    </row>
    <row r="785" spans="1:24" x14ac:dyDescent="0.25">
      <c r="A785" s="6">
        <v>784</v>
      </c>
      <c r="B785" s="7">
        <v>40579</v>
      </c>
      <c r="C785" s="6">
        <v>2</v>
      </c>
      <c r="D785" s="6" t="str">
        <f t="shared" si="120"/>
        <v>february</v>
      </c>
      <c r="E785" s="6">
        <v>2</v>
      </c>
      <c r="F785" s="6" t="str">
        <f t="shared" si="121"/>
        <v>Night</v>
      </c>
      <c r="G785" s="6" t="b">
        <v>0</v>
      </c>
      <c r="H785" s="6">
        <f t="shared" si="122"/>
        <v>0</v>
      </c>
      <c r="I785" s="6">
        <v>6</v>
      </c>
      <c r="J785" s="6" t="str">
        <f t="shared" si="123"/>
        <v>Saturday</v>
      </c>
      <c r="K785" s="6">
        <f t="shared" si="124"/>
        <v>1</v>
      </c>
      <c r="L785" s="6">
        <v>2</v>
      </c>
      <c r="M785" s="6" t="str">
        <f t="shared" si="125"/>
        <v>Cloudy</v>
      </c>
      <c r="N785" s="8">
        <v>0.24</v>
      </c>
      <c r="O785" s="8">
        <v>0.2424</v>
      </c>
      <c r="P785" s="8">
        <v>0.75</v>
      </c>
      <c r="Q785" s="8">
        <v>0.16420000000000001</v>
      </c>
      <c r="R785" s="6">
        <v>5</v>
      </c>
      <c r="S785" s="6">
        <v>12</v>
      </c>
      <c r="T785" s="6">
        <v>17</v>
      </c>
      <c r="U785" s="8">
        <f t="shared" si="126"/>
        <v>1.0335040078932463E-2</v>
      </c>
      <c r="V785" s="8" t="str">
        <f t="shared" si="127"/>
        <v>Normal</v>
      </c>
      <c r="W785" s="8">
        <f t="shared" si="128"/>
        <v>-0.86405453499579399</v>
      </c>
      <c r="X785" s="8" t="str">
        <f t="shared" si="129"/>
        <v>Normal</v>
      </c>
    </row>
    <row r="786" spans="1:24" x14ac:dyDescent="0.25">
      <c r="A786" s="6">
        <v>785</v>
      </c>
      <c r="B786" s="7">
        <v>40579</v>
      </c>
      <c r="C786" s="6">
        <v>2</v>
      </c>
      <c r="D786" s="6" t="str">
        <f t="shared" si="120"/>
        <v>february</v>
      </c>
      <c r="E786" s="6">
        <v>3</v>
      </c>
      <c r="F786" s="6" t="str">
        <f t="shared" si="121"/>
        <v>Night</v>
      </c>
      <c r="G786" s="6" t="b">
        <v>0</v>
      </c>
      <c r="H786" s="6">
        <f t="shared" si="122"/>
        <v>0</v>
      </c>
      <c r="I786" s="6">
        <v>6</v>
      </c>
      <c r="J786" s="6" t="str">
        <f t="shared" si="123"/>
        <v>Saturday</v>
      </c>
      <c r="K786" s="6">
        <f t="shared" si="124"/>
        <v>1</v>
      </c>
      <c r="L786" s="6">
        <v>2</v>
      </c>
      <c r="M786" s="6" t="str">
        <f t="shared" si="125"/>
        <v>Cloudy</v>
      </c>
      <c r="N786" s="8">
        <v>0.24</v>
      </c>
      <c r="O786" s="8">
        <v>0.2424</v>
      </c>
      <c r="P786" s="8">
        <v>0.75</v>
      </c>
      <c r="Q786" s="8">
        <v>0.16420000000000001</v>
      </c>
      <c r="R786" s="6">
        <v>1</v>
      </c>
      <c r="S786" s="6">
        <v>10</v>
      </c>
      <c r="T786" s="6">
        <v>11</v>
      </c>
      <c r="U786" s="8">
        <f t="shared" si="126"/>
        <v>-0.51295812847461175</v>
      </c>
      <c r="V786" s="8" t="str">
        <f t="shared" si="127"/>
        <v>Normal</v>
      </c>
      <c r="W786" s="8">
        <f t="shared" si="128"/>
        <v>-0.90581344735090563</v>
      </c>
      <c r="X786" s="8" t="str">
        <f t="shared" si="129"/>
        <v>Normal</v>
      </c>
    </row>
    <row r="787" spans="1:24" x14ac:dyDescent="0.25">
      <c r="A787" s="6">
        <v>786</v>
      </c>
      <c r="B787" s="7">
        <v>40579</v>
      </c>
      <c r="C787" s="6">
        <v>2</v>
      </c>
      <c r="D787" s="6" t="str">
        <f t="shared" si="120"/>
        <v>february</v>
      </c>
      <c r="E787" s="6">
        <v>4</v>
      </c>
      <c r="F787" s="6" t="str">
        <f t="shared" si="121"/>
        <v>Night</v>
      </c>
      <c r="G787" s="6" t="b">
        <v>0</v>
      </c>
      <c r="H787" s="6">
        <f t="shared" si="122"/>
        <v>0</v>
      </c>
      <c r="I787" s="6">
        <v>6</v>
      </c>
      <c r="J787" s="6" t="str">
        <f t="shared" si="123"/>
        <v>Saturday</v>
      </c>
      <c r="K787" s="6">
        <f t="shared" si="124"/>
        <v>1</v>
      </c>
      <c r="L787" s="6">
        <v>3</v>
      </c>
      <c r="M787" s="6" t="str">
        <f t="shared" si="125"/>
        <v>Light rain</v>
      </c>
      <c r="N787" s="8">
        <v>0.22</v>
      </c>
      <c r="O787" s="8">
        <v>0.2273</v>
      </c>
      <c r="P787" s="8">
        <v>0.93</v>
      </c>
      <c r="Q787" s="8">
        <v>0.1343</v>
      </c>
      <c r="R787" s="6">
        <v>0</v>
      </c>
      <c r="S787" s="6">
        <v>8</v>
      </c>
      <c r="T787" s="6">
        <v>8</v>
      </c>
      <c r="U787" s="8">
        <f t="shared" si="126"/>
        <v>-0.64378142061299781</v>
      </c>
      <c r="V787" s="8" t="str">
        <f t="shared" si="127"/>
        <v>Normal</v>
      </c>
      <c r="W787" s="8">
        <f t="shared" si="128"/>
        <v>-0.94757235970601739</v>
      </c>
      <c r="X787" s="8" t="str">
        <f t="shared" si="129"/>
        <v>Normal</v>
      </c>
    </row>
    <row r="788" spans="1:24" x14ac:dyDescent="0.25">
      <c r="A788" s="6">
        <v>787</v>
      </c>
      <c r="B788" s="7">
        <v>40579</v>
      </c>
      <c r="C788" s="6">
        <v>2</v>
      </c>
      <c r="D788" s="6" t="str">
        <f t="shared" si="120"/>
        <v>february</v>
      </c>
      <c r="E788" s="6">
        <v>5</v>
      </c>
      <c r="F788" s="6" t="str">
        <f t="shared" si="121"/>
        <v>Early Morning</v>
      </c>
      <c r="G788" s="6" t="b">
        <v>0</v>
      </c>
      <c r="H788" s="6">
        <f t="shared" si="122"/>
        <v>0</v>
      </c>
      <c r="I788" s="6">
        <v>6</v>
      </c>
      <c r="J788" s="6" t="str">
        <f t="shared" si="123"/>
        <v>Saturday</v>
      </c>
      <c r="K788" s="6">
        <f t="shared" si="124"/>
        <v>1</v>
      </c>
      <c r="L788" s="6">
        <v>3</v>
      </c>
      <c r="M788" s="6" t="str">
        <f t="shared" si="125"/>
        <v>Light rain</v>
      </c>
      <c r="N788" s="8">
        <v>0.2</v>
      </c>
      <c r="O788" s="8">
        <v>0.2273</v>
      </c>
      <c r="P788" s="8">
        <v>1</v>
      </c>
      <c r="Q788" s="8">
        <v>8.9599999999999999E-2</v>
      </c>
      <c r="R788" s="6">
        <v>0</v>
      </c>
      <c r="S788" s="6">
        <v>9</v>
      </c>
      <c r="T788" s="6">
        <v>9</v>
      </c>
      <c r="U788" s="8">
        <f t="shared" si="126"/>
        <v>-0.64378142061299781</v>
      </c>
      <c r="V788" s="8" t="str">
        <f t="shared" si="127"/>
        <v>Normal</v>
      </c>
      <c r="W788" s="8">
        <f t="shared" si="128"/>
        <v>-0.92669290352846156</v>
      </c>
      <c r="X788" s="8" t="str">
        <f t="shared" si="129"/>
        <v>Normal</v>
      </c>
    </row>
    <row r="789" spans="1:24" x14ac:dyDescent="0.25">
      <c r="A789" s="6">
        <v>788</v>
      </c>
      <c r="B789" s="7">
        <v>40579</v>
      </c>
      <c r="C789" s="6">
        <v>2</v>
      </c>
      <c r="D789" s="6" t="str">
        <f t="shared" si="120"/>
        <v>february</v>
      </c>
      <c r="E789" s="6">
        <v>6</v>
      </c>
      <c r="F789" s="6" t="str">
        <f t="shared" si="121"/>
        <v>Early Morning</v>
      </c>
      <c r="G789" s="6" t="b">
        <v>0</v>
      </c>
      <c r="H789" s="6">
        <f t="shared" si="122"/>
        <v>0</v>
      </c>
      <c r="I789" s="6">
        <v>6</v>
      </c>
      <c r="J789" s="6" t="str">
        <f t="shared" si="123"/>
        <v>Saturday</v>
      </c>
      <c r="K789" s="6">
        <f t="shared" si="124"/>
        <v>1</v>
      </c>
      <c r="L789" s="6">
        <v>3</v>
      </c>
      <c r="M789" s="6" t="str">
        <f t="shared" si="125"/>
        <v>Light rain</v>
      </c>
      <c r="N789" s="8">
        <v>0.2</v>
      </c>
      <c r="O789" s="8">
        <v>0.2576</v>
      </c>
      <c r="P789" s="8">
        <v>1</v>
      </c>
      <c r="Q789" s="8">
        <v>0</v>
      </c>
      <c r="R789" s="6">
        <v>0</v>
      </c>
      <c r="S789" s="6">
        <v>4</v>
      </c>
      <c r="T789" s="6">
        <v>4</v>
      </c>
      <c r="U789" s="8">
        <f t="shared" si="126"/>
        <v>-0.64378142061299781</v>
      </c>
      <c r="V789" s="8" t="str">
        <f t="shared" si="127"/>
        <v>Normal</v>
      </c>
      <c r="W789" s="8">
        <f t="shared" si="128"/>
        <v>-1.0310901844162408</v>
      </c>
      <c r="X789" s="8" t="str">
        <f t="shared" si="129"/>
        <v>Normal</v>
      </c>
    </row>
    <row r="790" spans="1:24" x14ac:dyDescent="0.25">
      <c r="A790" s="6">
        <v>789</v>
      </c>
      <c r="B790" s="7">
        <v>40579</v>
      </c>
      <c r="C790" s="6">
        <v>2</v>
      </c>
      <c r="D790" s="6" t="str">
        <f t="shared" si="120"/>
        <v>february</v>
      </c>
      <c r="E790" s="6">
        <v>7</v>
      </c>
      <c r="F790" s="6" t="str">
        <f t="shared" si="121"/>
        <v>Early Morning</v>
      </c>
      <c r="G790" s="6" t="b">
        <v>0</v>
      </c>
      <c r="H790" s="6">
        <f t="shared" si="122"/>
        <v>0</v>
      </c>
      <c r="I790" s="6">
        <v>6</v>
      </c>
      <c r="J790" s="6" t="str">
        <f t="shared" si="123"/>
        <v>Saturday</v>
      </c>
      <c r="K790" s="6">
        <f t="shared" si="124"/>
        <v>1</v>
      </c>
      <c r="L790" s="6">
        <v>3</v>
      </c>
      <c r="M790" s="6" t="str">
        <f t="shared" si="125"/>
        <v>Light rain</v>
      </c>
      <c r="N790" s="8">
        <v>0.22</v>
      </c>
      <c r="O790" s="8">
        <v>0.2576</v>
      </c>
      <c r="P790" s="8">
        <v>0.93</v>
      </c>
      <c r="Q790" s="8">
        <v>8.9599999999999999E-2</v>
      </c>
      <c r="R790" s="6">
        <v>0</v>
      </c>
      <c r="S790" s="6">
        <v>4</v>
      </c>
      <c r="T790" s="6">
        <v>4</v>
      </c>
      <c r="U790" s="8">
        <f t="shared" si="126"/>
        <v>-0.64378142061299781</v>
      </c>
      <c r="V790" s="8" t="str">
        <f t="shared" si="127"/>
        <v>Normal</v>
      </c>
      <c r="W790" s="8">
        <f t="shared" si="128"/>
        <v>-1.0310901844162408</v>
      </c>
      <c r="X790" s="8" t="str">
        <f t="shared" si="129"/>
        <v>Normal</v>
      </c>
    </row>
    <row r="791" spans="1:24" x14ac:dyDescent="0.25">
      <c r="A791" s="6">
        <v>790</v>
      </c>
      <c r="B791" s="7">
        <v>40579</v>
      </c>
      <c r="C791" s="6">
        <v>2</v>
      </c>
      <c r="D791" s="6" t="str">
        <f t="shared" si="120"/>
        <v>february</v>
      </c>
      <c r="E791" s="6">
        <v>8</v>
      </c>
      <c r="F791" s="6" t="str">
        <f t="shared" si="121"/>
        <v>Morning</v>
      </c>
      <c r="G791" s="6" t="b">
        <v>0</v>
      </c>
      <c r="H791" s="6">
        <f t="shared" si="122"/>
        <v>0</v>
      </c>
      <c r="I791" s="6">
        <v>6</v>
      </c>
      <c r="J791" s="6" t="str">
        <f t="shared" si="123"/>
        <v>Saturday</v>
      </c>
      <c r="K791" s="6">
        <f t="shared" si="124"/>
        <v>1</v>
      </c>
      <c r="L791" s="6">
        <v>3</v>
      </c>
      <c r="M791" s="6" t="str">
        <f t="shared" si="125"/>
        <v>Light rain</v>
      </c>
      <c r="N791" s="8">
        <v>0.2</v>
      </c>
      <c r="O791" s="8">
        <v>0.2273</v>
      </c>
      <c r="P791" s="8">
        <v>1</v>
      </c>
      <c r="Q791" s="8">
        <v>8.9599999999999999E-2</v>
      </c>
      <c r="R791" s="6">
        <v>0</v>
      </c>
      <c r="S791" s="6">
        <v>10</v>
      </c>
      <c r="T791" s="6">
        <v>10</v>
      </c>
      <c r="U791" s="8">
        <f t="shared" si="126"/>
        <v>-0.64378142061299781</v>
      </c>
      <c r="V791" s="8" t="str">
        <f t="shared" si="127"/>
        <v>Normal</v>
      </c>
      <c r="W791" s="8">
        <f t="shared" si="128"/>
        <v>-0.90581344735090563</v>
      </c>
      <c r="X791" s="8" t="str">
        <f t="shared" si="129"/>
        <v>Normal</v>
      </c>
    </row>
    <row r="792" spans="1:24" x14ac:dyDescent="0.25">
      <c r="A792" s="6">
        <v>791</v>
      </c>
      <c r="B792" s="7">
        <v>40579</v>
      </c>
      <c r="C792" s="6">
        <v>2</v>
      </c>
      <c r="D792" s="6" t="str">
        <f t="shared" si="120"/>
        <v>february</v>
      </c>
      <c r="E792" s="6">
        <v>9</v>
      </c>
      <c r="F792" s="6" t="str">
        <f t="shared" si="121"/>
        <v>Morning</v>
      </c>
      <c r="G792" s="6" t="b">
        <v>0</v>
      </c>
      <c r="H792" s="6">
        <f t="shared" si="122"/>
        <v>0</v>
      </c>
      <c r="I792" s="6">
        <v>6</v>
      </c>
      <c r="J792" s="6" t="str">
        <f t="shared" si="123"/>
        <v>Saturday</v>
      </c>
      <c r="K792" s="6">
        <f t="shared" si="124"/>
        <v>1</v>
      </c>
      <c r="L792" s="6">
        <v>3</v>
      </c>
      <c r="M792" s="6" t="str">
        <f t="shared" si="125"/>
        <v>Light rain</v>
      </c>
      <c r="N792" s="8">
        <v>0.2</v>
      </c>
      <c r="O792" s="8">
        <v>0.2273</v>
      </c>
      <c r="P792" s="8">
        <v>1</v>
      </c>
      <c r="Q792" s="8">
        <v>8.9599999999999999E-2</v>
      </c>
      <c r="R792" s="6">
        <v>3</v>
      </c>
      <c r="S792" s="6">
        <v>17</v>
      </c>
      <c r="T792" s="6">
        <v>20</v>
      </c>
      <c r="U792" s="8">
        <f t="shared" si="126"/>
        <v>-0.25131154419783963</v>
      </c>
      <c r="V792" s="8" t="str">
        <f t="shared" si="127"/>
        <v>Normal</v>
      </c>
      <c r="W792" s="8">
        <f t="shared" si="128"/>
        <v>-0.75965725410801466</v>
      </c>
      <c r="X792" s="8" t="str">
        <f t="shared" si="129"/>
        <v>Normal</v>
      </c>
    </row>
    <row r="793" spans="1:24" x14ac:dyDescent="0.25">
      <c r="A793" s="6">
        <v>792</v>
      </c>
      <c r="B793" s="7">
        <v>40579</v>
      </c>
      <c r="C793" s="6">
        <v>2</v>
      </c>
      <c r="D793" s="6" t="str">
        <f t="shared" si="120"/>
        <v>february</v>
      </c>
      <c r="E793" s="6">
        <v>10</v>
      </c>
      <c r="F793" s="6" t="str">
        <f t="shared" si="121"/>
        <v>Morning</v>
      </c>
      <c r="G793" s="6" t="b">
        <v>0</v>
      </c>
      <c r="H793" s="6">
        <f t="shared" si="122"/>
        <v>0</v>
      </c>
      <c r="I793" s="6">
        <v>6</v>
      </c>
      <c r="J793" s="6" t="str">
        <f t="shared" si="123"/>
        <v>Saturday</v>
      </c>
      <c r="K793" s="6">
        <f t="shared" si="124"/>
        <v>1</v>
      </c>
      <c r="L793" s="6">
        <v>3</v>
      </c>
      <c r="M793" s="6" t="str">
        <f t="shared" si="125"/>
        <v>Light rain</v>
      </c>
      <c r="N793" s="8">
        <v>0.2</v>
      </c>
      <c r="O793" s="8">
        <v>0.21210000000000001</v>
      </c>
      <c r="P793" s="8">
        <v>1</v>
      </c>
      <c r="Q793" s="8">
        <v>0.1343</v>
      </c>
      <c r="R793" s="6">
        <v>3</v>
      </c>
      <c r="S793" s="6">
        <v>31</v>
      </c>
      <c r="T793" s="6">
        <v>34</v>
      </c>
      <c r="U793" s="8">
        <f t="shared" si="126"/>
        <v>-0.25131154419783963</v>
      </c>
      <c r="V793" s="8" t="str">
        <f t="shared" si="127"/>
        <v>Normal</v>
      </c>
      <c r="W793" s="8">
        <f t="shared" si="128"/>
        <v>-0.46734486762223271</v>
      </c>
      <c r="X793" s="8" t="str">
        <f t="shared" si="129"/>
        <v>Normal</v>
      </c>
    </row>
    <row r="794" spans="1:24" x14ac:dyDescent="0.25">
      <c r="A794" s="6">
        <v>793</v>
      </c>
      <c r="B794" s="7">
        <v>40579</v>
      </c>
      <c r="C794" s="6">
        <v>2</v>
      </c>
      <c r="D794" s="6" t="str">
        <f t="shared" si="120"/>
        <v>february</v>
      </c>
      <c r="E794" s="6">
        <v>11</v>
      </c>
      <c r="F794" s="6" t="str">
        <f t="shared" si="121"/>
        <v>Morning</v>
      </c>
      <c r="G794" s="6" t="b">
        <v>0</v>
      </c>
      <c r="H794" s="6">
        <f t="shared" si="122"/>
        <v>0</v>
      </c>
      <c r="I794" s="6">
        <v>6</v>
      </c>
      <c r="J794" s="6" t="str">
        <f t="shared" si="123"/>
        <v>Saturday</v>
      </c>
      <c r="K794" s="6">
        <f t="shared" si="124"/>
        <v>1</v>
      </c>
      <c r="L794" s="6">
        <v>3</v>
      </c>
      <c r="M794" s="6" t="str">
        <f t="shared" si="125"/>
        <v>Light rain</v>
      </c>
      <c r="N794" s="8">
        <v>0.22</v>
      </c>
      <c r="O794" s="8">
        <v>0.2273</v>
      </c>
      <c r="P794" s="8">
        <v>1</v>
      </c>
      <c r="Q794" s="8">
        <v>0.1343</v>
      </c>
      <c r="R794" s="6">
        <v>1</v>
      </c>
      <c r="S794" s="6">
        <v>46</v>
      </c>
      <c r="T794" s="6">
        <v>47</v>
      </c>
      <c r="U794" s="8">
        <f t="shared" si="126"/>
        <v>-0.51295812847461175</v>
      </c>
      <c r="V794" s="8" t="str">
        <f t="shared" si="127"/>
        <v>Normal</v>
      </c>
      <c r="W794" s="8">
        <f t="shared" si="128"/>
        <v>-0.15415302495889494</v>
      </c>
      <c r="X794" s="8" t="str">
        <f t="shared" si="129"/>
        <v>Normal</v>
      </c>
    </row>
    <row r="795" spans="1:24" x14ac:dyDescent="0.25">
      <c r="A795" s="6">
        <v>794</v>
      </c>
      <c r="B795" s="7">
        <v>40579</v>
      </c>
      <c r="C795" s="6">
        <v>2</v>
      </c>
      <c r="D795" s="6" t="str">
        <f t="shared" si="120"/>
        <v>february</v>
      </c>
      <c r="E795" s="6">
        <v>12</v>
      </c>
      <c r="F795" s="6" t="str">
        <f t="shared" si="121"/>
        <v>Afternoon</v>
      </c>
      <c r="G795" s="6" t="b">
        <v>0</v>
      </c>
      <c r="H795" s="6">
        <f t="shared" si="122"/>
        <v>0</v>
      </c>
      <c r="I795" s="6">
        <v>6</v>
      </c>
      <c r="J795" s="6" t="str">
        <f t="shared" si="123"/>
        <v>Saturday</v>
      </c>
      <c r="K795" s="6">
        <f t="shared" si="124"/>
        <v>1</v>
      </c>
      <c r="L795" s="6">
        <v>3</v>
      </c>
      <c r="M795" s="6" t="str">
        <f t="shared" si="125"/>
        <v>Light rain</v>
      </c>
      <c r="N795" s="8">
        <v>0.22</v>
      </c>
      <c r="O795" s="8">
        <v>0.2273</v>
      </c>
      <c r="P795" s="8">
        <v>1</v>
      </c>
      <c r="Q795" s="8">
        <v>0.16420000000000001</v>
      </c>
      <c r="R795" s="6">
        <v>10</v>
      </c>
      <c r="S795" s="6">
        <v>42</v>
      </c>
      <c r="T795" s="6">
        <v>52</v>
      </c>
      <c r="U795" s="8">
        <f t="shared" si="126"/>
        <v>0.66445150077086279</v>
      </c>
      <c r="V795" s="8" t="str">
        <f t="shared" si="127"/>
        <v>Normal</v>
      </c>
      <c r="W795" s="8">
        <f t="shared" si="128"/>
        <v>-0.23767084966911833</v>
      </c>
      <c r="X795" s="8" t="str">
        <f t="shared" si="129"/>
        <v>Normal</v>
      </c>
    </row>
    <row r="796" spans="1:24" x14ac:dyDescent="0.25">
      <c r="A796" s="6">
        <v>795</v>
      </c>
      <c r="B796" s="7">
        <v>40579</v>
      </c>
      <c r="C796" s="6">
        <v>2</v>
      </c>
      <c r="D796" s="6" t="str">
        <f t="shared" si="120"/>
        <v>february</v>
      </c>
      <c r="E796" s="6">
        <v>13</v>
      </c>
      <c r="F796" s="6" t="str">
        <f t="shared" si="121"/>
        <v>Afternoon</v>
      </c>
      <c r="G796" s="6" t="b">
        <v>0</v>
      </c>
      <c r="H796" s="6">
        <f t="shared" si="122"/>
        <v>0</v>
      </c>
      <c r="I796" s="6">
        <v>6</v>
      </c>
      <c r="J796" s="6" t="str">
        <f t="shared" si="123"/>
        <v>Saturday</v>
      </c>
      <c r="K796" s="6">
        <f t="shared" si="124"/>
        <v>1</v>
      </c>
      <c r="L796" s="6">
        <v>3</v>
      </c>
      <c r="M796" s="6" t="str">
        <f t="shared" si="125"/>
        <v>Light rain</v>
      </c>
      <c r="N796" s="8">
        <v>0.22</v>
      </c>
      <c r="O796" s="8">
        <v>0.2273</v>
      </c>
      <c r="P796" s="8">
        <v>1</v>
      </c>
      <c r="Q796" s="8">
        <v>0.16420000000000001</v>
      </c>
      <c r="R796" s="6">
        <v>10</v>
      </c>
      <c r="S796" s="6">
        <v>62</v>
      </c>
      <c r="T796" s="6">
        <v>72</v>
      </c>
      <c r="U796" s="8">
        <f t="shared" si="126"/>
        <v>0.66445150077086279</v>
      </c>
      <c r="V796" s="8" t="str">
        <f t="shared" si="127"/>
        <v>Normal</v>
      </c>
      <c r="W796" s="8">
        <f t="shared" si="128"/>
        <v>0.17991827388199874</v>
      </c>
      <c r="X796" s="8" t="str">
        <f t="shared" si="129"/>
        <v>Normal</v>
      </c>
    </row>
    <row r="797" spans="1:24" x14ac:dyDescent="0.25">
      <c r="A797" s="6">
        <v>796</v>
      </c>
      <c r="B797" s="7">
        <v>40579</v>
      </c>
      <c r="C797" s="6">
        <v>2</v>
      </c>
      <c r="D797" s="6" t="str">
        <f t="shared" si="120"/>
        <v>february</v>
      </c>
      <c r="E797" s="6">
        <v>14</v>
      </c>
      <c r="F797" s="6" t="str">
        <f t="shared" si="121"/>
        <v>Afternoon</v>
      </c>
      <c r="G797" s="6" t="b">
        <v>0</v>
      </c>
      <c r="H797" s="6">
        <f t="shared" si="122"/>
        <v>0</v>
      </c>
      <c r="I797" s="6">
        <v>6</v>
      </c>
      <c r="J797" s="6" t="str">
        <f t="shared" si="123"/>
        <v>Saturday</v>
      </c>
      <c r="K797" s="6">
        <f t="shared" si="124"/>
        <v>1</v>
      </c>
      <c r="L797" s="6">
        <v>3</v>
      </c>
      <c r="M797" s="6" t="str">
        <f t="shared" si="125"/>
        <v>Light rain</v>
      </c>
      <c r="N797" s="8">
        <v>0.22</v>
      </c>
      <c r="O797" s="8">
        <v>0.2727</v>
      </c>
      <c r="P797" s="8">
        <v>1</v>
      </c>
      <c r="Q797" s="8">
        <v>0</v>
      </c>
      <c r="R797" s="6">
        <v>5</v>
      </c>
      <c r="S797" s="6">
        <v>50</v>
      </c>
      <c r="T797" s="6">
        <v>55</v>
      </c>
      <c r="U797" s="8">
        <f t="shared" si="126"/>
        <v>1.0335040078932463E-2</v>
      </c>
      <c r="V797" s="8" t="str">
        <f t="shared" si="127"/>
        <v>Normal</v>
      </c>
      <c r="W797" s="8">
        <f t="shared" si="128"/>
        <v>-7.0635200248671509E-2</v>
      </c>
      <c r="X797" s="8" t="str">
        <f t="shared" si="129"/>
        <v>Normal</v>
      </c>
    </row>
    <row r="798" spans="1:24" x14ac:dyDescent="0.25">
      <c r="A798" s="6">
        <v>797</v>
      </c>
      <c r="B798" s="7">
        <v>40579</v>
      </c>
      <c r="C798" s="6">
        <v>2</v>
      </c>
      <c r="D798" s="6" t="str">
        <f t="shared" si="120"/>
        <v>february</v>
      </c>
      <c r="E798" s="6">
        <v>15</v>
      </c>
      <c r="F798" s="6" t="str">
        <f t="shared" si="121"/>
        <v>Afternoon</v>
      </c>
      <c r="G798" s="6" t="b">
        <v>0</v>
      </c>
      <c r="H798" s="6">
        <f t="shared" si="122"/>
        <v>0</v>
      </c>
      <c r="I798" s="6">
        <v>6</v>
      </c>
      <c r="J798" s="6" t="str">
        <f t="shared" si="123"/>
        <v>Saturday</v>
      </c>
      <c r="K798" s="6">
        <f t="shared" si="124"/>
        <v>1</v>
      </c>
      <c r="L798" s="6">
        <v>3</v>
      </c>
      <c r="M798" s="6" t="str">
        <f t="shared" si="125"/>
        <v>Light rain</v>
      </c>
      <c r="N798" s="8">
        <v>0.22</v>
      </c>
      <c r="O798" s="8">
        <v>0.2727</v>
      </c>
      <c r="P798" s="8">
        <v>1</v>
      </c>
      <c r="Q798" s="8">
        <v>0</v>
      </c>
      <c r="R798" s="6">
        <v>11</v>
      </c>
      <c r="S798" s="6">
        <v>49</v>
      </c>
      <c r="T798" s="6">
        <v>60</v>
      </c>
      <c r="U798" s="8">
        <f t="shared" si="126"/>
        <v>0.79527479290924885</v>
      </c>
      <c r="V798" s="8" t="str">
        <f t="shared" si="127"/>
        <v>Normal</v>
      </c>
      <c r="W798" s="8">
        <f t="shared" si="128"/>
        <v>-9.1514656426227359E-2</v>
      </c>
      <c r="X798" s="8" t="str">
        <f t="shared" si="129"/>
        <v>Normal</v>
      </c>
    </row>
    <row r="799" spans="1:24" x14ac:dyDescent="0.25">
      <c r="A799" s="6">
        <v>798</v>
      </c>
      <c r="B799" s="7">
        <v>40579</v>
      </c>
      <c r="C799" s="6">
        <v>2</v>
      </c>
      <c r="D799" s="6" t="str">
        <f t="shared" si="120"/>
        <v>february</v>
      </c>
      <c r="E799" s="6">
        <v>16</v>
      </c>
      <c r="F799" s="6" t="str">
        <f t="shared" si="121"/>
        <v>Afternoon</v>
      </c>
      <c r="G799" s="6" t="b">
        <v>0</v>
      </c>
      <c r="H799" s="6">
        <f t="shared" si="122"/>
        <v>0</v>
      </c>
      <c r="I799" s="6">
        <v>6</v>
      </c>
      <c r="J799" s="6" t="str">
        <f t="shared" si="123"/>
        <v>Saturday</v>
      </c>
      <c r="K799" s="6">
        <f t="shared" si="124"/>
        <v>1</v>
      </c>
      <c r="L799" s="6">
        <v>3</v>
      </c>
      <c r="M799" s="6" t="str">
        <f t="shared" si="125"/>
        <v>Light rain</v>
      </c>
      <c r="N799" s="8">
        <v>0.22</v>
      </c>
      <c r="O799" s="8">
        <v>0.2273</v>
      </c>
      <c r="P799" s="8">
        <v>1</v>
      </c>
      <c r="Q799" s="8">
        <v>0.1343</v>
      </c>
      <c r="R799" s="6">
        <v>8</v>
      </c>
      <c r="S799" s="6">
        <v>63</v>
      </c>
      <c r="T799" s="6">
        <v>71</v>
      </c>
      <c r="U799" s="8">
        <f t="shared" si="126"/>
        <v>0.40280491649409061</v>
      </c>
      <c r="V799" s="8" t="str">
        <f t="shared" si="127"/>
        <v>Normal</v>
      </c>
      <c r="W799" s="8">
        <f t="shared" si="128"/>
        <v>0.20079773005955459</v>
      </c>
      <c r="X799" s="8" t="str">
        <f t="shared" si="129"/>
        <v>Normal</v>
      </c>
    </row>
    <row r="800" spans="1:24" x14ac:dyDescent="0.25">
      <c r="A800" s="6">
        <v>799</v>
      </c>
      <c r="B800" s="7">
        <v>40579</v>
      </c>
      <c r="C800" s="6">
        <v>2</v>
      </c>
      <c r="D800" s="6" t="str">
        <f t="shared" si="120"/>
        <v>february</v>
      </c>
      <c r="E800" s="6">
        <v>17</v>
      </c>
      <c r="F800" s="6" t="str">
        <f t="shared" si="121"/>
        <v>Evening</v>
      </c>
      <c r="G800" s="6" t="b">
        <v>0</v>
      </c>
      <c r="H800" s="6">
        <f t="shared" si="122"/>
        <v>0</v>
      </c>
      <c r="I800" s="6">
        <v>6</v>
      </c>
      <c r="J800" s="6" t="str">
        <f t="shared" si="123"/>
        <v>Saturday</v>
      </c>
      <c r="K800" s="6">
        <f t="shared" si="124"/>
        <v>1</v>
      </c>
      <c r="L800" s="6">
        <v>2</v>
      </c>
      <c r="M800" s="6" t="str">
        <f t="shared" si="125"/>
        <v>Cloudy</v>
      </c>
      <c r="N800" s="8">
        <v>0.24</v>
      </c>
      <c r="O800" s="8">
        <v>0.21210000000000001</v>
      </c>
      <c r="P800" s="8">
        <v>1</v>
      </c>
      <c r="Q800" s="8">
        <v>0.28360000000000002</v>
      </c>
      <c r="R800" s="6">
        <v>14</v>
      </c>
      <c r="S800" s="6">
        <v>64</v>
      </c>
      <c r="T800" s="6">
        <v>78</v>
      </c>
      <c r="U800" s="8">
        <f t="shared" si="126"/>
        <v>1.1877446693244071</v>
      </c>
      <c r="V800" s="8" t="str">
        <f t="shared" si="127"/>
        <v>Normal</v>
      </c>
      <c r="W800" s="8">
        <f t="shared" si="128"/>
        <v>0.22167718623711044</v>
      </c>
      <c r="X800" s="8" t="str">
        <f t="shared" si="129"/>
        <v>Normal</v>
      </c>
    </row>
    <row r="801" spans="1:24" x14ac:dyDescent="0.25">
      <c r="A801" s="6">
        <v>800</v>
      </c>
      <c r="B801" s="7">
        <v>40579</v>
      </c>
      <c r="C801" s="6">
        <v>2</v>
      </c>
      <c r="D801" s="6" t="str">
        <f t="shared" si="120"/>
        <v>february</v>
      </c>
      <c r="E801" s="6">
        <v>18</v>
      </c>
      <c r="F801" s="6" t="str">
        <f t="shared" si="121"/>
        <v>Evening</v>
      </c>
      <c r="G801" s="6" t="b">
        <v>0</v>
      </c>
      <c r="H801" s="6">
        <f t="shared" si="122"/>
        <v>0</v>
      </c>
      <c r="I801" s="6">
        <v>6</v>
      </c>
      <c r="J801" s="6" t="str">
        <f t="shared" si="123"/>
        <v>Saturday</v>
      </c>
      <c r="K801" s="6">
        <f t="shared" si="124"/>
        <v>1</v>
      </c>
      <c r="L801" s="6">
        <v>2</v>
      </c>
      <c r="M801" s="6" t="str">
        <f t="shared" si="125"/>
        <v>Cloudy</v>
      </c>
      <c r="N801" s="8">
        <v>0.28000000000000003</v>
      </c>
      <c r="O801" s="8">
        <v>0.2424</v>
      </c>
      <c r="P801" s="8">
        <v>0.93</v>
      </c>
      <c r="Q801" s="8">
        <v>0.44779999999999998</v>
      </c>
      <c r="R801" s="6">
        <v>2</v>
      </c>
      <c r="S801" s="6">
        <v>81</v>
      </c>
      <c r="T801" s="6">
        <v>83</v>
      </c>
      <c r="U801" s="8">
        <f t="shared" si="126"/>
        <v>-0.38213483633622569</v>
      </c>
      <c r="V801" s="8" t="str">
        <f t="shared" si="127"/>
        <v>Normal</v>
      </c>
      <c r="W801" s="8">
        <f t="shared" si="128"/>
        <v>0.57662794125555994</v>
      </c>
      <c r="X801" s="8" t="str">
        <f t="shared" si="129"/>
        <v>Normal</v>
      </c>
    </row>
    <row r="802" spans="1:24" x14ac:dyDescent="0.25">
      <c r="A802" s="6">
        <v>801</v>
      </c>
      <c r="B802" s="7">
        <v>40579</v>
      </c>
      <c r="C802" s="6">
        <v>2</v>
      </c>
      <c r="D802" s="6" t="str">
        <f t="shared" si="120"/>
        <v>february</v>
      </c>
      <c r="E802" s="6">
        <v>19</v>
      </c>
      <c r="F802" s="6" t="str">
        <f t="shared" si="121"/>
        <v>Evening</v>
      </c>
      <c r="G802" s="6" t="b">
        <v>0</v>
      </c>
      <c r="H802" s="6">
        <f t="shared" si="122"/>
        <v>0</v>
      </c>
      <c r="I802" s="6">
        <v>6</v>
      </c>
      <c r="J802" s="6" t="str">
        <f t="shared" si="123"/>
        <v>Saturday</v>
      </c>
      <c r="K802" s="6">
        <f t="shared" si="124"/>
        <v>1</v>
      </c>
      <c r="L802" s="6">
        <v>2</v>
      </c>
      <c r="M802" s="6" t="str">
        <f t="shared" si="125"/>
        <v>Cloudy</v>
      </c>
      <c r="N802" s="8">
        <v>0.28000000000000003</v>
      </c>
      <c r="O802" s="8">
        <v>0.2424</v>
      </c>
      <c r="P802" s="8">
        <v>0.93</v>
      </c>
      <c r="Q802" s="8">
        <v>0.44779999999999998</v>
      </c>
      <c r="R802" s="6">
        <v>6</v>
      </c>
      <c r="S802" s="6">
        <v>78</v>
      </c>
      <c r="T802" s="6">
        <v>84</v>
      </c>
      <c r="U802" s="8">
        <f t="shared" si="126"/>
        <v>0.14115833221731852</v>
      </c>
      <c r="V802" s="8" t="str">
        <f t="shared" si="127"/>
        <v>Normal</v>
      </c>
      <c r="W802" s="8">
        <f t="shared" si="128"/>
        <v>0.51398957272289236</v>
      </c>
      <c r="X802" s="8" t="str">
        <f t="shared" si="129"/>
        <v>Normal</v>
      </c>
    </row>
    <row r="803" spans="1:24" x14ac:dyDescent="0.25">
      <c r="A803" s="6">
        <v>802</v>
      </c>
      <c r="B803" s="7">
        <v>40579</v>
      </c>
      <c r="C803" s="6">
        <v>2</v>
      </c>
      <c r="D803" s="6" t="str">
        <f t="shared" si="120"/>
        <v>february</v>
      </c>
      <c r="E803" s="6">
        <v>20</v>
      </c>
      <c r="F803" s="6" t="str">
        <f t="shared" si="121"/>
        <v>Evening</v>
      </c>
      <c r="G803" s="6" t="b">
        <v>0</v>
      </c>
      <c r="H803" s="6">
        <f t="shared" si="122"/>
        <v>0</v>
      </c>
      <c r="I803" s="6">
        <v>6</v>
      </c>
      <c r="J803" s="6" t="str">
        <f t="shared" si="123"/>
        <v>Saturday</v>
      </c>
      <c r="K803" s="6">
        <f t="shared" si="124"/>
        <v>1</v>
      </c>
      <c r="L803" s="6">
        <v>1</v>
      </c>
      <c r="M803" s="6" t="str">
        <f t="shared" si="125"/>
        <v>Partly cloudy</v>
      </c>
      <c r="N803" s="8">
        <v>0.3</v>
      </c>
      <c r="O803" s="8">
        <v>0.28789999999999999</v>
      </c>
      <c r="P803" s="8">
        <v>0.87</v>
      </c>
      <c r="Q803" s="8">
        <v>0.25369999999999998</v>
      </c>
      <c r="R803" s="6">
        <v>5</v>
      </c>
      <c r="S803" s="6">
        <v>64</v>
      </c>
      <c r="T803" s="6">
        <v>69</v>
      </c>
      <c r="U803" s="8">
        <f t="shared" si="126"/>
        <v>1.0335040078932463E-2</v>
      </c>
      <c r="V803" s="8" t="str">
        <f t="shared" si="127"/>
        <v>Normal</v>
      </c>
      <c r="W803" s="8">
        <f t="shared" si="128"/>
        <v>0.22167718623711044</v>
      </c>
      <c r="X803" s="8" t="str">
        <f t="shared" si="129"/>
        <v>Normal</v>
      </c>
    </row>
    <row r="804" spans="1:24" x14ac:dyDescent="0.25">
      <c r="A804" s="6">
        <v>803</v>
      </c>
      <c r="B804" s="7">
        <v>40579</v>
      </c>
      <c r="C804" s="6">
        <v>2</v>
      </c>
      <c r="D804" s="6" t="str">
        <f t="shared" si="120"/>
        <v>february</v>
      </c>
      <c r="E804" s="6">
        <v>21</v>
      </c>
      <c r="F804" s="6" t="str">
        <f t="shared" si="121"/>
        <v>Night</v>
      </c>
      <c r="G804" s="6" t="b">
        <v>0</v>
      </c>
      <c r="H804" s="6">
        <f t="shared" si="122"/>
        <v>0</v>
      </c>
      <c r="I804" s="6">
        <v>6</v>
      </c>
      <c r="J804" s="6" t="str">
        <f t="shared" si="123"/>
        <v>Saturday</v>
      </c>
      <c r="K804" s="6">
        <f t="shared" si="124"/>
        <v>1</v>
      </c>
      <c r="L804" s="6">
        <v>1</v>
      </c>
      <c r="M804" s="6" t="str">
        <f t="shared" si="125"/>
        <v>Partly cloudy</v>
      </c>
      <c r="N804" s="8">
        <v>0.26</v>
      </c>
      <c r="O804" s="8">
        <v>0.2576</v>
      </c>
      <c r="P804" s="8">
        <v>1</v>
      </c>
      <c r="Q804" s="8">
        <v>0.19400000000000001</v>
      </c>
      <c r="R804" s="6">
        <v>3</v>
      </c>
      <c r="S804" s="6">
        <v>53</v>
      </c>
      <c r="T804" s="6">
        <v>56</v>
      </c>
      <c r="U804" s="8">
        <f t="shared" si="126"/>
        <v>-0.25131154419783963</v>
      </c>
      <c r="V804" s="8" t="str">
        <f t="shared" si="127"/>
        <v>Normal</v>
      </c>
      <c r="W804" s="8">
        <f t="shared" si="128"/>
        <v>-7.9968317160039482E-3</v>
      </c>
      <c r="X804" s="8" t="str">
        <f t="shared" si="129"/>
        <v>Normal</v>
      </c>
    </row>
    <row r="805" spans="1:24" x14ac:dyDescent="0.25">
      <c r="A805" s="6">
        <v>804</v>
      </c>
      <c r="B805" s="7">
        <v>40579</v>
      </c>
      <c r="C805" s="6">
        <v>2</v>
      </c>
      <c r="D805" s="6" t="str">
        <f t="shared" si="120"/>
        <v>february</v>
      </c>
      <c r="E805" s="6">
        <v>22</v>
      </c>
      <c r="F805" s="6" t="str">
        <f t="shared" si="121"/>
        <v>Night</v>
      </c>
      <c r="G805" s="6" t="b">
        <v>0</v>
      </c>
      <c r="H805" s="6">
        <f t="shared" si="122"/>
        <v>0</v>
      </c>
      <c r="I805" s="6">
        <v>6</v>
      </c>
      <c r="J805" s="6" t="str">
        <f t="shared" si="123"/>
        <v>Saturday</v>
      </c>
      <c r="K805" s="6">
        <f t="shared" si="124"/>
        <v>1</v>
      </c>
      <c r="L805" s="6">
        <v>1</v>
      </c>
      <c r="M805" s="6" t="str">
        <f t="shared" si="125"/>
        <v>Partly cloudy</v>
      </c>
      <c r="N805" s="8">
        <v>0.26</v>
      </c>
      <c r="O805" s="8">
        <v>0.2727</v>
      </c>
      <c r="P805" s="8">
        <v>0.93</v>
      </c>
      <c r="Q805" s="8">
        <v>0.1343</v>
      </c>
      <c r="R805" s="6">
        <v>2</v>
      </c>
      <c r="S805" s="6">
        <v>43</v>
      </c>
      <c r="T805" s="6">
        <v>45</v>
      </c>
      <c r="U805" s="8">
        <f t="shared" si="126"/>
        <v>-0.38213483633622569</v>
      </c>
      <c r="V805" s="8" t="str">
        <f t="shared" si="127"/>
        <v>Normal</v>
      </c>
      <c r="W805" s="8">
        <f t="shared" si="128"/>
        <v>-0.21679139349156248</v>
      </c>
      <c r="X805" s="8" t="str">
        <f t="shared" si="129"/>
        <v>Normal</v>
      </c>
    </row>
    <row r="806" spans="1:24" x14ac:dyDescent="0.25">
      <c r="A806" s="6">
        <v>805</v>
      </c>
      <c r="B806" s="7">
        <v>40579</v>
      </c>
      <c r="C806" s="6">
        <v>2</v>
      </c>
      <c r="D806" s="6" t="str">
        <f t="shared" si="120"/>
        <v>february</v>
      </c>
      <c r="E806" s="6">
        <v>23</v>
      </c>
      <c r="F806" s="6" t="str">
        <f t="shared" si="121"/>
        <v>Night</v>
      </c>
      <c r="G806" s="6" t="b">
        <v>0</v>
      </c>
      <c r="H806" s="6">
        <f t="shared" si="122"/>
        <v>0</v>
      </c>
      <c r="I806" s="6">
        <v>6</v>
      </c>
      <c r="J806" s="6" t="str">
        <f t="shared" si="123"/>
        <v>Saturday</v>
      </c>
      <c r="K806" s="6">
        <f t="shared" si="124"/>
        <v>1</v>
      </c>
      <c r="L806" s="6">
        <v>1</v>
      </c>
      <c r="M806" s="6" t="str">
        <f t="shared" si="125"/>
        <v>Partly cloudy</v>
      </c>
      <c r="N806" s="8">
        <v>0.26</v>
      </c>
      <c r="O806" s="8">
        <v>0.2576</v>
      </c>
      <c r="P806" s="8">
        <v>0.93</v>
      </c>
      <c r="Q806" s="8">
        <v>0.22389999999999999</v>
      </c>
      <c r="R806" s="6">
        <v>7</v>
      </c>
      <c r="S806" s="6">
        <v>52</v>
      </c>
      <c r="T806" s="6">
        <v>59</v>
      </c>
      <c r="U806" s="8">
        <f t="shared" si="126"/>
        <v>0.27198162435570455</v>
      </c>
      <c r="V806" s="8" t="str">
        <f t="shared" si="127"/>
        <v>Normal</v>
      </c>
      <c r="W806" s="8">
        <f t="shared" si="128"/>
        <v>-2.8876287893559803E-2</v>
      </c>
      <c r="X806" s="8" t="str">
        <f t="shared" si="129"/>
        <v>Normal</v>
      </c>
    </row>
    <row r="807" spans="1:24" x14ac:dyDescent="0.25">
      <c r="A807" s="6">
        <v>806</v>
      </c>
      <c r="B807" s="7">
        <v>40580</v>
      </c>
      <c r="C807" s="6">
        <v>2</v>
      </c>
      <c r="D807" s="6" t="str">
        <f t="shared" si="120"/>
        <v>february</v>
      </c>
      <c r="E807" s="6">
        <v>0</v>
      </c>
      <c r="F807" s="6" t="str">
        <f t="shared" si="121"/>
        <v>Night</v>
      </c>
      <c r="G807" s="6" t="b">
        <v>0</v>
      </c>
      <c r="H807" s="6">
        <f t="shared" si="122"/>
        <v>0</v>
      </c>
      <c r="I807" s="6">
        <v>0</v>
      </c>
      <c r="J807" s="6" t="str">
        <f t="shared" si="123"/>
        <v>Sunday</v>
      </c>
      <c r="K807" s="6">
        <f t="shared" si="124"/>
        <v>1</v>
      </c>
      <c r="L807" s="6">
        <v>1</v>
      </c>
      <c r="M807" s="6" t="str">
        <f t="shared" si="125"/>
        <v>Partly cloudy</v>
      </c>
      <c r="N807" s="8">
        <v>0.26</v>
      </c>
      <c r="O807" s="8">
        <v>0.2576</v>
      </c>
      <c r="P807" s="8">
        <v>0.7</v>
      </c>
      <c r="Q807" s="8">
        <v>0.19400000000000001</v>
      </c>
      <c r="R807" s="6">
        <v>2</v>
      </c>
      <c r="S807" s="6">
        <v>37</v>
      </c>
      <c r="T807" s="6">
        <v>39</v>
      </c>
      <c r="U807" s="8">
        <f t="shared" si="126"/>
        <v>-0.38213483633622569</v>
      </c>
      <c r="V807" s="8" t="str">
        <f t="shared" si="127"/>
        <v>Normal</v>
      </c>
      <c r="W807" s="8">
        <f t="shared" si="128"/>
        <v>-0.34206813055689761</v>
      </c>
      <c r="X807" s="8" t="str">
        <f t="shared" si="129"/>
        <v>Normal</v>
      </c>
    </row>
    <row r="808" spans="1:24" x14ac:dyDescent="0.25">
      <c r="A808" s="6">
        <v>807</v>
      </c>
      <c r="B808" s="7">
        <v>40580</v>
      </c>
      <c r="C808" s="6">
        <v>2</v>
      </c>
      <c r="D808" s="6" t="str">
        <f t="shared" si="120"/>
        <v>february</v>
      </c>
      <c r="E808" s="6">
        <v>1</v>
      </c>
      <c r="F808" s="6" t="str">
        <f t="shared" si="121"/>
        <v>Night</v>
      </c>
      <c r="G808" s="6" t="b">
        <v>0</v>
      </c>
      <c r="H808" s="6">
        <f t="shared" si="122"/>
        <v>0</v>
      </c>
      <c r="I808" s="6">
        <v>0</v>
      </c>
      <c r="J808" s="6" t="str">
        <f t="shared" si="123"/>
        <v>Sunday</v>
      </c>
      <c r="K808" s="6">
        <f t="shared" si="124"/>
        <v>1</v>
      </c>
      <c r="L808" s="6">
        <v>1</v>
      </c>
      <c r="M808" s="6" t="str">
        <f t="shared" si="125"/>
        <v>Partly cloudy</v>
      </c>
      <c r="N808" s="8">
        <v>0.26</v>
      </c>
      <c r="O808" s="8">
        <v>0.2273</v>
      </c>
      <c r="P808" s="8">
        <v>0.65</v>
      </c>
      <c r="Q808" s="8">
        <v>0.41789999999999999</v>
      </c>
      <c r="R808" s="6">
        <v>4</v>
      </c>
      <c r="S808" s="6">
        <v>40</v>
      </c>
      <c r="T808" s="6">
        <v>44</v>
      </c>
      <c r="U808" s="8">
        <f t="shared" si="126"/>
        <v>-0.1204882520594536</v>
      </c>
      <c r="V808" s="8" t="str">
        <f t="shared" si="127"/>
        <v>Normal</v>
      </c>
      <c r="W808" s="8">
        <f t="shared" si="128"/>
        <v>-0.27942976202423003</v>
      </c>
      <c r="X808" s="8" t="str">
        <f t="shared" si="129"/>
        <v>Normal</v>
      </c>
    </row>
    <row r="809" spans="1:24" x14ac:dyDescent="0.25">
      <c r="A809" s="6">
        <v>808</v>
      </c>
      <c r="B809" s="7">
        <v>40580</v>
      </c>
      <c r="C809" s="6">
        <v>2</v>
      </c>
      <c r="D809" s="6" t="str">
        <f t="shared" si="120"/>
        <v>february</v>
      </c>
      <c r="E809" s="6">
        <v>2</v>
      </c>
      <c r="F809" s="6" t="str">
        <f t="shared" si="121"/>
        <v>Night</v>
      </c>
      <c r="G809" s="6" t="b">
        <v>0</v>
      </c>
      <c r="H809" s="6">
        <f t="shared" si="122"/>
        <v>0</v>
      </c>
      <c r="I809" s="6">
        <v>0</v>
      </c>
      <c r="J809" s="6" t="str">
        <f t="shared" si="123"/>
        <v>Sunday</v>
      </c>
      <c r="K809" s="6">
        <f t="shared" si="124"/>
        <v>1</v>
      </c>
      <c r="L809" s="6">
        <v>1</v>
      </c>
      <c r="M809" s="6" t="str">
        <f t="shared" si="125"/>
        <v>Partly cloudy</v>
      </c>
      <c r="N809" s="8">
        <v>0.26</v>
      </c>
      <c r="O809" s="8">
        <v>0.2273</v>
      </c>
      <c r="P809" s="8">
        <v>0.6</v>
      </c>
      <c r="Q809" s="8">
        <v>0.32840000000000003</v>
      </c>
      <c r="R809" s="6">
        <v>0</v>
      </c>
      <c r="S809" s="6">
        <v>20</v>
      </c>
      <c r="T809" s="6">
        <v>20</v>
      </c>
      <c r="U809" s="8">
        <f t="shared" si="126"/>
        <v>-0.64378142061299781</v>
      </c>
      <c r="V809" s="8" t="str">
        <f t="shared" si="127"/>
        <v>Normal</v>
      </c>
      <c r="W809" s="8">
        <f t="shared" si="128"/>
        <v>-0.69701888557534708</v>
      </c>
      <c r="X809" s="8" t="str">
        <f t="shared" si="129"/>
        <v>Normal</v>
      </c>
    </row>
    <row r="810" spans="1:24" x14ac:dyDescent="0.25">
      <c r="A810" s="6">
        <v>809</v>
      </c>
      <c r="B810" s="7">
        <v>40580</v>
      </c>
      <c r="C810" s="6">
        <v>2</v>
      </c>
      <c r="D810" s="6" t="str">
        <f t="shared" si="120"/>
        <v>february</v>
      </c>
      <c r="E810" s="6">
        <v>3</v>
      </c>
      <c r="F810" s="6" t="str">
        <f t="shared" si="121"/>
        <v>Night</v>
      </c>
      <c r="G810" s="6" t="b">
        <v>0</v>
      </c>
      <c r="H810" s="6">
        <f t="shared" si="122"/>
        <v>0</v>
      </c>
      <c r="I810" s="6">
        <v>0</v>
      </c>
      <c r="J810" s="6" t="str">
        <f t="shared" si="123"/>
        <v>Sunday</v>
      </c>
      <c r="K810" s="6">
        <f t="shared" si="124"/>
        <v>1</v>
      </c>
      <c r="L810" s="6">
        <v>1</v>
      </c>
      <c r="M810" s="6" t="str">
        <f t="shared" si="125"/>
        <v>Partly cloudy</v>
      </c>
      <c r="N810" s="8">
        <v>0.26</v>
      </c>
      <c r="O810" s="8">
        <v>0.28789999999999999</v>
      </c>
      <c r="P810" s="8">
        <v>0.6</v>
      </c>
      <c r="Q810" s="8">
        <v>8.9599999999999999E-2</v>
      </c>
      <c r="R810" s="6">
        <v>3</v>
      </c>
      <c r="S810" s="6">
        <v>10</v>
      </c>
      <c r="T810" s="6">
        <v>13</v>
      </c>
      <c r="U810" s="8">
        <f t="shared" si="126"/>
        <v>-0.25131154419783963</v>
      </c>
      <c r="V810" s="8" t="str">
        <f t="shared" si="127"/>
        <v>Normal</v>
      </c>
      <c r="W810" s="8">
        <f t="shared" si="128"/>
        <v>-0.90581344735090563</v>
      </c>
      <c r="X810" s="8" t="str">
        <f t="shared" si="129"/>
        <v>Normal</v>
      </c>
    </row>
    <row r="811" spans="1:24" x14ac:dyDescent="0.25">
      <c r="A811" s="6">
        <v>810</v>
      </c>
      <c r="B811" s="7">
        <v>40580</v>
      </c>
      <c r="C811" s="6">
        <v>2</v>
      </c>
      <c r="D811" s="6" t="str">
        <f t="shared" si="120"/>
        <v>february</v>
      </c>
      <c r="E811" s="6">
        <v>4</v>
      </c>
      <c r="F811" s="6" t="str">
        <f t="shared" si="121"/>
        <v>Night</v>
      </c>
      <c r="G811" s="6" t="b">
        <v>0</v>
      </c>
      <c r="H811" s="6">
        <f t="shared" si="122"/>
        <v>0</v>
      </c>
      <c r="I811" s="6">
        <v>0</v>
      </c>
      <c r="J811" s="6" t="str">
        <f t="shared" si="123"/>
        <v>Sunday</v>
      </c>
      <c r="K811" s="6">
        <f t="shared" si="124"/>
        <v>1</v>
      </c>
      <c r="L811" s="6">
        <v>1</v>
      </c>
      <c r="M811" s="6" t="str">
        <f t="shared" si="125"/>
        <v>Partly cloudy</v>
      </c>
      <c r="N811" s="8">
        <v>0.26</v>
      </c>
      <c r="O811" s="8">
        <v>0.2273</v>
      </c>
      <c r="P811" s="8">
        <v>0.6</v>
      </c>
      <c r="Q811" s="8">
        <v>0.35820000000000002</v>
      </c>
      <c r="R811" s="6">
        <v>0</v>
      </c>
      <c r="S811" s="6">
        <v>2</v>
      </c>
      <c r="T811" s="6">
        <v>2</v>
      </c>
      <c r="U811" s="8">
        <f t="shared" si="126"/>
        <v>-0.64378142061299781</v>
      </c>
      <c r="V811" s="8" t="str">
        <f t="shared" si="127"/>
        <v>Normal</v>
      </c>
      <c r="W811" s="8">
        <f t="shared" si="128"/>
        <v>-1.0728490967713524</v>
      </c>
      <c r="X811" s="8" t="str">
        <f t="shared" si="129"/>
        <v>Normal</v>
      </c>
    </row>
    <row r="812" spans="1:24" x14ac:dyDescent="0.25">
      <c r="A812" s="6">
        <v>811</v>
      </c>
      <c r="B812" s="7">
        <v>40580</v>
      </c>
      <c r="C812" s="6">
        <v>2</v>
      </c>
      <c r="D812" s="6" t="str">
        <f t="shared" si="120"/>
        <v>february</v>
      </c>
      <c r="E812" s="6">
        <v>5</v>
      </c>
      <c r="F812" s="6" t="str">
        <f t="shared" si="121"/>
        <v>Early Morning</v>
      </c>
      <c r="G812" s="6" t="b">
        <v>0</v>
      </c>
      <c r="H812" s="6">
        <f t="shared" si="122"/>
        <v>0</v>
      </c>
      <c r="I812" s="6">
        <v>0</v>
      </c>
      <c r="J812" s="6" t="str">
        <f t="shared" si="123"/>
        <v>Sunday</v>
      </c>
      <c r="K812" s="6">
        <f t="shared" si="124"/>
        <v>1</v>
      </c>
      <c r="L812" s="6">
        <v>1</v>
      </c>
      <c r="M812" s="6" t="str">
        <f t="shared" si="125"/>
        <v>Partly cloudy</v>
      </c>
      <c r="N812" s="8">
        <v>0.26</v>
      </c>
      <c r="O812" s="8">
        <v>0.2576</v>
      </c>
      <c r="P812" s="8">
        <v>0.6</v>
      </c>
      <c r="Q812" s="8">
        <v>0.22389999999999999</v>
      </c>
      <c r="R812" s="6">
        <v>0</v>
      </c>
      <c r="S812" s="6">
        <v>1</v>
      </c>
      <c r="T812" s="6">
        <v>1</v>
      </c>
      <c r="U812" s="8">
        <f t="shared" si="126"/>
        <v>-0.64378142061299781</v>
      </c>
      <c r="V812" s="8" t="str">
        <f t="shared" si="127"/>
        <v>Normal</v>
      </c>
      <c r="W812" s="8">
        <f t="shared" si="128"/>
        <v>-1.0937285529489083</v>
      </c>
      <c r="X812" s="8" t="str">
        <f t="shared" si="129"/>
        <v>Normal</v>
      </c>
    </row>
    <row r="813" spans="1:24" x14ac:dyDescent="0.25">
      <c r="A813" s="6">
        <v>812</v>
      </c>
      <c r="B813" s="7">
        <v>40580</v>
      </c>
      <c r="C813" s="6">
        <v>2</v>
      </c>
      <c r="D813" s="6" t="str">
        <f t="shared" si="120"/>
        <v>february</v>
      </c>
      <c r="E813" s="6">
        <v>6</v>
      </c>
      <c r="F813" s="6" t="str">
        <f t="shared" si="121"/>
        <v>Early Morning</v>
      </c>
      <c r="G813" s="6" t="b">
        <v>0</v>
      </c>
      <c r="H813" s="6">
        <f t="shared" si="122"/>
        <v>0</v>
      </c>
      <c r="I813" s="6">
        <v>0</v>
      </c>
      <c r="J813" s="6" t="str">
        <f t="shared" si="123"/>
        <v>Sunday</v>
      </c>
      <c r="K813" s="6">
        <f t="shared" si="124"/>
        <v>1</v>
      </c>
      <c r="L813" s="6">
        <v>1</v>
      </c>
      <c r="M813" s="6" t="str">
        <f t="shared" si="125"/>
        <v>Partly cloudy</v>
      </c>
      <c r="N813" s="8">
        <v>0.26</v>
      </c>
      <c r="O813" s="8">
        <v>0.2576</v>
      </c>
      <c r="P813" s="8">
        <v>0.6</v>
      </c>
      <c r="Q813" s="8">
        <v>0.22389999999999999</v>
      </c>
      <c r="R813" s="6">
        <v>0</v>
      </c>
      <c r="S813" s="6">
        <v>1</v>
      </c>
      <c r="T813" s="6">
        <v>1</v>
      </c>
      <c r="U813" s="8">
        <f t="shared" si="126"/>
        <v>-0.64378142061299781</v>
      </c>
      <c r="V813" s="8" t="str">
        <f t="shared" si="127"/>
        <v>Normal</v>
      </c>
      <c r="W813" s="8">
        <f t="shared" si="128"/>
        <v>-1.0937285529489083</v>
      </c>
      <c r="X813" s="8" t="str">
        <f t="shared" si="129"/>
        <v>Normal</v>
      </c>
    </row>
    <row r="814" spans="1:24" x14ac:dyDescent="0.25">
      <c r="A814" s="6">
        <v>813</v>
      </c>
      <c r="B814" s="7">
        <v>40580</v>
      </c>
      <c r="C814" s="6">
        <v>2</v>
      </c>
      <c r="D814" s="6" t="str">
        <f t="shared" si="120"/>
        <v>february</v>
      </c>
      <c r="E814" s="6">
        <v>7</v>
      </c>
      <c r="F814" s="6" t="str">
        <f t="shared" si="121"/>
        <v>Early Morning</v>
      </c>
      <c r="G814" s="6" t="b">
        <v>0</v>
      </c>
      <c r="H814" s="6">
        <f t="shared" si="122"/>
        <v>0</v>
      </c>
      <c r="I814" s="6">
        <v>0</v>
      </c>
      <c r="J814" s="6" t="str">
        <f t="shared" si="123"/>
        <v>Sunday</v>
      </c>
      <c r="K814" s="6">
        <f t="shared" si="124"/>
        <v>1</v>
      </c>
      <c r="L814" s="6">
        <v>1</v>
      </c>
      <c r="M814" s="6" t="str">
        <f t="shared" si="125"/>
        <v>Partly cloudy</v>
      </c>
      <c r="N814" s="8">
        <v>0.24</v>
      </c>
      <c r="O814" s="8">
        <v>0.2424</v>
      </c>
      <c r="P814" s="8">
        <v>0.65</v>
      </c>
      <c r="Q814" s="8">
        <v>0.16420000000000001</v>
      </c>
      <c r="R814" s="6">
        <v>0</v>
      </c>
      <c r="S814" s="6">
        <v>8</v>
      </c>
      <c r="T814" s="6">
        <v>8</v>
      </c>
      <c r="U814" s="8">
        <f t="shared" si="126"/>
        <v>-0.64378142061299781</v>
      </c>
      <c r="V814" s="8" t="str">
        <f t="shared" si="127"/>
        <v>Normal</v>
      </c>
      <c r="W814" s="8">
        <f t="shared" si="128"/>
        <v>-0.94757235970601739</v>
      </c>
      <c r="X814" s="8" t="str">
        <f t="shared" si="129"/>
        <v>Normal</v>
      </c>
    </row>
    <row r="815" spans="1:24" x14ac:dyDescent="0.25">
      <c r="A815" s="6">
        <v>814</v>
      </c>
      <c r="B815" s="7">
        <v>40580</v>
      </c>
      <c r="C815" s="6">
        <v>2</v>
      </c>
      <c r="D815" s="6" t="str">
        <f t="shared" si="120"/>
        <v>february</v>
      </c>
      <c r="E815" s="6">
        <v>8</v>
      </c>
      <c r="F815" s="6" t="str">
        <f t="shared" si="121"/>
        <v>Morning</v>
      </c>
      <c r="G815" s="6" t="b">
        <v>0</v>
      </c>
      <c r="H815" s="6">
        <f t="shared" si="122"/>
        <v>0</v>
      </c>
      <c r="I815" s="6">
        <v>0</v>
      </c>
      <c r="J815" s="6" t="str">
        <f t="shared" si="123"/>
        <v>Sunday</v>
      </c>
      <c r="K815" s="6">
        <f t="shared" si="124"/>
        <v>1</v>
      </c>
      <c r="L815" s="6">
        <v>1</v>
      </c>
      <c r="M815" s="6" t="str">
        <f t="shared" si="125"/>
        <v>Partly cloudy</v>
      </c>
      <c r="N815" s="8">
        <v>0.24</v>
      </c>
      <c r="O815" s="8">
        <v>0.2576</v>
      </c>
      <c r="P815" s="8">
        <v>0.65</v>
      </c>
      <c r="Q815" s="8">
        <v>0.1045</v>
      </c>
      <c r="R815" s="6">
        <v>2</v>
      </c>
      <c r="S815" s="6">
        <v>21</v>
      </c>
      <c r="T815" s="6">
        <v>23</v>
      </c>
      <c r="U815" s="8">
        <f t="shared" si="126"/>
        <v>-0.38213483633622569</v>
      </c>
      <c r="V815" s="8" t="str">
        <f t="shared" si="127"/>
        <v>Normal</v>
      </c>
      <c r="W815" s="8">
        <f t="shared" si="128"/>
        <v>-0.67613942939779126</v>
      </c>
      <c r="X815" s="8" t="str">
        <f t="shared" si="129"/>
        <v>Normal</v>
      </c>
    </row>
    <row r="816" spans="1:24" x14ac:dyDescent="0.25">
      <c r="A816" s="6">
        <v>815</v>
      </c>
      <c r="B816" s="7">
        <v>40580</v>
      </c>
      <c r="C816" s="6">
        <v>2</v>
      </c>
      <c r="D816" s="6" t="str">
        <f t="shared" si="120"/>
        <v>february</v>
      </c>
      <c r="E816" s="6">
        <v>9</v>
      </c>
      <c r="F816" s="6" t="str">
        <f t="shared" si="121"/>
        <v>Morning</v>
      </c>
      <c r="G816" s="6" t="b">
        <v>0</v>
      </c>
      <c r="H816" s="6">
        <f t="shared" si="122"/>
        <v>0</v>
      </c>
      <c r="I816" s="6">
        <v>0</v>
      </c>
      <c r="J816" s="6" t="str">
        <f t="shared" si="123"/>
        <v>Sunday</v>
      </c>
      <c r="K816" s="6">
        <f t="shared" si="124"/>
        <v>1</v>
      </c>
      <c r="L816" s="6">
        <v>1</v>
      </c>
      <c r="M816" s="6" t="str">
        <f t="shared" si="125"/>
        <v>Partly cloudy</v>
      </c>
      <c r="N816" s="8">
        <v>0.28000000000000003</v>
      </c>
      <c r="O816" s="8">
        <v>0.28789999999999999</v>
      </c>
      <c r="P816" s="8">
        <v>0.56000000000000005</v>
      </c>
      <c r="Q816" s="8">
        <v>0.1045</v>
      </c>
      <c r="R816" s="6">
        <v>7</v>
      </c>
      <c r="S816" s="6">
        <v>38</v>
      </c>
      <c r="T816" s="6">
        <v>45</v>
      </c>
      <c r="U816" s="8">
        <f t="shared" si="126"/>
        <v>0.27198162435570455</v>
      </c>
      <c r="V816" s="8" t="str">
        <f t="shared" si="127"/>
        <v>Normal</v>
      </c>
      <c r="W816" s="8">
        <f t="shared" si="128"/>
        <v>-0.32118867437934173</v>
      </c>
      <c r="X816" s="8" t="str">
        <f t="shared" si="129"/>
        <v>Normal</v>
      </c>
    </row>
    <row r="817" spans="1:24" x14ac:dyDescent="0.25">
      <c r="A817" s="6">
        <v>816</v>
      </c>
      <c r="B817" s="7">
        <v>40580</v>
      </c>
      <c r="C817" s="6">
        <v>2</v>
      </c>
      <c r="D817" s="6" t="str">
        <f t="shared" si="120"/>
        <v>february</v>
      </c>
      <c r="E817" s="6">
        <v>10</v>
      </c>
      <c r="F817" s="6" t="str">
        <f t="shared" si="121"/>
        <v>Morning</v>
      </c>
      <c r="G817" s="6" t="b">
        <v>0</v>
      </c>
      <c r="H817" s="6">
        <f t="shared" si="122"/>
        <v>0</v>
      </c>
      <c r="I817" s="6">
        <v>0</v>
      </c>
      <c r="J817" s="6" t="str">
        <f t="shared" si="123"/>
        <v>Sunday</v>
      </c>
      <c r="K817" s="6">
        <f t="shared" si="124"/>
        <v>1</v>
      </c>
      <c r="L817" s="6">
        <v>1</v>
      </c>
      <c r="M817" s="6" t="str">
        <f t="shared" si="125"/>
        <v>Partly cloudy</v>
      </c>
      <c r="N817" s="8">
        <v>0.3</v>
      </c>
      <c r="O817" s="8">
        <v>0.28789999999999999</v>
      </c>
      <c r="P817" s="8">
        <v>0.52</v>
      </c>
      <c r="Q817" s="8">
        <v>0.25369999999999998</v>
      </c>
      <c r="R817" s="6">
        <v>15</v>
      </c>
      <c r="S817" s="6">
        <v>74</v>
      </c>
      <c r="T817" s="6">
        <v>89</v>
      </c>
      <c r="U817" s="8">
        <f t="shared" si="126"/>
        <v>1.3185679614627932</v>
      </c>
      <c r="V817" s="8" t="str">
        <f t="shared" si="127"/>
        <v>Normal</v>
      </c>
      <c r="W817" s="8">
        <f t="shared" si="128"/>
        <v>0.43047174801266896</v>
      </c>
      <c r="X817" s="8" t="str">
        <f t="shared" si="129"/>
        <v>Normal</v>
      </c>
    </row>
    <row r="818" spans="1:24" x14ac:dyDescent="0.25">
      <c r="A818" s="6">
        <v>817</v>
      </c>
      <c r="B818" s="7">
        <v>40580</v>
      </c>
      <c r="C818" s="6">
        <v>2</v>
      </c>
      <c r="D818" s="6" t="str">
        <f t="shared" si="120"/>
        <v>february</v>
      </c>
      <c r="E818" s="6">
        <v>11</v>
      </c>
      <c r="F818" s="6" t="str">
        <f t="shared" si="121"/>
        <v>Morning</v>
      </c>
      <c r="G818" s="6" t="b">
        <v>0</v>
      </c>
      <c r="H818" s="6">
        <f t="shared" si="122"/>
        <v>0</v>
      </c>
      <c r="I818" s="6">
        <v>0</v>
      </c>
      <c r="J818" s="6" t="str">
        <f t="shared" si="123"/>
        <v>Sunday</v>
      </c>
      <c r="K818" s="6">
        <f t="shared" si="124"/>
        <v>1</v>
      </c>
      <c r="L818" s="6">
        <v>1</v>
      </c>
      <c r="M818" s="6" t="str">
        <f t="shared" si="125"/>
        <v>Partly cloudy</v>
      </c>
      <c r="N818" s="8">
        <v>0.32</v>
      </c>
      <c r="O818" s="8">
        <v>0.30299999999999999</v>
      </c>
      <c r="P818" s="8">
        <v>0.49</v>
      </c>
      <c r="Q818" s="8">
        <v>0.25369999999999998</v>
      </c>
      <c r="R818" s="6">
        <v>28</v>
      </c>
      <c r="S818" s="6">
        <v>89</v>
      </c>
      <c r="T818" s="6">
        <v>117</v>
      </c>
      <c r="U818" s="8">
        <f t="shared" si="126"/>
        <v>3.0192707592618118</v>
      </c>
      <c r="V818" s="8" t="str">
        <f t="shared" si="127"/>
        <v>Peak</v>
      </c>
      <c r="W818" s="8">
        <f t="shared" si="128"/>
        <v>0.74366359067600685</v>
      </c>
      <c r="X818" s="8" t="str">
        <f t="shared" si="129"/>
        <v>Normal</v>
      </c>
    </row>
    <row r="819" spans="1:24" x14ac:dyDescent="0.25">
      <c r="A819" s="6">
        <v>818</v>
      </c>
      <c r="B819" s="7">
        <v>40580</v>
      </c>
      <c r="C819" s="6">
        <v>2</v>
      </c>
      <c r="D819" s="6" t="str">
        <f t="shared" si="120"/>
        <v>february</v>
      </c>
      <c r="E819" s="6">
        <v>12</v>
      </c>
      <c r="F819" s="6" t="str">
        <f t="shared" si="121"/>
        <v>Afternoon</v>
      </c>
      <c r="G819" s="6" t="b">
        <v>0</v>
      </c>
      <c r="H819" s="6">
        <f t="shared" si="122"/>
        <v>0</v>
      </c>
      <c r="I819" s="6">
        <v>0</v>
      </c>
      <c r="J819" s="6" t="str">
        <f t="shared" si="123"/>
        <v>Sunday</v>
      </c>
      <c r="K819" s="6">
        <f t="shared" si="124"/>
        <v>1</v>
      </c>
      <c r="L819" s="6">
        <v>1</v>
      </c>
      <c r="M819" s="6" t="str">
        <f t="shared" si="125"/>
        <v>Partly cloudy</v>
      </c>
      <c r="N819" s="8">
        <v>0.34</v>
      </c>
      <c r="O819" s="8">
        <v>0.33329999999999999</v>
      </c>
      <c r="P819" s="8">
        <v>0.46</v>
      </c>
      <c r="Q819" s="8">
        <v>0</v>
      </c>
      <c r="R819" s="6">
        <v>48</v>
      </c>
      <c r="S819" s="6">
        <v>126</v>
      </c>
      <c r="T819" s="6">
        <v>174</v>
      </c>
      <c r="U819" s="8">
        <f t="shared" si="126"/>
        <v>5.6357366020295334</v>
      </c>
      <c r="V819" s="8" t="str">
        <f t="shared" si="127"/>
        <v>Peak</v>
      </c>
      <c r="W819" s="8">
        <f t="shared" si="128"/>
        <v>1.5162034692455733</v>
      </c>
      <c r="X819" s="8" t="str">
        <f t="shared" si="129"/>
        <v>Normal</v>
      </c>
    </row>
    <row r="820" spans="1:24" x14ac:dyDescent="0.25">
      <c r="A820" s="6">
        <v>819</v>
      </c>
      <c r="B820" s="7">
        <v>40580</v>
      </c>
      <c r="C820" s="6">
        <v>2</v>
      </c>
      <c r="D820" s="6" t="str">
        <f t="shared" si="120"/>
        <v>february</v>
      </c>
      <c r="E820" s="6">
        <v>13</v>
      </c>
      <c r="F820" s="6" t="str">
        <f t="shared" si="121"/>
        <v>Afternoon</v>
      </c>
      <c r="G820" s="6" t="b">
        <v>0</v>
      </c>
      <c r="H820" s="6">
        <f t="shared" si="122"/>
        <v>0</v>
      </c>
      <c r="I820" s="6">
        <v>0</v>
      </c>
      <c r="J820" s="6" t="str">
        <f t="shared" si="123"/>
        <v>Sunday</v>
      </c>
      <c r="K820" s="6">
        <f t="shared" si="124"/>
        <v>1</v>
      </c>
      <c r="L820" s="6">
        <v>1</v>
      </c>
      <c r="M820" s="6" t="str">
        <f t="shared" si="125"/>
        <v>Partly cloudy</v>
      </c>
      <c r="N820" s="8">
        <v>0.34</v>
      </c>
      <c r="O820" s="8">
        <v>0.36359999999999998</v>
      </c>
      <c r="P820" s="8">
        <v>0.46</v>
      </c>
      <c r="Q820" s="8">
        <v>0</v>
      </c>
      <c r="R820" s="6">
        <v>47</v>
      </c>
      <c r="S820" s="6">
        <v>135</v>
      </c>
      <c r="T820" s="6">
        <v>182</v>
      </c>
      <c r="U820" s="8">
        <f t="shared" si="126"/>
        <v>5.5049133098911467</v>
      </c>
      <c r="V820" s="8" t="str">
        <f t="shared" si="127"/>
        <v>Peak</v>
      </c>
      <c r="W820" s="8">
        <f t="shared" si="128"/>
        <v>1.7041185748435759</v>
      </c>
      <c r="X820" s="8" t="str">
        <f t="shared" si="129"/>
        <v>Normal</v>
      </c>
    </row>
    <row r="821" spans="1:24" x14ac:dyDescent="0.25">
      <c r="A821" s="6">
        <v>820</v>
      </c>
      <c r="B821" s="7">
        <v>40580</v>
      </c>
      <c r="C821" s="6">
        <v>2</v>
      </c>
      <c r="D821" s="6" t="str">
        <f t="shared" si="120"/>
        <v>february</v>
      </c>
      <c r="E821" s="6">
        <v>14</v>
      </c>
      <c r="F821" s="6" t="str">
        <f t="shared" si="121"/>
        <v>Afternoon</v>
      </c>
      <c r="G821" s="6" t="b">
        <v>0</v>
      </c>
      <c r="H821" s="6">
        <f t="shared" si="122"/>
        <v>0</v>
      </c>
      <c r="I821" s="6">
        <v>0</v>
      </c>
      <c r="J821" s="6" t="str">
        <f t="shared" si="123"/>
        <v>Sunday</v>
      </c>
      <c r="K821" s="6">
        <f t="shared" si="124"/>
        <v>1</v>
      </c>
      <c r="L821" s="6">
        <v>1</v>
      </c>
      <c r="M821" s="6" t="str">
        <f t="shared" si="125"/>
        <v>Partly cloudy</v>
      </c>
      <c r="N821" s="8">
        <v>0.34</v>
      </c>
      <c r="O821" s="8">
        <v>0.34849999999999998</v>
      </c>
      <c r="P821" s="8">
        <v>0.46</v>
      </c>
      <c r="Q821" s="8">
        <v>8.9599999999999999E-2</v>
      </c>
      <c r="R821" s="6">
        <v>47</v>
      </c>
      <c r="S821" s="6">
        <v>114</v>
      </c>
      <c r="T821" s="6">
        <v>161</v>
      </c>
      <c r="U821" s="8">
        <f t="shared" si="126"/>
        <v>5.5049133098911467</v>
      </c>
      <c r="V821" s="8" t="str">
        <f t="shared" si="127"/>
        <v>Peak</v>
      </c>
      <c r="W821" s="8">
        <f t="shared" si="128"/>
        <v>1.2656499951149032</v>
      </c>
      <c r="X821" s="8" t="str">
        <f t="shared" si="129"/>
        <v>Normal</v>
      </c>
    </row>
    <row r="822" spans="1:24" x14ac:dyDescent="0.25">
      <c r="A822" s="6">
        <v>821</v>
      </c>
      <c r="B822" s="7">
        <v>40580</v>
      </c>
      <c r="C822" s="6">
        <v>2</v>
      </c>
      <c r="D822" s="6" t="str">
        <f t="shared" si="120"/>
        <v>february</v>
      </c>
      <c r="E822" s="6">
        <v>15</v>
      </c>
      <c r="F822" s="6" t="str">
        <f t="shared" si="121"/>
        <v>Afternoon</v>
      </c>
      <c r="G822" s="6" t="b">
        <v>0</v>
      </c>
      <c r="H822" s="6">
        <f t="shared" si="122"/>
        <v>0</v>
      </c>
      <c r="I822" s="6">
        <v>0</v>
      </c>
      <c r="J822" s="6" t="str">
        <f t="shared" si="123"/>
        <v>Sunday</v>
      </c>
      <c r="K822" s="6">
        <f t="shared" si="124"/>
        <v>1</v>
      </c>
      <c r="L822" s="6">
        <v>1</v>
      </c>
      <c r="M822" s="6" t="str">
        <f t="shared" si="125"/>
        <v>Partly cloudy</v>
      </c>
      <c r="N822" s="8">
        <v>0.34</v>
      </c>
      <c r="O822" s="8">
        <v>0.34849999999999998</v>
      </c>
      <c r="P822" s="8">
        <v>0.46</v>
      </c>
      <c r="Q822" s="8">
        <v>8.9599999999999999E-2</v>
      </c>
      <c r="R822" s="6">
        <v>52</v>
      </c>
      <c r="S822" s="6">
        <v>130</v>
      </c>
      <c r="T822" s="6">
        <v>182</v>
      </c>
      <c r="U822" s="8">
        <f t="shared" si="126"/>
        <v>6.1590297705830777</v>
      </c>
      <c r="V822" s="8" t="str">
        <f t="shared" si="127"/>
        <v>Peak</v>
      </c>
      <c r="W822" s="8">
        <f t="shared" si="128"/>
        <v>1.5997212939557968</v>
      </c>
      <c r="X822" s="8" t="str">
        <f t="shared" si="129"/>
        <v>Normal</v>
      </c>
    </row>
    <row r="823" spans="1:24" x14ac:dyDescent="0.25">
      <c r="A823" s="6">
        <v>822</v>
      </c>
      <c r="B823" s="7">
        <v>40580</v>
      </c>
      <c r="C823" s="6">
        <v>2</v>
      </c>
      <c r="D823" s="6" t="str">
        <f t="shared" si="120"/>
        <v>february</v>
      </c>
      <c r="E823" s="6">
        <v>16</v>
      </c>
      <c r="F823" s="6" t="str">
        <f t="shared" si="121"/>
        <v>Afternoon</v>
      </c>
      <c r="G823" s="6" t="b">
        <v>0</v>
      </c>
      <c r="H823" s="6">
        <f t="shared" si="122"/>
        <v>0</v>
      </c>
      <c r="I823" s="6">
        <v>0</v>
      </c>
      <c r="J823" s="6" t="str">
        <f t="shared" si="123"/>
        <v>Sunday</v>
      </c>
      <c r="K823" s="6">
        <f t="shared" si="124"/>
        <v>1</v>
      </c>
      <c r="L823" s="6">
        <v>1</v>
      </c>
      <c r="M823" s="6" t="str">
        <f t="shared" si="125"/>
        <v>Partly cloudy</v>
      </c>
      <c r="N823" s="8">
        <v>0.34</v>
      </c>
      <c r="O823" s="8">
        <v>0.34849999999999998</v>
      </c>
      <c r="P823" s="8">
        <v>0.49</v>
      </c>
      <c r="Q823" s="8">
        <v>0.1045</v>
      </c>
      <c r="R823" s="6">
        <v>42</v>
      </c>
      <c r="S823" s="6">
        <v>115</v>
      </c>
      <c r="T823" s="6">
        <v>157</v>
      </c>
      <c r="U823" s="8">
        <f t="shared" si="126"/>
        <v>4.8507968491992166</v>
      </c>
      <c r="V823" s="8" t="str">
        <f t="shared" si="127"/>
        <v>Peak</v>
      </c>
      <c r="W823" s="8">
        <f t="shared" si="128"/>
        <v>1.286529451292459</v>
      </c>
      <c r="X823" s="8" t="str">
        <f t="shared" si="129"/>
        <v>Normal</v>
      </c>
    </row>
    <row r="824" spans="1:24" x14ac:dyDescent="0.25">
      <c r="A824" s="6">
        <v>823</v>
      </c>
      <c r="B824" s="7">
        <v>40580</v>
      </c>
      <c r="C824" s="6">
        <v>2</v>
      </c>
      <c r="D824" s="6" t="str">
        <f t="shared" si="120"/>
        <v>february</v>
      </c>
      <c r="E824" s="6">
        <v>17</v>
      </c>
      <c r="F824" s="6" t="str">
        <f t="shared" si="121"/>
        <v>Evening</v>
      </c>
      <c r="G824" s="6" t="b">
        <v>0</v>
      </c>
      <c r="H824" s="6">
        <f t="shared" si="122"/>
        <v>0</v>
      </c>
      <c r="I824" s="6">
        <v>0</v>
      </c>
      <c r="J824" s="6" t="str">
        <f t="shared" si="123"/>
        <v>Sunday</v>
      </c>
      <c r="K824" s="6">
        <f t="shared" si="124"/>
        <v>1</v>
      </c>
      <c r="L824" s="6">
        <v>1</v>
      </c>
      <c r="M824" s="6" t="str">
        <f t="shared" si="125"/>
        <v>Partly cloudy</v>
      </c>
      <c r="N824" s="8">
        <v>0.34</v>
      </c>
      <c r="O824" s="8">
        <v>0.36359999999999998</v>
      </c>
      <c r="P824" s="8">
        <v>0.46</v>
      </c>
      <c r="Q824" s="8">
        <v>0</v>
      </c>
      <c r="R824" s="6">
        <v>24</v>
      </c>
      <c r="S824" s="6">
        <v>97</v>
      </c>
      <c r="T824" s="6">
        <v>121</v>
      </c>
      <c r="U824" s="8">
        <f t="shared" si="126"/>
        <v>2.4959775907082675</v>
      </c>
      <c r="V824" s="8" t="str">
        <f t="shared" si="127"/>
        <v>Peak</v>
      </c>
      <c r="W824" s="8">
        <f t="shared" si="128"/>
        <v>0.91069924009645364</v>
      </c>
      <c r="X824" s="8" t="str">
        <f t="shared" si="129"/>
        <v>Normal</v>
      </c>
    </row>
    <row r="825" spans="1:24" x14ac:dyDescent="0.25">
      <c r="A825" s="6">
        <v>824</v>
      </c>
      <c r="B825" s="7">
        <v>40580</v>
      </c>
      <c r="C825" s="6">
        <v>2</v>
      </c>
      <c r="D825" s="6" t="str">
        <f t="shared" si="120"/>
        <v>february</v>
      </c>
      <c r="E825" s="6">
        <v>18</v>
      </c>
      <c r="F825" s="6" t="str">
        <f t="shared" si="121"/>
        <v>Evening</v>
      </c>
      <c r="G825" s="6" t="b">
        <v>0</v>
      </c>
      <c r="H825" s="6">
        <f t="shared" si="122"/>
        <v>0</v>
      </c>
      <c r="I825" s="6">
        <v>0</v>
      </c>
      <c r="J825" s="6" t="str">
        <f t="shared" si="123"/>
        <v>Sunday</v>
      </c>
      <c r="K825" s="6">
        <f t="shared" si="124"/>
        <v>1</v>
      </c>
      <c r="L825" s="6">
        <v>1</v>
      </c>
      <c r="M825" s="6" t="str">
        <f t="shared" si="125"/>
        <v>Partly cloudy</v>
      </c>
      <c r="N825" s="8">
        <v>0.3</v>
      </c>
      <c r="O825" s="8">
        <v>0.30299999999999999</v>
      </c>
      <c r="P825" s="8">
        <v>0.56000000000000005</v>
      </c>
      <c r="Q825" s="8">
        <v>0.16420000000000001</v>
      </c>
      <c r="R825" s="6">
        <v>13</v>
      </c>
      <c r="S825" s="6">
        <v>65</v>
      </c>
      <c r="T825" s="6">
        <v>78</v>
      </c>
      <c r="U825" s="8">
        <f t="shared" si="126"/>
        <v>1.0569213771860211</v>
      </c>
      <c r="V825" s="8" t="str">
        <f t="shared" si="127"/>
        <v>Normal</v>
      </c>
      <c r="W825" s="8">
        <f t="shared" si="128"/>
        <v>0.24255664241466629</v>
      </c>
      <c r="X825" s="8" t="str">
        <f t="shared" si="129"/>
        <v>Normal</v>
      </c>
    </row>
    <row r="826" spans="1:24" x14ac:dyDescent="0.25">
      <c r="A826" s="6">
        <v>825</v>
      </c>
      <c r="B826" s="7">
        <v>40580</v>
      </c>
      <c r="C826" s="6">
        <v>2</v>
      </c>
      <c r="D826" s="6" t="str">
        <f t="shared" si="120"/>
        <v>february</v>
      </c>
      <c r="E826" s="6">
        <v>19</v>
      </c>
      <c r="F826" s="6" t="str">
        <f t="shared" si="121"/>
        <v>Evening</v>
      </c>
      <c r="G826" s="6" t="b">
        <v>0</v>
      </c>
      <c r="H826" s="6">
        <f t="shared" si="122"/>
        <v>0</v>
      </c>
      <c r="I826" s="6">
        <v>0</v>
      </c>
      <c r="J826" s="6" t="str">
        <f t="shared" si="123"/>
        <v>Sunday</v>
      </c>
      <c r="K826" s="6">
        <f t="shared" si="124"/>
        <v>1</v>
      </c>
      <c r="L826" s="6">
        <v>1</v>
      </c>
      <c r="M826" s="6" t="str">
        <f t="shared" si="125"/>
        <v>Partly cloudy</v>
      </c>
      <c r="N826" s="8">
        <v>0.28000000000000003</v>
      </c>
      <c r="O826" s="8">
        <v>0.28789999999999999</v>
      </c>
      <c r="P826" s="8">
        <v>0.61</v>
      </c>
      <c r="Q826" s="8">
        <v>0.1343</v>
      </c>
      <c r="R826" s="6">
        <v>1</v>
      </c>
      <c r="S826" s="6">
        <v>20</v>
      </c>
      <c r="T826" s="6">
        <v>21</v>
      </c>
      <c r="U826" s="8">
        <f t="shared" si="126"/>
        <v>-0.51295812847461175</v>
      </c>
      <c r="V826" s="8" t="str">
        <f t="shared" si="127"/>
        <v>Normal</v>
      </c>
      <c r="W826" s="8">
        <f t="shared" si="128"/>
        <v>-0.69701888557534708</v>
      </c>
      <c r="X826" s="8" t="str">
        <f t="shared" si="129"/>
        <v>Normal</v>
      </c>
    </row>
    <row r="827" spans="1:24" x14ac:dyDescent="0.25">
      <c r="A827" s="6">
        <v>826</v>
      </c>
      <c r="B827" s="7">
        <v>40580</v>
      </c>
      <c r="C827" s="6">
        <v>2</v>
      </c>
      <c r="D827" s="6" t="str">
        <f t="shared" si="120"/>
        <v>february</v>
      </c>
      <c r="E827" s="6">
        <v>20</v>
      </c>
      <c r="F827" s="6" t="str">
        <f t="shared" si="121"/>
        <v>Evening</v>
      </c>
      <c r="G827" s="6" t="b">
        <v>0</v>
      </c>
      <c r="H827" s="6">
        <f t="shared" si="122"/>
        <v>0</v>
      </c>
      <c r="I827" s="6">
        <v>0</v>
      </c>
      <c r="J827" s="6" t="str">
        <f t="shared" si="123"/>
        <v>Sunday</v>
      </c>
      <c r="K827" s="6">
        <f t="shared" si="124"/>
        <v>1</v>
      </c>
      <c r="L827" s="6">
        <v>1</v>
      </c>
      <c r="M827" s="6" t="str">
        <f t="shared" si="125"/>
        <v>Partly cloudy</v>
      </c>
      <c r="N827" s="8">
        <v>0.28000000000000003</v>
      </c>
      <c r="O827" s="8">
        <v>0.28789999999999999</v>
      </c>
      <c r="P827" s="8">
        <v>0.61</v>
      </c>
      <c r="Q827" s="8">
        <v>0.1045</v>
      </c>
      <c r="R827" s="6">
        <v>5</v>
      </c>
      <c r="S827" s="6">
        <v>21</v>
      </c>
      <c r="T827" s="6">
        <v>26</v>
      </c>
      <c r="U827" s="8">
        <f t="shared" si="126"/>
        <v>1.0335040078932463E-2</v>
      </c>
      <c r="V827" s="8" t="str">
        <f t="shared" si="127"/>
        <v>Normal</v>
      </c>
      <c r="W827" s="8">
        <f t="shared" si="128"/>
        <v>-0.67613942939779126</v>
      </c>
      <c r="X827" s="8" t="str">
        <f t="shared" si="129"/>
        <v>Normal</v>
      </c>
    </row>
    <row r="828" spans="1:24" x14ac:dyDescent="0.25">
      <c r="A828" s="6">
        <v>827</v>
      </c>
      <c r="B828" s="7">
        <v>40580</v>
      </c>
      <c r="C828" s="6">
        <v>2</v>
      </c>
      <c r="D828" s="6" t="str">
        <f t="shared" si="120"/>
        <v>february</v>
      </c>
      <c r="E828" s="6">
        <v>21</v>
      </c>
      <c r="F828" s="6" t="str">
        <f t="shared" si="121"/>
        <v>Night</v>
      </c>
      <c r="G828" s="6" t="b">
        <v>0</v>
      </c>
      <c r="H828" s="6">
        <f t="shared" si="122"/>
        <v>0</v>
      </c>
      <c r="I828" s="6">
        <v>0</v>
      </c>
      <c r="J828" s="6" t="str">
        <f t="shared" si="123"/>
        <v>Sunday</v>
      </c>
      <c r="K828" s="6">
        <f t="shared" si="124"/>
        <v>1</v>
      </c>
      <c r="L828" s="6">
        <v>1</v>
      </c>
      <c r="M828" s="6" t="str">
        <f t="shared" si="125"/>
        <v>Partly cloudy</v>
      </c>
      <c r="N828" s="8">
        <v>0.26</v>
      </c>
      <c r="O828" s="8">
        <v>0.30299999999999999</v>
      </c>
      <c r="P828" s="8">
        <v>0.6</v>
      </c>
      <c r="Q828" s="8">
        <v>0</v>
      </c>
      <c r="R828" s="6">
        <v>5</v>
      </c>
      <c r="S828" s="6">
        <v>22</v>
      </c>
      <c r="T828" s="6">
        <v>27</v>
      </c>
      <c r="U828" s="8">
        <f t="shared" si="126"/>
        <v>1.0335040078932463E-2</v>
      </c>
      <c r="V828" s="8" t="str">
        <f t="shared" si="127"/>
        <v>Normal</v>
      </c>
      <c r="W828" s="8">
        <f t="shared" si="128"/>
        <v>-0.65525997322023544</v>
      </c>
      <c r="X828" s="8" t="str">
        <f t="shared" si="129"/>
        <v>Normal</v>
      </c>
    </row>
    <row r="829" spans="1:24" x14ac:dyDescent="0.25">
      <c r="A829" s="6">
        <v>828</v>
      </c>
      <c r="B829" s="7">
        <v>40580</v>
      </c>
      <c r="C829" s="6">
        <v>2</v>
      </c>
      <c r="D829" s="6" t="str">
        <f t="shared" si="120"/>
        <v>february</v>
      </c>
      <c r="E829" s="6">
        <v>22</v>
      </c>
      <c r="F829" s="6" t="str">
        <f t="shared" si="121"/>
        <v>Night</v>
      </c>
      <c r="G829" s="6" t="b">
        <v>0</v>
      </c>
      <c r="H829" s="6">
        <f t="shared" si="122"/>
        <v>0</v>
      </c>
      <c r="I829" s="6">
        <v>0</v>
      </c>
      <c r="J829" s="6" t="str">
        <f t="shared" si="123"/>
        <v>Sunday</v>
      </c>
      <c r="K829" s="6">
        <f t="shared" si="124"/>
        <v>1</v>
      </c>
      <c r="L829" s="6">
        <v>1</v>
      </c>
      <c r="M829" s="6" t="str">
        <f t="shared" si="125"/>
        <v>Partly cloudy</v>
      </c>
      <c r="N829" s="8">
        <v>0.26</v>
      </c>
      <c r="O829" s="8">
        <v>0.30299999999999999</v>
      </c>
      <c r="P829" s="8">
        <v>0.6</v>
      </c>
      <c r="Q829" s="8">
        <v>0</v>
      </c>
      <c r="R829" s="6">
        <v>5</v>
      </c>
      <c r="S829" s="6">
        <v>57</v>
      </c>
      <c r="T829" s="6">
        <v>62</v>
      </c>
      <c r="U829" s="8">
        <f t="shared" si="126"/>
        <v>1.0335040078932463E-2</v>
      </c>
      <c r="V829" s="8" t="str">
        <f t="shared" si="127"/>
        <v>Normal</v>
      </c>
      <c r="W829" s="8">
        <f t="shared" si="128"/>
        <v>7.5520992994219466E-2</v>
      </c>
      <c r="X829" s="8" t="str">
        <f t="shared" si="129"/>
        <v>Normal</v>
      </c>
    </row>
    <row r="830" spans="1:24" x14ac:dyDescent="0.25">
      <c r="A830" s="6">
        <v>829</v>
      </c>
      <c r="B830" s="7">
        <v>40580</v>
      </c>
      <c r="C830" s="6">
        <v>2</v>
      </c>
      <c r="D830" s="6" t="str">
        <f t="shared" si="120"/>
        <v>february</v>
      </c>
      <c r="E830" s="6">
        <v>23</v>
      </c>
      <c r="F830" s="6" t="str">
        <f t="shared" si="121"/>
        <v>Night</v>
      </c>
      <c r="G830" s="6" t="b">
        <v>0</v>
      </c>
      <c r="H830" s="6">
        <f t="shared" si="122"/>
        <v>0</v>
      </c>
      <c r="I830" s="6">
        <v>0</v>
      </c>
      <c r="J830" s="6" t="str">
        <f t="shared" si="123"/>
        <v>Sunday</v>
      </c>
      <c r="K830" s="6">
        <f t="shared" si="124"/>
        <v>1</v>
      </c>
      <c r="L830" s="6">
        <v>1</v>
      </c>
      <c r="M830" s="6" t="str">
        <f t="shared" si="125"/>
        <v>Partly cloudy</v>
      </c>
      <c r="N830" s="8">
        <v>0.24</v>
      </c>
      <c r="O830" s="8">
        <v>0.28789999999999999</v>
      </c>
      <c r="P830" s="8">
        <v>0.65</v>
      </c>
      <c r="Q830" s="8">
        <v>0</v>
      </c>
      <c r="R830" s="6">
        <v>4</v>
      </c>
      <c r="S830" s="6">
        <v>26</v>
      </c>
      <c r="T830" s="6">
        <v>30</v>
      </c>
      <c r="U830" s="8">
        <f t="shared" si="126"/>
        <v>-0.1204882520594536</v>
      </c>
      <c r="V830" s="8" t="str">
        <f t="shared" si="127"/>
        <v>Normal</v>
      </c>
      <c r="W830" s="8">
        <f t="shared" si="128"/>
        <v>-0.57174214851001204</v>
      </c>
      <c r="X830" s="8" t="str">
        <f t="shared" si="129"/>
        <v>Normal</v>
      </c>
    </row>
    <row r="831" spans="1:24" x14ac:dyDescent="0.25">
      <c r="A831" s="6">
        <v>830</v>
      </c>
      <c r="B831" s="7">
        <v>40581</v>
      </c>
      <c r="C831" s="6">
        <v>2</v>
      </c>
      <c r="D831" s="6" t="str">
        <f t="shared" si="120"/>
        <v>february</v>
      </c>
      <c r="E831" s="6">
        <v>0</v>
      </c>
      <c r="F831" s="6" t="str">
        <f t="shared" si="121"/>
        <v>Night</v>
      </c>
      <c r="G831" s="6" t="b">
        <v>0</v>
      </c>
      <c r="H831" s="6">
        <f t="shared" si="122"/>
        <v>0</v>
      </c>
      <c r="I831" s="6">
        <v>1</v>
      </c>
      <c r="J831" s="6" t="str">
        <f t="shared" si="123"/>
        <v>Monday</v>
      </c>
      <c r="K831" s="6">
        <f t="shared" si="124"/>
        <v>0</v>
      </c>
      <c r="L831" s="6">
        <v>1</v>
      </c>
      <c r="M831" s="6" t="str">
        <f t="shared" si="125"/>
        <v>Partly cloudy</v>
      </c>
      <c r="N831" s="8">
        <v>0.24</v>
      </c>
      <c r="O831" s="8">
        <v>0.28789999999999999</v>
      </c>
      <c r="P831" s="8">
        <v>0.65</v>
      </c>
      <c r="Q831" s="8">
        <v>0</v>
      </c>
      <c r="R831" s="6">
        <v>1</v>
      </c>
      <c r="S831" s="6">
        <v>14</v>
      </c>
      <c r="T831" s="6">
        <v>15</v>
      </c>
      <c r="U831" s="8">
        <f t="shared" si="126"/>
        <v>-0.51295812847461175</v>
      </c>
      <c r="V831" s="8" t="str">
        <f t="shared" si="127"/>
        <v>Normal</v>
      </c>
      <c r="W831" s="8">
        <f t="shared" si="128"/>
        <v>-0.82229562264068223</v>
      </c>
      <c r="X831" s="8" t="str">
        <f t="shared" si="129"/>
        <v>Normal</v>
      </c>
    </row>
    <row r="832" spans="1:24" x14ac:dyDescent="0.25">
      <c r="A832" s="6">
        <v>831</v>
      </c>
      <c r="B832" s="7">
        <v>40581</v>
      </c>
      <c r="C832" s="6">
        <v>2</v>
      </c>
      <c r="D832" s="6" t="str">
        <f t="shared" si="120"/>
        <v>february</v>
      </c>
      <c r="E832" s="6">
        <v>1</v>
      </c>
      <c r="F832" s="6" t="str">
        <f t="shared" si="121"/>
        <v>Night</v>
      </c>
      <c r="G832" s="6" t="b">
        <v>0</v>
      </c>
      <c r="H832" s="6">
        <f t="shared" si="122"/>
        <v>0</v>
      </c>
      <c r="I832" s="6">
        <v>1</v>
      </c>
      <c r="J832" s="6" t="str">
        <f t="shared" si="123"/>
        <v>Monday</v>
      </c>
      <c r="K832" s="6">
        <f t="shared" si="124"/>
        <v>0</v>
      </c>
      <c r="L832" s="6">
        <v>1</v>
      </c>
      <c r="M832" s="6" t="str">
        <f t="shared" si="125"/>
        <v>Partly cloudy</v>
      </c>
      <c r="N832" s="8">
        <v>0.22</v>
      </c>
      <c r="O832" s="8">
        <v>0.2727</v>
      </c>
      <c r="P832" s="8">
        <v>0.75</v>
      </c>
      <c r="Q832" s="8">
        <v>0</v>
      </c>
      <c r="R832" s="6">
        <v>1</v>
      </c>
      <c r="S832" s="6">
        <v>4</v>
      </c>
      <c r="T832" s="6">
        <v>5</v>
      </c>
      <c r="U832" s="8">
        <f t="shared" si="126"/>
        <v>-0.51295812847461175</v>
      </c>
      <c r="V832" s="8" t="str">
        <f t="shared" si="127"/>
        <v>Normal</v>
      </c>
      <c r="W832" s="8">
        <f t="shared" si="128"/>
        <v>-1.0310901844162408</v>
      </c>
      <c r="X832" s="8" t="str">
        <f t="shared" si="129"/>
        <v>Normal</v>
      </c>
    </row>
    <row r="833" spans="1:24" x14ac:dyDescent="0.25">
      <c r="A833" s="6">
        <v>832</v>
      </c>
      <c r="B833" s="7">
        <v>40581</v>
      </c>
      <c r="C833" s="6">
        <v>2</v>
      </c>
      <c r="D833" s="6" t="str">
        <f t="shared" si="120"/>
        <v>february</v>
      </c>
      <c r="E833" s="6">
        <v>2</v>
      </c>
      <c r="F833" s="6" t="str">
        <f t="shared" si="121"/>
        <v>Night</v>
      </c>
      <c r="G833" s="6" t="b">
        <v>0</v>
      </c>
      <c r="H833" s="6">
        <f t="shared" si="122"/>
        <v>0</v>
      </c>
      <c r="I833" s="6">
        <v>1</v>
      </c>
      <c r="J833" s="6" t="str">
        <f t="shared" si="123"/>
        <v>Monday</v>
      </c>
      <c r="K833" s="6">
        <f t="shared" si="124"/>
        <v>0</v>
      </c>
      <c r="L833" s="6">
        <v>1</v>
      </c>
      <c r="M833" s="6" t="str">
        <f t="shared" si="125"/>
        <v>Partly cloudy</v>
      </c>
      <c r="N833" s="8">
        <v>0.2</v>
      </c>
      <c r="O833" s="8">
        <v>0.2576</v>
      </c>
      <c r="P833" s="8">
        <v>0.8</v>
      </c>
      <c r="Q833" s="8">
        <v>0</v>
      </c>
      <c r="R833" s="6">
        <v>0</v>
      </c>
      <c r="S833" s="6">
        <v>3</v>
      </c>
      <c r="T833" s="6">
        <v>3</v>
      </c>
      <c r="U833" s="8">
        <f t="shared" si="126"/>
        <v>-0.64378142061299781</v>
      </c>
      <c r="V833" s="8" t="str">
        <f t="shared" si="127"/>
        <v>Normal</v>
      </c>
      <c r="W833" s="8">
        <f t="shared" si="128"/>
        <v>-1.0519696405937966</v>
      </c>
      <c r="X833" s="8" t="str">
        <f t="shared" si="129"/>
        <v>Normal</v>
      </c>
    </row>
    <row r="834" spans="1:24" x14ac:dyDescent="0.25">
      <c r="A834" s="6">
        <v>833</v>
      </c>
      <c r="B834" s="7">
        <v>40581</v>
      </c>
      <c r="C834" s="6">
        <v>2</v>
      </c>
      <c r="D834" s="6" t="str">
        <f t="shared" ref="D834:D897" si="130">IF(C834=1,"january",IF(C834=2,"february"))</f>
        <v>february</v>
      </c>
      <c r="E834" s="6">
        <v>3</v>
      </c>
      <c r="F834" s="6" t="str">
        <f t="shared" ref="F834:F897" si="131">IF(AND(E834&gt;=5,E834&lt;8),"Early Morning", IF(AND(E834&gt;=8,E834&lt;12),"Morning", IF(AND(E834&gt;=12,E834&lt;17),"Afternoon", IF(AND(E834&gt;=17,E834&lt;21),"Evening","Night"))))</f>
        <v>Night</v>
      </c>
      <c r="G834" s="6" t="b">
        <v>0</v>
      </c>
      <c r="H834" s="6">
        <f t="shared" ref="H834:H897" si="132">IF(G834=FALSE,0,IF(G834=TRUE,1))</f>
        <v>0</v>
      </c>
      <c r="I834" s="6">
        <v>1</v>
      </c>
      <c r="J834" s="6" t="str">
        <f t="shared" ref="J834:J897" si="133">TEXT(B834,"dddd")</f>
        <v>Monday</v>
      </c>
      <c r="K834" s="6">
        <f t="shared" ref="K834:K897" si="134">IF(OR(J834="Saturday",J834="Sunday"),1,0)</f>
        <v>0</v>
      </c>
      <c r="L834" s="6">
        <v>1</v>
      </c>
      <c r="M834" s="6" t="str">
        <f t="shared" ref="M834:M897" si="135">IF(L834=0,"clear sky",IF(L834=1,"Partly cloudy",IF(L834=2,"Cloudy",IF(L834=3,"Light rain",IF(L834=4,"Heavy rain")))))</f>
        <v>Partly cloudy</v>
      </c>
      <c r="N834" s="8">
        <v>0.2</v>
      </c>
      <c r="O834" s="8">
        <v>0.2576</v>
      </c>
      <c r="P834" s="8">
        <v>0.86</v>
      </c>
      <c r="Q834" s="8">
        <v>0</v>
      </c>
      <c r="R834" s="6">
        <v>0</v>
      </c>
      <c r="S834" s="6">
        <v>1</v>
      </c>
      <c r="T834" s="6">
        <v>1</v>
      </c>
      <c r="U834" s="8">
        <f t="shared" ref="U834:U897" si="136">(R834-$AA$7)/$AA$9</f>
        <v>-0.64378142061299781</v>
      </c>
      <c r="V834" s="8" t="str">
        <f t="shared" ref="V834:V897" si="137">IF(ABS(U834)&gt;2,"Peak","Normal")</f>
        <v>Normal</v>
      </c>
      <c r="W834" s="8">
        <f t="shared" ref="W834:W897" si="138">(S834-$AA$11)/$AA$13</f>
        <v>-1.0937285529489083</v>
      </c>
      <c r="X834" s="8" t="str">
        <f t="shared" ref="X834:X897" si="139">IF(ABS(W834)&gt;2,"Peak","Normal")</f>
        <v>Normal</v>
      </c>
    </row>
    <row r="835" spans="1:24" x14ac:dyDescent="0.25">
      <c r="A835" s="6">
        <v>834</v>
      </c>
      <c r="B835" s="7">
        <v>40581</v>
      </c>
      <c r="C835" s="6">
        <v>2</v>
      </c>
      <c r="D835" s="6" t="str">
        <f t="shared" si="130"/>
        <v>february</v>
      </c>
      <c r="E835" s="6">
        <v>4</v>
      </c>
      <c r="F835" s="6" t="str">
        <f t="shared" si="131"/>
        <v>Night</v>
      </c>
      <c r="G835" s="6" t="b">
        <v>0</v>
      </c>
      <c r="H835" s="6">
        <f t="shared" si="132"/>
        <v>0</v>
      </c>
      <c r="I835" s="6">
        <v>1</v>
      </c>
      <c r="J835" s="6" t="str">
        <f t="shared" si="133"/>
        <v>Monday</v>
      </c>
      <c r="K835" s="6">
        <f t="shared" si="134"/>
        <v>0</v>
      </c>
      <c r="L835" s="6">
        <v>1</v>
      </c>
      <c r="M835" s="6" t="str">
        <f t="shared" si="135"/>
        <v>Partly cloudy</v>
      </c>
      <c r="N835" s="8">
        <v>0.2</v>
      </c>
      <c r="O835" s="8">
        <v>0.2576</v>
      </c>
      <c r="P835" s="8">
        <v>0.86</v>
      </c>
      <c r="Q835" s="8">
        <v>0</v>
      </c>
      <c r="R835" s="6">
        <v>1</v>
      </c>
      <c r="S835" s="6">
        <v>1</v>
      </c>
      <c r="T835" s="6">
        <v>2</v>
      </c>
      <c r="U835" s="8">
        <f t="shared" si="136"/>
        <v>-0.51295812847461175</v>
      </c>
      <c r="V835" s="8" t="str">
        <f t="shared" si="137"/>
        <v>Normal</v>
      </c>
      <c r="W835" s="8">
        <f t="shared" si="138"/>
        <v>-1.0937285529489083</v>
      </c>
      <c r="X835" s="8" t="str">
        <f t="shared" si="139"/>
        <v>Normal</v>
      </c>
    </row>
    <row r="836" spans="1:24" x14ac:dyDescent="0.25">
      <c r="A836" s="6">
        <v>835</v>
      </c>
      <c r="B836" s="7">
        <v>40581</v>
      </c>
      <c r="C836" s="6">
        <v>2</v>
      </c>
      <c r="D836" s="6" t="str">
        <f t="shared" si="130"/>
        <v>february</v>
      </c>
      <c r="E836" s="6">
        <v>5</v>
      </c>
      <c r="F836" s="6" t="str">
        <f t="shared" si="131"/>
        <v>Early Morning</v>
      </c>
      <c r="G836" s="6" t="b">
        <v>0</v>
      </c>
      <c r="H836" s="6">
        <f t="shared" si="132"/>
        <v>0</v>
      </c>
      <c r="I836" s="6">
        <v>1</v>
      </c>
      <c r="J836" s="6" t="str">
        <f t="shared" si="133"/>
        <v>Monday</v>
      </c>
      <c r="K836" s="6">
        <f t="shared" si="134"/>
        <v>0</v>
      </c>
      <c r="L836" s="6">
        <v>1</v>
      </c>
      <c r="M836" s="6" t="str">
        <f t="shared" si="135"/>
        <v>Partly cloudy</v>
      </c>
      <c r="N836" s="8">
        <v>0.2</v>
      </c>
      <c r="O836" s="8">
        <v>0.2576</v>
      </c>
      <c r="P836" s="8">
        <v>0.86</v>
      </c>
      <c r="Q836" s="8">
        <v>0</v>
      </c>
      <c r="R836" s="6">
        <v>1</v>
      </c>
      <c r="S836" s="6">
        <v>9</v>
      </c>
      <c r="T836" s="6">
        <v>10</v>
      </c>
      <c r="U836" s="8">
        <f t="shared" si="136"/>
        <v>-0.51295812847461175</v>
      </c>
      <c r="V836" s="8" t="str">
        <f t="shared" si="137"/>
        <v>Normal</v>
      </c>
      <c r="W836" s="8">
        <f t="shared" si="138"/>
        <v>-0.92669290352846156</v>
      </c>
      <c r="X836" s="8" t="str">
        <f t="shared" si="139"/>
        <v>Normal</v>
      </c>
    </row>
    <row r="837" spans="1:24" x14ac:dyDescent="0.25">
      <c r="A837" s="6">
        <v>836</v>
      </c>
      <c r="B837" s="7">
        <v>40581</v>
      </c>
      <c r="C837" s="6">
        <v>2</v>
      </c>
      <c r="D837" s="6" t="str">
        <f t="shared" si="130"/>
        <v>february</v>
      </c>
      <c r="E837" s="6">
        <v>6</v>
      </c>
      <c r="F837" s="6" t="str">
        <f t="shared" si="131"/>
        <v>Early Morning</v>
      </c>
      <c r="G837" s="6" t="b">
        <v>0</v>
      </c>
      <c r="H837" s="6">
        <f t="shared" si="132"/>
        <v>0</v>
      </c>
      <c r="I837" s="6">
        <v>1</v>
      </c>
      <c r="J837" s="6" t="str">
        <f t="shared" si="133"/>
        <v>Monday</v>
      </c>
      <c r="K837" s="6">
        <f t="shared" si="134"/>
        <v>0</v>
      </c>
      <c r="L837" s="6">
        <v>1</v>
      </c>
      <c r="M837" s="6" t="str">
        <f t="shared" si="135"/>
        <v>Partly cloudy</v>
      </c>
      <c r="N837" s="8">
        <v>0.18</v>
      </c>
      <c r="O837" s="8">
        <v>0.2424</v>
      </c>
      <c r="P837" s="8">
        <v>0.93</v>
      </c>
      <c r="Q837" s="8">
        <v>0</v>
      </c>
      <c r="R837" s="6">
        <v>1</v>
      </c>
      <c r="S837" s="6">
        <v>29</v>
      </c>
      <c r="T837" s="6">
        <v>30</v>
      </c>
      <c r="U837" s="8">
        <f t="shared" si="136"/>
        <v>-0.51295812847461175</v>
      </c>
      <c r="V837" s="8" t="str">
        <f t="shared" si="137"/>
        <v>Normal</v>
      </c>
      <c r="W837" s="8">
        <f t="shared" si="138"/>
        <v>-0.50910377997734446</v>
      </c>
      <c r="X837" s="8" t="str">
        <f t="shared" si="139"/>
        <v>Normal</v>
      </c>
    </row>
    <row r="838" spans="1:24" x14ac:dyDescent="0.25">
      <c r="A838" s="6">
        <v>837</v>
      </c>
      <c r="B838" s="7">
        <v>40581</v>
      </c>
      <c r="C838" s="6">
        <v>2</v>
      </c>
      <c r="D838" s="6" t="str">
        <f t="shared" si="130"/>
        <v>february</v>
      </c>
      <c r="E838" s="6">
        <v>7</v>
      </c>
      <c r="F838" s="6" t="str">
        <f t="shared" si="131"/>
        <v>Early Morning</v>
      </c>
      <c r="G838" s="6" t="b">
        <v>0</v>
      </c>
      <c r="H838" s="6">
        <f t="shared" si="132"/>
        <v>0</v>
      </c>
      <c r="I838" s="6">
        <v>1</v>
      </c>
      <c r="J838" s="6" t="str">
        <f t="shared" si="133"/>
        <v>Monday</v>
      </c>
      <c r="K838" s="6">
        <f t="shared" si="134"/>
        <v>0</v>
      </c>
      <c r="L838" s="6">
        <v>1</v>
      </c>
      <c r="M838" s="6" t="str">
        <f t="shared" si="135"/>
        <v>Partly cloudy</v>
      </c>
      <c r="N838" s="8">
        <v>0.18</v>
      </c>
      <c r="O838" s="8">
        <v>0.2424</v>
      </c>
      <c r="P838" s="8">
        <v>0.86</v>
      </c>
      <c r="Q838" s="8">
        <v>0</v>
      </c>
      <c r="R838" s="6">
        <v>6</v>
      </c>
      <c r="S838" s="6">
        <v>89</v>
      </c>
      <c r="T838" s="6">
        <v>95</v>
      </c>
      <c r="U838" s="8">
        <f t="shared" si="136"/>
        <v>0.14115833221731852</v>
      </c>
      <c r="V838" s="8" t="str">
        <f t="shared" si="137"/>
        <v>Normal</v>
      </c>
      <c r="W838" s="8">
        <f t="shared" si="138"/>
        <v>0.74366359067600685</v>
      </c>
      <c r="X838" s="8" t="str">
        <f t="shared" si="139"/>
        <v>Normal</v>
      </c>
    </row>
    <row r="839" spans="1:24" x14ac:dyDescent="0.25">
      <c r="A839" s="6">
        <v>838</v>
      </c>
      <c r="B839" s="7">
        <v>40581</v>
      </c>
      <c r="C839" s="6">
        <v>2</v>
      </c>
      <c r="D839" s="6" t="str">
        <f t="shared" si="130"/>
        <v>february</v>
      </c>
      <c r="E839" s="6">
        <v>8</v>
      </c>
      <c r="F839" s="6" t="str">
        <f t="shared" si="131"/>
        <v>Morning</v>
      </c>
      <c r="G839" s="6" t="b">
        <v>0</v>
      </c>
      <c r="H839" s="6">
        <f t="shared" si="132"/>
        <v>0</v>
      </c>
      <c r="I839" s="6">
        <v>1</v>
      </c>
      <c r="J839" s="6" t="str">
        <f t="shared" si="133"/>
        <v>Monday</v>
      </c>
      <c r="K839" s="6">
        <f t="shared" si="134"/>
        <v>0</v>
      </c>
      <c r="L839" s="6">
        <v>2</v>
      </c>
      <c r="M839" s="6" t="str">
        <f t="shared" si="135"/>
        <v>Cloudy</v>
      </c>
      <c r="N839" s="8">
        <v>0.16</v>
      </c>
      <c r="O839" s="8">
        <v>0.2273</v>
      </c>
      <c r="P839" s="8">
        <v>1</v>
      </c>
      <c r="Q839" s="8">
        <v>0</v>
      </c>
      <c r="R839" s="6">
        <v>7</v>
      </c>
      <c r="S839" s="6">
        <v>223</v>
      </c>
      <c r="T839" s="6">
        <v>230</v>
      </c>
      <c r="U839" s="8">
        <f t="shared" si="136"/>
        <v>0.27198162435570455</v>
      </c>
      <c r="V839" s="8" t="str">
        <f t="shared" si="137"/>
        <v>Normal</v>
      </c>
      <c r="W839" s="8">
        <f t="shared" si="138"/>
        <v>3.5415107184684911</v>
      </c>
      <c r="X839" s="8" t="str">
        <f t="shared" si="139"/>
        <v>Peak</v>
      </c>
    </row>
    <row r="840" spans="1:24" x14ac:dyDescent="0.25">
      <c r="A840" s="6">
        <v>839</v>
      </c>
      <c r="B840" s="7">
        <v>40581</v>
      </c>
      <c r="C840" s="6">
        <v>2</v>
      </c>
      <c r="D840" s="6" t="str">
        <f t="shared" si="130"/>
        <v>february</v>
      </c>
      <c r="E840" s="6">
        <v>9</v>
      </c>
      <c r="F840" s="6" t="str">
        <f t="shared" si="131"/>
        <v>Morning</v>
      </c>
      <c r="G840" s="6" t="b">
        <v>0</v>
      </c>
      <c r="H840" s="6">
        <f t="shared" si="132"/>
        <v>0</v>
      </c>
      <c r="I840" s="6">
        <v>1</v>
      </c>
      <c r="J840" s="6" t="str">
        <f t="shared" si="133"/>
        <v>Monday</v>
      </c>
      <c r="K840" s="6">
        <f t="shared" si="134"/>
        <v>0</v>
      </c>
      <c r="L840" s="6">
        <v>1</v>
      </c>
      <c r="M840" s="6" t="str">
        <f t="shared" si="135"/>
        <v>Partly cloudy</v>
      </c>
      <c r="N840" s="8">
        <v>0.22</v>
      </c>
      <c r="O840" s="8">
        <v>0.2727</v>
      </c>
      <c r="P840" s="8">
        <v>0.8</v>
      </c>
      <c r="Q840" s="8">
        <v>0</v>
      </c>
      <c r="R840" s="6">
        <v>3</v>
      </c>
      <c r="S840" s="6">
        <v>115</v>
      </c>
      <c r="T840" s="6">
        <v>118</v>
      </c>
      <c r="U840" s="8">
        <f t="shared" si="136"/>
        <v>-0.25131154419783963</v>
      </c>
      <c r="V840" s="8" t="str">
        <f t="shared" si="137"/>
        <v>Normal</v>
      </c>
      <c r="W840" s="8">
        <f t="shared" si="138"/>
        <v>1.286529451292459</v>
      </c>
      <c r="X840" s="8" t="str">
        <f t="shared" si="139"/>
        <v>Normal</v>
      </c>
    </row>
    <row r="841" spans="1:24" x14ac:dyDescent="0.25">
      <c r="A841" s="6">
        <v>840</v>
      </c>
      <c r="B841" s="7">
        <v>40581</v>
      </c>
      <c r="C841" s="6">
        <v>2</v>
      </c>
      <c r="D841" s="6" t="str">
        <f t="shared" si="130"/>
        <v>february</v>
      </c>
      <c r="E841" s="6">
        <v>10</v>
      </c>
      <c r="F841" s="6" t="str">
        <f t="shared" si="131"/>
        <v>Morning</v>
      </c>
      <c r="G841" s="6" t="b">
        <v>0</v>
      </c>
      <c r="H841" s="6">
        <f t="shared" si="132"/>
        <v>0</v>
      </c>
      <c r="I841" s="6">
        <v>1</v>
      </c>
      <c r="J841" s="6" t="str">
        <f t="shared" si="133"/>
        <v>Monday</v>
      </c>
      <c r="K841" s="6">
        <f t="shared" si="134"/>
        <v>0</v>
      </c>
      <c r="L841" s="6">
        <v>1</v>
      </c>
      <c r="M841" s="6" t="str">
        <f t="shared" si="135"/>
        <v>Partly cloudy</v>
      </c>
      <c r="N841" s="8">
        <v>0.24</v>
      </c>
      <c r="O841" s="8">
        <v>0.2576</v>
      </c>
      <c r="P841" s="8">
        <v>0.75</v>
      </c>
      <c r="Q841" s="8">
        <v>0.1045</v>
      </c>
      <c r="R841" s="6">
        <v>6</v>
      </c>
      <c r="S841" s="6">
        <v>49</v>
      </c>
      <c r="T841" s="6">
        <v>55</v>
      </c>
      <c r="U841" s="8">
        <f t="shared" si="136"/>
        <v>0.14115833221731852</v>
      </c>
      <c r="V841" s="8" t="str">
        <f t="shared" si="137"/>
        <v>Normal</v>
      </c>
      <c r="W841" s="8">
        <f t="shared" si="138"/>
        <v>-9.1514656426227359E-2</v>
      </c>
      <c r="X841" s="8" t="str">
        <f t="shared" si="139"/>
        <v>Normal</v>
      </c>
    </row>
    <row r="842" spans="1:24" x14ac:dyDescent="0.25">
      <c r="A842" s="6">
        <v>841</v>
      </c>
      <c r="B842" s="7">
        <v>40581</v>
      </c>
      <c r="C842" s="6">
        <v>2</v>
      </c>
      <c r="D842" s="6" t="str">
        <f t="shared" si="130"/>
        <v>february</v>
      </c>
      <c r="E842" s="6">
        <v>11</v>
      </c>
      <c r="F842" s="6" t="str">
        <f t="shared" si="131"/>
        <v>Morning</v>
      </c>
      <c r="G842" s="6" t="b">
        <v>0</v>
      </c>
      <c r="H842" s="6">
        <f t="shared" si="132"/>
        <v>0</v>
      </c>
      <c r="I842" s="6">
        <v>1</v>
      </c>
      <c r="J842" s="6" t="str">
        <f t="shared" si="133"/>
        <v>Monday</v>
      </c>
      <c r="K842" s="6">
        <f t="shared" si="134"/>
        <v>0</v>
      </c>
      <c r="L842" s="6">
        <v>1</v>
      </c>
      <c r="M842" s="6" t="str">
        <f t="shared" si="135"/>
        <v>Partly cloudy</v>
      </c>
      <c r="N842" s="8">
        <v>0.3</v>
      </c>
      <c r="O842" s="8">
        <v>0.31819999999999998</v>
      </c>
      <c r="P842" s="8">
        <v>0.65</v>
      </c>
      <c r="Q842" s="8">
        <v>8.9599999999999999E-2</v>
      </c>
      <c r="R842" s="6">
        <v>11</v>
      </c>
      <c r="S842" s="6">
        <v>36</v>
      </c>
      <c r="T842" s="6">
        <v>47</v>
      </c>
      <c r="U842" s="8">
        <f t="shared" si="136"/>
        <v>0.79527479290924885</v>
      </c>
      <c r="V842" s="8" t="str">
        <f t="shared" si="137"/>
        <v>Normal</v>
      </c>
      <c r="W842" s="8">
        <f t="shared" si="138"/>
        <v>-0.36294758673445349</v>
      </c>
      <c r="X842" s="8" t="str">
        <f t="shared" si="139"/>
        <v>Normal</v>
      </c>
    </row>
    <row r="843" spans="1:24" x14ac:dyDescent="0.25">
      <c r="A843" s="6">
        <v>842</v>
      </c>
      <c r="B843" s="7">
        <v>40581</v>
      </c>
      <c r="C843" s="6">
        <v>2</v>
      </c>
      <c r="D843" s="6" t="str">
        <f t="shared" si="130"/>
        <v>february</v>
      </c>
      <c r="E843" s="6">
        <v>12</v>
      </c>
      <c r="F843" s="6" t="str">
        <f t="shared" si="131"/>
        <v>Afternoon</v>
      </c>
      <c r="G843" s="6" t="b">
        <v>0</v>
      </c>
      <c r="H843" s="6">
        <f t="shared" si="132"/>
        <v>0</v>
      </c>
      <c r="I843" s="6">
        <v>1</v>
      </c>
      <c r="J843" s="6" t="str">
        <f t="shared" si="133"/>
        <v>Monday</v>
      </c>
      <c r="K843" s="6">
        <f t="shared" si="134"/>
        <v>0</v>
      </c>
      <c r="L843" s="6">
        <v>2</v>
      </c>
      <c r="M843" s="6" t="str">
        <f t="shared" si="135"/>
        <v>Cloudy</v>
      </c>
      <c r="N843" s="8">
        <v>0.32</v>
      </c>
      <c r="O843" s="8">
        <v>0.34849999999999998</v>
      </c>
      <c r="P843" s="8">
        <v>0.62</v>
      </c>
      <c r="Q843" s="8">
        <v>0</v>
      </c>
      <c r="R843" s="6">
        <v>7</v>
      </c>
      <c r="S843" s="6">
        <v>59</v>
      </c>
      <c r="T843" s="6">
        <v>66</v>
      </c>
      <c r="U843" s="8">
        <f t="shared" si="136"/>
        <v>0.27198162435570455</v>
      </c>
      <c r="V843" s="8" t="str">
        <f t="shared" si="137"/>
        <v>Normal</v>
      </c>
      <c r="W843" s="8">
        <f t="shared" si="138"/>
        <v>0.11727990534933118</v>
      </c>
      <c r="X843" s="8" t="str">
        <f t="shared" si="139"/>
        <v>Normal</v>
      </c>
    </row>
    <row r="844" spans="1:24" x14ac:dyDescent="0.25">
      <c r="A844" s="6">
        <v>843</v>
      </c>
      <c r="B844" s="7">
        <v>40581</v>
      </c>
      <c r="C844" s="6">
        <v>2</v>
      </c>
      <c r="D844" s="6" t="str">
        <f t="shared" si="130"/>
        <v>february</v>
      </c>
      <c r="E844" s="6">
        <v>13</v>
      </c>
      <c r="F844" s="6" t="str">
        <f t="shared" si="131"/>
        <v>Afternoon</v>
      </c>
      <c r="G844" s="6" t="b">
        <v>0</v>
      </c>
      <c r="H844" s="6">
        <f t="shared" si="132"/>
        <v>0</v>
      </c>
      <c r="I844" s="6">
        <v>1</v>
      </c>
      <c r="J844" s="6" t="str">
        <f t="shared" si="133"/>
        <v>Monday</v>
      </c>
      <c r="K844" s="6">
        <f t="shared" si="134"/>
        <v>0</v>
      </c>
      <c r="L844" s="6">
        <v>2</v>
      </c>
      <c r="M844" s="6" t="str">
        <f t="shared" si="135"/>
        <v>Cloudy</v>
      </c>
      <c r="N844" s="8">
        <v>0.36</v>
      </c>
      <c r="O844" s="8">
        <v>0.36359999999999998</v>
      </c>
      <c r="P844" s="8">
        <v>0.56999999999999995</v>
      </c>
      <c r="Q844" s="8">
        <v>8.9599999999999999E-2</v>
      </c>
      <c r="R844" s="6">
        <v>10</v>
      </c>
      <c r="S844" s="6">
        <v>54</v>
      </c>
      <c r="T844" s="6">
        <v>64</v>
      </c>
      <c r="U844" s="8">
        <f t="shared" si="136"/>
        <v>0.66445150077086279</v>
      </c>
      <c r="V844" s="8" t="str">
        <f t="shared" si="137"/>
        <v>Normal</v>
      </c>
      <c r="W844" s="8">
        <f t="shared" si="138"/>
        <v>1.2882624461551907E-2</v>
      </c>
      <c r="X844" s="8" t="str">
        <f t="shared" si="139"/>
        <v>Normal</v>
      </c>
    </row>
    <row r="845" spans="1:24" x14ac:dyDescent="0.25">
      <c r="A845" s="6">
        <v>844</v>
      </c>
      <c r="B845" s="7">
        <v>40581</v>
      </c>
      <c r="C845" s="6">
        <v>2</v>
      </c>
      <c r="D845" s="6" t="str">
        <f t="shared" si="130"/>
        <v>february</v>
      </c>
      <c r="E845" s="6">
        <v>14</v>
      </c>
      <c r="F845" s="6" t="str">
        <f t="shared" si="131"/>
        <v>Afternoon</v>
      </c>
      <c r="G845" s="6" t="b">
        <v>0</v>
      </c>
      <c r="H845" s="6">
        <f t="shared" si="132"/>
        <v>0</v>
      </c>
      <c r="I845" s="6">
        <v>1</v>
      </c>
      <c r="J845" s="6" t="str">
        <f t="shared" si="133"/>
        <v>Monday</v>
      </c>
      <c r="K845" s="6">
        <f t="shared" si="134"/>
        <v>0</v>
      </c>
      <c r="L845" s="6">
        <v>2</v>
      </c>
      <c r="M845" s="6" t="str">
        <f t="shared" si="135"/>
        <v>Cloudy</v>
      </c>
      <c r="N845" s="8">
        <v>0.36</v>
      </c>
      <c r="O845" s="8">
        <v>0.36359999999999998</v>
      </c>
      <c r="P845" s="8">
        <v>0.56999999999999995</v>
      </c>
      <c r="Q845" s="8">
        <v>8.9599999999999999E-2</v>
      </c>
      <c r="R845" s="6">
        <v>8</v>
      </c>
      <c r="S845" s="6">
        <v>52</v>
      </c>
      <c r="T845" s="6">
        <v>60</v>
      </c>
      <c r="U845" s="8">
        <f t="shared" si="136"/>
        <v>0.40280491649409061</v>
      </c>
      <c r="V845" s="8" t="str">
        <f t="shared" si="137"/>
        <v>Normal</v>
      </c>
      <c r="W845" s="8">
        <f t="shared" si="138"/>
        <v>-2.8876287893559803E-2</v>
      </c>
      <c r="X845" s="8" t="str">
        <f t="shared" si="139"/>
        <v>Normal</v>
      </c>
    </row>
    <row r="846" spans="1:24" x14ac:dyDescent="0.25">
      <c r="A846" s="6">
        <v>845</v>
      </c>
      <c r="B846" s="7">
        <v>40581</v>
      </c>
      <c r="C846" s="6">
        <v>2</v>
      </c>
      <c r="D846" s="6" t="str">
        <f t="shared" si="130"/>
        <v>february</v>
      </c>
      <c r="E846" s="6">
        <v>15</v>
      </c>
      <c r="F846" s="6" t="str">
        <f t="shared" si="131"/>
        <v>Afternoon</v>
      </c>
      <c r="G846" s="6" t="b">
        <v>0</v>
      </c>
      <c r="H846" s="6">
        <f t="shared" si="132"/>
        <v>0</v>
      </c>
      <c r="I846" s="6">
        <v>1</v>
      </c>
      <c r="J846" s="6" t="str">
        <f t="shared" si="133"/>
        <v>Monday</v>
      </c>
      <c r="K846" s="6">
        <f t="shared" si="134"/>
        <v>0</v>
      </c>
      <c r="L846" s="6">
        <v>2</v>
      </c>
      <c r="M846" s="6" t="str">
        <f t="shared" si="135"/>
        <v>Cloudy</v>
      </c>
      <c r="N846" s="8">
        <v>0.38</v>
      </c>
      <c r="O846" s="8">
        <v>0.39389999999999997</v>
      </c>
      <c r="P846" s="8">
        <v>0.54</v>
      </c>
      <c r="Q846" s="8">
        <v>8.9599999999999999E-2</v>
      </c>
      <c r="R846" s="6">
        <v>4</v>
      </c>
      <c r="S846" s="6">
        <v>46</v>
      </c>
      <c r="T846" s="6">
        <v>50</v>
      </c>
      <c r="U846" s="8">
        <f t="shared" si="136"/>
        <v>-0.1204882520594536</v>
      </c>
      <c r="V846" s="8" t="str">
        <f t="shared" si="137"/>
        <v>Normal</v>
      </c>
      <c r="W846" s="8">
        <f t="shared" si="138"/>
        <v>-0.15415302495889494</v>
      </c>
      <c r="X846" s="8" t="str">
        <f t="shared" si="139"/>
        <v>Normal</v>
      </c>
    </row>
    <row r="847" spans="1:24" x14ac:dyDescent="0.25">
      <c r="A847" s="6">
        <v>846</v>
      </c>
      <c r="B847" s="7">
        <v>40581</v>
      </c>
      <c r="C847" s="6">
        <v>2</v>
      </c>
      <c r="D847" s="6" t="str">
        <f t="shared" si="130"/>
        <v>february</v>
      </c>
      <c r="E847" s="6">
        <v>16</v>
      </c>
      <c r="F847" s="6" t="str">
        <f t="shared" si="131"/>
        <v>Afternoon</v>
      </c>
      <c r="G847" s="6" t="b">
        <v>0</v>
      </c>
      <c r="H847" s="6">
        <f t="shared" si="132"/>
        <v>0</v>
      </c>
      <c r="I847" s="6">
        <v>1</v>
      </c>
      <c r="J847" s="6" t="str">
        <f t="shared" si="133"/>
        <v>Monday</v>
      </c>
      <c r="K847" s="6">
        <f t="shared" si="134"/>
        <v>0</v>
      </c>
      <c r="L847" s="6">
        <v>2</v>
      </c>
      <c r="M847" s="6" t="str">
        <f t="shared" si="135"/>
        <v>Cloudy</v>
      </c>
      <c r="N847" s="8">
        <v>0.36</v>
      </c>
      <c r="O847" s="8">
        <v>0.34849999999999998</v>
      </c>
      <c r="P847" s="8">
        <v>0.56999999999999995</v>
      </c>
      <c r="Q847" s="8">
        <v>0.1343</v>
      </c>
      <c r="R847" s="6">
        <v>16</v>
      </c>
      <c r="S847" s="6">
        <v>98</v>
      </c>
      <c r="T847" s="6">
        <v>114</v>
      </c>
      <c r="U847" s="8">
        <f t="shared" si="136"/>
        <v>1.4493912536011793</v>
      </c>
      <c r="V847" s="8" t="str">
        <f t="shared" si="137"/>
        <v>Normal</v>
      </c>
      <c r="W847" s="8">
        <f t="shared" si="138"/>
        <v>0.93157869627400947</v>
      </c>
      <c r="X847" s="8" t="str">
        <f t="shared" si="139"/>
        <v>Normal</v>
      </c>
    </row>
    <row r="848" spans="1:24" x14ac:dyDescent="0.25">
      <c r="A848" s="6">
        <v>847</v>
      </c>
      <c r="B848" s="7">
        <v>40581</v>
      </c>
      <c r="C848" s="6">
        <v>2</v>
      </c>
      <c r="D848" s="6" t="str">
        <f t="shared" si="130"/>
        <v>february</v>
      </c>
      <c r="E848" s="6">
        <v>17</v>
      </c>
      <c r="F848" s="6" t="str">
        <f t="shared" si="131"/>
        <v>Evening</v>
      </c>
      <c r="G848" s="6" t="b">
        <v>0</v>
      </c>
      <c r="H848" s="6">
        <f t="shared" si="132"/>
        <v>0</v>
      </c>
      <c r="I848" s="6">
        <v>1</v>
      </c>
      <c r="J848" s="6" t="str">
        <f t="shared" si="133"/>
        <v>Monday</v>
      </c>
      <c r="K848" s="6">
        <f t="shared" si="134"/>
        <v>0</v>
      </c>
      <c r="L848" s="6">
        <v>2</v>
      </c>
      <c r="M848" s="6" t="str">
        <f t="shared" si="135"/>
        <v>Cloudy</v>
      </c>
      <c r="N848" s="8">
        <v>0.32</v>
      </c>
      <c r="O848" s="8">
        <v>0.31819999999999998</v>
      </c>
      <c r="P848" s="8">
        <v>0.7</v>
      </c>
      <c r="Q848" s="8">
        <v>0.16420000000000001</v>
      </c>
      <c r="R848" s="6">
        <v>9</v>
      </c>
      <c r="S848" s="6">
        <v>207</v>
      </c>
      <c r="T848" s="6">
        <v>216</v>
      </c>
      <c r="U848" s="8">
        <f t="shared" si="136"/>
        <v>0.53362820863247673</v>
      </c>
      <c r="V848" s="8" t="str">
        <f t="shared" si="137"/>
        <v>Normal</v>
      </c>
      <c r="W848" s="8">
        <f t="shared" si="138"/>
        <v>3.2074394196275975</v>
      </c>
      <c r="X848" s="8" t="str">
        <f t="shared" si="139"/>
        <v>Peak</v>
      </c>
    </row>
    <row r="849" spans="1:24" x14ac:dyDescent="0.25">
      <c r="A849" s="6">
        <v>848</v>
      </c>
      <c r="B849" s="7">
        <v>40581</v>
      </c>
      <c r="C849" s="6">
        <v>2</v>
      </c>
      <c r="D849" s="6" t="str">
        <f t="shared" si="130"/>
        <v>february</v>
      </c>
      <c r="E849" s="6">
        <v>18</v>
      </c>
      <c r="F849" s="6" t="str">
        <f t="shared" si="131"/>
        <v>Evening</v>
      </c>
      <c r="G849" s="6" t="b">
        <v>0</v>
      </c>
      <c r="H849" s="6">
        <f t="shared" si="132"/>
        <v>0</v>
      </c>
      <c r="I849" s="6">
        <v>1</v>
      </c>
      <c r="J849" s="6" t="str">
        <f t="shared" si="133"/>
        <v>Monday</v>
      </c>
      <c r="K849" s="6">
        <f t="shared" si="134"/>
        <v>0</v>
      </c>
      <c r="L849" s="6">
        <v>2</v>
      </c>
      <c r="M849" s="6" t="str">
        <f t="shared" si="135"/>
        <v>Cloudy</v>
      </c>
      <c r="N849" s="8">
        <v>0.34</v>
      </c>
      <c r="O849" s="8">
        <v>0.33329999999999999</v>
      </c>
      <c r="P849" s="8">
        <v>0.66</v>
      </c>
      <c r="Q849" s="8">
        <v>0.1343</v>
      </c>
      <c r="R849" s="6">
        <v>5</v>
      </c>
      <c r="S849" s="6">
        <v>170</v>
      </c>
      <c r="T849" s="6">
        <v>175</v>
      </c>
      <c r="U849" s="8">
        <f t="shared" si="136"/>
        <v>1.0335040078932463E-2</v>
      </c>
      <c r="V849" s="8" t="str">
        <f t="shared" si="137"/>
        <v>Normal</v>
      </c>
      <c r="W849" s="8">
        <f t="shared" si="138"/>
        <v>2.434899541058031</v>
      </c>
      <c r="X849" s="8" t="str">
        <f t="shared" si="139"/>
        <v>Peak</v>
      </c>
    </row>
    <row r="850" spans="1:24" x14ac:dyDescent="0.25">
      <c r="A850" s="6">
        <v>849</v>
      </c>
      <c r="B850" s="7">
        <v>40581</v>
      </c>
      <c r="C850" s="6">
        <v>2</v>
      </c>
      <c r="D850" s="6" t="str">
        <f t="shared" si="130"/>
        <v>february</v>
      </c>
      <c r="E850" s="6">
        <v>19</v>
      </c>
      <c r="F850" s="6" t="str">
        <f t="shared" si="131"/>
        <v>Evening</v>
      </c>
      <c r="G850" s="6" t="b">
        <v>0</v>
      </c>
      <c r="H850" s="6">
        <f t="shared" si="132"/>
        <v>0</v>
      </c>
      <c r="I850" s="6">
        <v>1</v>
      </c>
      <c r="J850" s="6" t="str">
        <f t="shared" si="133"/>
        <v>Monday</v>
      </c>
      <c r="K850" s="6">
        <f t="shared" si="134"/>
        <v>0</v>
      </c>
      <c r="L850" s="6">
        <v>2</v>
      </c>
      <c r="M850" s="6" t="str">
        <f t="shared" si="135"/>
        <v>Cloudy</v>
      </c>
      <c r="N850" s="8">
        <v>0.32</v>
      </c>
      <c r="O850" s="8">
        <v>0.34849999999999998</v>
      </c>
      <c r="P850" s="8">
        <v>0.7</v>
      </c>
      <c r="Q850" s="8">
        <v>0</v>
      </c>
      <c r="R850" s="6">
        <v>5</v>
      </c>
      <c r="S850" s="6">
        <v>123</v>
      </c>
      <c r="T850" s="6">
        <v>128</v>
      </c>
      <c r="U850" s="8">
        <f t="shared" si="136"/>
        <v>1.0335040078932463E-2</v>
      </c>
      <c r="V850" s="8" t="str">
        <f t="shared" si="137"/>
        <v>Normal</v>
      </c>
      <c r="W850" s="8">
        <f t="shared" si="138"/>
        <v>1.4535651007129058</v>
      </c>
      <c r="X850" s="8" t="str">
        <f t="shared" si="139"/>
        <v>Normal</v>
      </c>
    </row>
    <row r="851" spans="1:24" x14ac:dyDescent="0.25">
      <c r="A851" s="6">
        <v>850</v>
      </c>
      <c r="B851" s="7">
        <v>40581</v>
      </c>
      <c r="C851" s="6">
        <v>2</v>
      </c>
      <c r="D851" s="6" t="str">
        <f t="shared" si="130"/>
        <v>february</v>
      </c>
      <c r="E851" s="6">
        <v>20</v>
      </c>
      <c r="F851" s="6" t="str">
        <f t="shared" si="131"/>
        <v>Evening</v>
      </c>
      <c r="G851" s="6" t="b">
        <v>0</v>
      </c>
      <c r="H851" s="6">
        <f t="shared" si="132"/>
        <v>0</v>
      </c>
      <c r="I851" s="6">
        <v>1</v>
      </c>
      <c r="J851" s="6" t="str">
        <f t="shared" si="133"/>
        <v>Monday</v>
      </c>
      <c r="K851" s="6">
        <f t="shared" si="134"/>
        <v>0</v>
      </c>
      <c r="L851" s="6">
        <v>2</v>
      </c>
      <c r="M851" s="6" t="str">
        <f t="shared" si="135"/>
        <v>Cloudy</v>
      </c>
      <c r="N851" s="8">
        <v>0.32</v>
      </c>
      <c r="O851" s="8">
        <v>0.33329999999999999</v>
      </c>
      <c r="P851" s="8">
        <v>0.7</v>
      </c>
      <c r="Q851" s="8">
        <v>0.1045</v>
      </c>
      <c r="R851" s="6">
        <v>6</v>
      </c>
      <c r="S851" s="6">
        <v>82</v>
      </c>
      <c r="T851" s="6">
        <v>88</v>
      </c>
      <c r="U851" s="8">
        <f t="shared" si="136"/>
        <v>0.14115833221731852</v>
      </c>
      <c r="V851" s="8" t="str">
        <f t="shared" si="137"/>
        <v>Normal</v>
      </c>
      <c r="W851" s="8">
        <f t="shared" si="138"/>
        <v>0.59750739743311576</v>
      </c>
      <c r="X851" s="8" t="str">
        <f t="shared" si="139"/>
        <v>Normal</v>
      </c>
    </row>
    <row r="852" spans="1:24" x14ac:dyDescent="0.25">
      <c r="A852" s="6">
        <v>851</v>
      </c>
      <c r="B852" s="7">
        <v>40581</v>
      </c>
      <c r="C852" s="6">
        <v>2</v>
      </c>
      <c r="D852" s="6" t="str">
        <f t="shared" si="130"/>
        <v>february</v>
      </c>
      <c r="E852" s="6">
        <v>21</v>
      </c>
      <c r="F852" s="6" t="str">
        <f t="shared" si="131"/>
        <v>Night</v>
      </c>
      <c r="G852" s="6" t="b">
        <v>0</v>
      </c>
      <c r="H852" s="6">
        <f t="shared" si="132"/>
        <v>0</v>
      </c>
      <c r="I852" s="6">
        <v>1</v>
      </c>
      <c r="J852" s="6" t="str">
        <f t="shared" si="133"/>
        <v>Monday</v>
      </c>
      <c r="K852" s="6">
        <f t="shared" si="134"/>
        <v>0</v>
      </c>
      <c r="L852" s="6">
        <v>1</v>
      </c>
      <c r="M852" s="6" t="str">
        <f t="shared" si="135"/>
        <v>Partly cloudy</v>
      </c>
      <c r="N852" s="8">
        <v>0.32</v>
      </c>
      <c r="O852" s="8">
        <v>0.34849999999999998</v>
      </c>
      <c r="P852" s="8">
        <v>0.7</v>
      </c>
      <c r="Q852" s="8">
        <v>0</v>
      </c>
      <c r="R852" s="6">
        <v>3</v>
      </c>
      <c r="S852" s="6">
        <v>75</v>
      </c>
      <c r="T852" s="6">
        <v>78</v>
      </c>
      <c r="U852" s="8">
        <f t="shared" si="136"/>
        <v>-0.25131154419783963</v>
      </c>
      <c r="V852" s="8" t="str">
        <f t="shared" si="137"/>
        <v>Normal</v>
      </c>
      <c r="W852" s="8">
        <f t="shared" si="138"/>
        <v>0.45135120419022484</v>
      </c>
      <c r="X852" s="8" t="str">
        <f t="shared" si="139"/>
        <v>Normal</v>
      </c>
    </row>
    <row r="853" spans="1:24" x14ac:dyDescent="0.25">
      <c r="A853" s="6">
        <v>852</v>
      </c>
      <c r="B853" s="7">
        <v>40581</v>
      </c>
      <c r="C853" s="6">
        <v>2</v>
      </c>
      <c r="D853" s="6" t="str">
        <f t="shared" si="130"/>
        <v>february</v>
      </c>
      <c r="E853" s="6">
        <v>22</v>
      </c>
      <c r="F853" s="6" t="str">
        <f t="shared" si="131"/>
        <v>Night</v>
      </c>
      <c r="G853" s="6" t="b">
        <v>0</v>
      </c>
      <c r="H853" s="6">
        <f t="shared" si="132"/>
        <v>0</v>
      </c>
      <c r="I853" s="6">
        <v>1</v>
      </c>
      <c r="J853" s="6" t="str">
        <f t="shared" si="133"/>
        <v>Monday</v>
      </c>
      <c r="K853" s="6">
        <f t="shared" si="134"/>
        <v>0</v>
      </c>
      <c r="L853" s="6">
        <v>1</v>
      </c>
      <c r="M853" s="6" t="str">
        <f t="shared" si="135"/>
        <v>Partly cloudy</v>
      </c>
      <c r="N853" s="8">
        <v>0.28000000000000003</v>
      </c>
      <c r="O853" s="8">
        <v>0.30299999999999999</v>
      </c>
      <c r="P853" s="8">
        <v>0.81</v>
      </c>
      <c r="Q853" s="8">
        <v>8.9599999999999999E-2</v>
      </c>
      <c r="R853" s="6">
        <v>3</v>
      </c>
      <c r="S853" s="6">
        <v>34</v>
      </c>
      <c r="T853" s="6">
        <v>37</v>
      </c>
      <c r="U853" s="8">
        <f t="shared" si="136"/>
        <v>-0.25131154419783963</v>
      </c>
      <c r="V853" s="8" t="str">
        <f t="shared" si="137"/>
        <v>Normal</v>
      </c>
      <c r="W853" s="8">
        <f t="shared" si="138"/>
        <v>-0.40470649908956519</v>
      </c>
      <c r="X853" s="8" t="str">
        <f t="shared" si="139"/>
        <v>Normal</v>
      </c>
    </row>
    <row r="854" spans="1:24" x14ac:dyDescent="0.25">
      <c r="A854" s="6">
        <v>853</v>
      </c>
      <c r="B854" s="7">
        <v>40581</v>
      </c>
      <c r="C854" s="6">
        <v>2</v>
      </c>
      <c r="D854" s="6" t="str">
        <f t="shared" si="130"/>
        <v>february</v>
      </c>
      <c r="E854" s="6">
        <v>23</v>
      </c>
      <c r="F854" s="6" t="str">
        <f t="shared" si="131"/>
        <v>Night</v>
      </c>
      <c r="G854" s="6" t="b">
        <v>0</v>
      </c>
      <c r="H854" s="6">
        <f t="shared" si="132"/>
        <v>0</v>
      </c>
      <c r="I854" s="6">
        <v>1</v>
      </c>
      <c r="J854" s="6" t="str">
        <f t="shared" si="133"/>
        <v>Monday</v>
      </c>
      <c r="K854" s="6">
        <f t="shared" si="134"/>
        <v>0</v>
      </c>
      <c r="L854" s="6">
        <v>2</v>
      </c>
      <c r="M854" s="6" t="str">
        <f t="shared" si="135"/>
        <v>Cloudy</v>
      </c>
      <c r="N854" s="8">
        <v>0.3</v>
      </c>
      <c r="O854" s="8">
        <v>0.33329999999999999</v>
      </c>
      <c r="P854" s="8">
        <v>0.81</v>
      </c>
      <c r="Q854" s="8">
        <v>0</v>
      </c>
      <c r="R854" s="6">
        <v>6</v>
      </c>
      <c r="S854" s="6">
        <v>19</v>
      </c>
      <c r="T854" s="6">
        <v>25</v>
      </c>
      <c r="U854" s="8">
        <f t="shared" si="136"/>
        <v>0.14115833221731852</v>
      </c>
      <c r="V854" s="8" t="str">
        <f t="shared" si="137"/>
        <v>Normal</v>
      </c>
      <c r="W854" s="8">
        <f t="shared" si="138"/>
        <v>-0.71789834175290301</v>
      </c>
      <c r="X854" s="8" t="str">
        <f t="shared" si="139"/>
        <v>Normal</v>
      </c>
    </row>
    <row r="855" spans="1:24" x14ac:dyDescent="0.25">
      <c r="A855" s="6">
        <v>854</v>
      </c>
      <c r="B855" s="7">
        <v>40582</v>
      </c>
      <c r="C855" s="6">
        <v>2</v>
      </c>
      <c r="D855" s="6" t="str">
        <f t="shared" si="130"/>
        <v>february</v>
      </c>
      <c r="E855" s="6">
        <v>0</v>
      </c>
      <c r="F855" s="6" t="str">
        <f t="shared" si="131"/>
        <v>Night</v>
      </c>
      <c r="G855" s="6" t="b">
        <v>0</v>
      </c>
      <c r="H855" s="6">
        <f t="shared" si="132"/>
        <v>0</v>
      </c>
      <c r="I855" s="6">
        <v>2</v>
      </c>
      <c r="J855" s="6" t="str">
        <f t="shared" si="133"/>
        <v>Tuesday</v>
      </c>
      <c r="K855" s="6">
        <f t="shared" si="134"/>
        <v>0</v>
      </c>
      <c r="L855" s="6">
        <v>2</v>
      </c>
      <c r="M855" s="6" t="str">
        <f t="shared" si="135"/>
        <v>Cloudy</v>
      </c>
      <c r="N855" s="8">
        <v>0.28000000000000003</v>
      </c>
      <c r="O855" s="8">
        <v>0.31819999999999998</v>
      </c>
      <c r="P855" s="8">
        <v>0.87</v>
      </c>
      <c r="Q855" s="8">
        <v>0</v>
      </c>
      <c r="R855" s="6">
        <v>4</v>
      </c>
      <c r="S855" s="6">
        <v>6</v>
      </c>
      <c r="T855" s="6">
        <v>10</v>
      </c>
      <c r="U855" s="8">
        <f t="shared" si="136"/>
        <v>-0.1204882520594536</v>
      </c>
      <c r="V855" s="8" t="str">
        <f t="shared" si="137"/>
        <v>Normal</v>
      </c>
      <c r="W855" s="8">
        <f t="shared" si="138"/>
        <v>-0.98933127206112903</v>
      </c>
      <c r="X855" s="8" t="str">
        <f t="shared" si="139"/>
        <v>Normal</v>
      </c>
    </row>
    <row r="856" spans="1:24" x14ac:dyDescent="0.25">
      <c r="A856" s="6">
        <v>855</v>
      </c>
      <c r="B856" s="7">
        <v>40582</v>
      </c>
      <c r="C856" s="6">
        <v>2</v>
      </c>
      <c r="D856" s="6" t="str">
        <f t="shared" si="130"/>
        <v>february</v>
      </c>
      <c r="E856" s="6">
        <v>1</v>
      </c>
      <c r="F856" s="6" t="str">
        <f t="shared" si="131"/>
        <v>Night</v>
      </c>
      <c r="G856" s="6" t="b">
        <v>0</v>
      </c>
      <c r="H856" s="6">
        <f t="shared" si="132"/>
        <v>0</v>
      </c>
      <c r="I856" s="6">
        <v>2</v>
      </c>
      <c r="J856" s="6" t="str">
        <f t="shared" si="133"/>
        <v>Tuesday</v>
      </c>
      <c r="K856" s="6">
        <f t="shared" si="134"/>
        <v>0</v>
      </c>
      <c r="L856" s="6">
        <v>2</v>
      </c>
      <c r="M856" s="6" t="str">
        <f t="shared" si="135"/>
        <v>Cloudy</v>
      </c>
      <c r="N856" s="8">
        <v>0.28000000000000003</v>
      </c>
      <c r="O856" s="8">
        <v>0.31819999999999998</v>
      </c>
      <c r="P856" s="8">
        <v>0.87</v>
      </c>
      <c r="Q856" s="8">
        <v>0</v>
      </c>
      <c r="R856" s="6">
        <v>0</v>
      </c>
      <c r="S856" s="6">
        <v>4</v>
      </c>
      <c r="T856" s="6">
        <v>4</v>
      </c>
      <c r="U856" s="8">
        <f t="shared" si="136"/>
        <v>-0.64378142061299781</v>
      </c>
      <c r="V856" s="8" t="str">
        <f t="shared" si="137"/>
        <v>Normal</v>
      </c>
      <c r="W856" s="8">
        <f t="shared" si="138"/>
        <v>-1.0310901844162408</v>
      </c>
      <c r="X856" s="8" t="str">
        <f t="shared" si="139"/>
        <v>Normal</v>
      </c>
    </row>
    <row r="857" spans="1:24" x14ac:dyDescent="0.25">
      <c r="A857" s="6">
        <v>856</v>
      </c>
      <c r="B857" s="7">
        <v>40582</v>
      </c>
      <c r="C857" s="6">
        <v>2</v>
      </c>
      <c r="D857" s="6" t="str">
        <f t="shared" si="130"/>
        <v>february</v>
      </c>
      <c r="E857" s="6">
        <v>2</v>
      </c>
      <c r="F857" s="6" t="str">
        <f t="shared" si="131"/>
        <v>Night</v>
      </c>
      <c r="G857" s="6" t="b">
        <v>0</v>
      </c>
      <c r="H857" s="6">
        <f t="shared" si="132"/>
        <v>0</v>
      </c>
      <c r="I857" s="6">
        <v>2</v>
      </c>
      <c r="J857" s="6" t="str">
        <f t="shared" si="133"/>
        <v>Tuesday</v>
      </c>
      <c r="K857" s="6">
        <f t="shared" si="134"/>
        <v>0</v>
      </c>
      <c r="L857" s="6">
        <v>2</v>
      </c>
      <c r="M857" s="6" t="str">
        <f t="shared" si="135"/>
        <v>Cloudy</v>
      </c>
      <c r="N857" s="8">
        <v>0.26</v>
      </c>
      <c r="O857" s="8">
        <v>0.2727</v>
      </c>
      <c r="P857" s="8">
        <v>0.93</v>
      </c>
      <c r="Q857" s="8">
        <v>0.1045</v>
      </c>
      <c r="R857" s="6">
        <v>1</v>
      </c>
      <c r="S857" s="6">
        <v>1</v>
      </c>
      <c r="T857" s="6">
        <v>2</v>
      </c>
      <c r="U857" s="8">
        <f t="shared" si="136"/>
        <v>-0.51295812847461175</v>
      </c>
      <c r="V857" s="8" t="str">
        <f t="shared" si="137"/>
        <v>Normal</v>
      </c>
      <c r="W857" s="8">
        <f t="shared" si="138"/>
        <v>-1.0937285529489083</v>
      </c>
      <c r="X857" s="8" t="str">
        <f t="shared" si="139"/>
        <v>Normal</v>
      </c>
    </row>
    <row r="858" spans="1:24" x14ac:dyDescent="0.25">
      <c r="A858" s="6">
        <v>857</v>
      </c>
      <c r="B858" s="7">
        <v>40582</v>
      </c>
      <c r="C858" s="6">
        <v>2</v>
      </c>
      <c r="D858" s="6" t="str">
        <f t="shared" si="130"/>
        <v>february</v>
      </c>
      <c r="E858" s="6">
        <v>3</v>
      </c>
      <c r="F858" s="6" t="str">
        <f t="shared" si="131"/>
        <v>Night</v>
      </c>
      <c r="G858" s="6" t="b">
        <v>0</v>
      </c>
      <c r="H858" s="6">
        <f t="shared" si="132"/>
        <v>0</v>
      </c>
      <c r="I858" s="6">
        <v>2</v>
      </c>
      <c r="J858" s="6" t="str">
        <f t="shared" si="133"/>
        <v>Tuesday</v>
      </c>
      <c r="K858" s="6">
        <f t="shared" si="134"/>
        <v>0</v>
      </c>
      <c r="L858" s="6">
        <v>3</v>
      </c>
      <c r="M858" s="6" t="str">
        <f t="shared" si="135"/>
        <v>Light rain</v>
      </c>
      <c r="N858" s="8">
        <v>0.28000000000000003</v>
      </c>
      <c r="O858" s="8">
        <v>0.2727</v>
      </c>
      <c r="P858" s="8">
        <v>0.93</v>
      </c>
      <c r="Q858" s="8">
        <v>0.16420000000000001</v>
      </c>
      <c r="R858" s="6">
        <v>0</v>
      </c>
      <c r="S858" s="6">
        <v>1</v>
      </c>
      <c r="T858" s="6">
        <v>1</v>
      </c>
      <c r="U858" s="8">
        <f t="shared" si="136"/>
        <v>-0.64378142061299781</v>
      </c>
      <c r="V858" s="8" t="str">
        <f t="shared" si="137"/>
        <v>Normal</v>
      </c>
      <c r="W858" s="8">
        <f t="shared" si="138"/>
        <v>-1.0937285529489083</v>
      </c>
      <c r="X858" s="8" t="str">
        <f t="shared" si="139"/>
        <v>Normal</v>
      </c>
    </row>
    <row r="859" spans="1:24" x14ac:dyDescent="0.25">
      <c r="A859" s="6">
        <v>858</v>
      </c>
      <c r="B859" s="7">
        <v>40582</v>
      </c>
      <c r="C859" s="6">
        <v>2</v>
      </c>
      <c r="D859" s="6" t="str">
        <f t="shared" si="130"/>
        <v>february</v>
      </c>
      <c r="E859" s="6">
        <v>4</v>
      </c>
      <c r="F859" s="6" t="str">
        <f t="shared" si="131"/>
        <v>Night</v>
      </c>
      <c r="G859" s="6" t="b">
        <v>0</v>
      </c>
      <c r="H859" s="6">
        <f t="shared" si="132"/>
        <v>0</v>
      </c>
      <c r="I859" s="6">
        <v>2</v>
      </c>
      <c r="J859" s="6" t="str">
        <f t="shared" si="133"/>
        <v>Tuesday</v>
      </c>
      <c r="K859" s="6">
        <f t="shared" si="134"/>
        <v>0</v>
      </c>
      <c r="L859" s="6">
        <v>1</v>
      </c>
      <c r="M859" s="6" t="str">
        <f t="shared" si="135"/>
        <v>Partly cloudy</v>
      </c>
      <c r="N859" s="8">
        <v>0.26</v>
      </c>
      <c r="O859" s="8">
        <v>0.2576</v>
      </c>
      <c r="P859" s="8">
        <v>0.93</v>
      </c>
      <c r="Q859" s="8">
        <v>0.16420000000000001</v>
      </c>
      <c r="R859" s="6">
        <v>0</v>
      </c>
      <c r="S859" s="6">
        <v>3</v>
      </c>
      <c r="T859" s="6">
        <v>3</v>
      </c>
      <c r="U859" s="8">
        <f t="shared" si="136"/>
        <v>-0.64378142061299781</v>
      </c>
      <c r="V859" s="8" t="str">
        <f t="shared" si="137"/>
        <v>Normal</v>
      </c>
      <c r="W859" s="8">
        <f t="shared" si="138"/>
        <v>-1.0519696405937966</v>
      </c>
      <c r="X859" s="8" t="str">
        <f t="shared" si="139"/>
        <v>Normal</v>
      </c>
    </row>
    <row r="860" spans="1:24" x14ac:dyDescent="0.25">
      <c r="A860" s="6">
        <v>859</v>
      </c>
      <c r="B860" s="7">
        <v>40582</v>
      </c>
      <c r="C860" s="6">
        <v>2</v>
      </c>
      <c r="D860" s="6" t="str">
        <f t="shared" si="130"/>
        <v>february</v>
      </c>
      <c r="E860" s="6">
        <v>5</v>
      </c>
      <c r="F860" s="6" t="str">
        <f t="shared" si="131"/>
        <v>Early Morning</v>
      </c>
      <c r="G860" s="6" t="b">
        <v>0</v>
      </c>
      <c r="H860" s="6">
        <f t="shared" si="132"/>
        <v>0</v>
      </c>
      <c r="I860" s="6">
        <v>2</v>
      </c>
      <c r="J860" s="6" t="str">
        <f t="shared" si="133"/>
        <v>Tuesday</v>
      </c>
      <c r="K860" s="6">
        <f t="shared" si="134"/>
        <v>0</v>
      </c>
      <c r="L860" s="6">
        <v>1</v>
      </c>
      <c r="M860" s="6" t="str">
        <f t="shared" si="135"/>
        <v>Partly cloudy</v>
      </c>
      <c r="N860" s="8">
        <v>0.26</v>
      </c>
      <c r="O860" s="8">
        <v>0.2273</v>
      </c>
      <c r="P860" s="8">
        <v>0.81</v>
      </c>
      <c r="Q860" s="8">
        <v>0.32840000000000003</v>
      </c>
      <c r="R860" s="6">
        <v>0</v>
      </c>
      <c r="S860" s="6">
        <v>2</v>
      </c>
      <c r="T860" s="6">
        <v>2</v>
      </c>
      <c r="U860" s="8">
        <f t="shared" si="136"/>
        <v>-0.64378142061299781</v>
      </c>
      <c r="V860" s="8" t="str">
        <f t="shared" si="137"/>
        <v>Normal</v>
      </c>
      <c r="W860" s="8">
        <f t="shared" si="138"/>
        <v>-1.0728490967713524</v>
      </c>
      <c r="X860" s="8" t="str">
        <f t="shared" si="139"/>
        <v>Normal</v>
      </c>
    </row>
    <row r="861" spans="1:24" x14ac:dyDescent="0.25">
      <c r="A861" s="6">
        <v>860</v>
      </c>
      <c r="B861" s="7">
        <v>40582</v>
      </c>
      <c r="C861" s="6">
        <v>2</v>
      </c>
      <c r="D861" s="6" t="str">
        <f t="shared" si="130"/>
        <v>february</v>
      </c>
      <c r="E861" s="6">
        <v>6</v>
      </c>
      <c r="F861" s="6" t="str">
        <f t="shared" si="131"/>
        <v>Early Morning</v>
      </c>
      <c r="G861" s="6" t="b">
        <v>0</v>
      </c>
      <c r="H861" s="6">
        <f t="shared" si="132"/>
        <v>0</v>
      </c>
      <c r="I861" s="6">
        <v>2</v>
      </c>
      <c r="J861" s="6" t="str">
        <f t="shared" si="133"/>
        <v>Tuesday</v>
      </c>
      <c r="K861" s="6">
        <f t="shared" si="134"/>
        <v>0</v>
      </c>
      <c r="L861" s="6">
        <v>1</v>
      </c>
      <c r="M861" s="6" t="str">
        <f t="shared" si="135"/>
        <v>Partly cloudy</v>
      </c>
      <c r="N861" s="8">
        <v>0.26</v>
      </c>
      <c r="O861" s="8">
        <v>0.2273</v>
      </c>
      <c r="P861" s="8">
        <v>0.7</v>
      </c>
      <c r="Q861" s="8">
        <v>0.32840000000000003</v>
      </c>
      <c r="R861" s="6">
        <v>0</v>
      </c>
      <c r="S861" s="6">
        <v>39</v>
      </c>
      <c r="T861" s="6">
        <v>39</v>
      </c>
      <c r="U861" s="8">
        <f t="shared" si="136"/>
        <v>-0.64378142061299781</v>
      </c>
      <c r="V861" s="8" t="str">
        <f t="shared" si="137"/>
        <v>Normal</v>
      </c>
      <c r="W861" s="8">
        <f t="shared" si="138"/>
        <v>-0.30030921820178591</v>
      </c>
      <c r="X861" s="8" t="str">
        <f t="shared" si="139"/>
        <v>Normal</v>
      </c>
    </row>
    <row r="862" spans="1:24" x14ac:dyDescent="0.25">
      <c r="A862" s="6">
        <v>861</v>
      </c>
      <c r="B862" s="7">
        <v>40582</v>
      </c>
      <c r="C862" s="6">
        <v>2</v>
      </c>
      <c r="D862" s="6" t="str">
        <f t="shared" si="130"/>
        <v>february</v>
      </c>
      <c r="E862" s="6">
        <v>7</v>
      </c>
      <c r="F862" s="6" t="str">
        <f t="shared" si="131"/>
        <v>Early Morning</v>
      </c>
      <c r="G862" s="6" t="b">
        <v>0</v>
      </c>
      <c r="H862" s="6">
        <f t="shared" si="132"/>
        <v>0</v>
      </c>
      <c r="I862" s="6">
        <v>2</v>
      </c>
      <c r="J862" s="6" t="str">
        <f t="shared" si="133"/>
        <v>Tuesday</v>
      </c>
      <c r="K862" s="6">
        <f t="shared" si="134"/>
        <v>0</v>
      </c>
      <c r="L862" s="6">
        <v>1</v>
      </c>
      <c r="M862" s="6" t="str">
        <f t="shared" si="135"/>
        <v>Partly cloudy</v>
      </c>
      <c r="N862" s="8">
        <v>0.24</v>
      </c>
      <c r="O862" s="8">
        <v>0.19700000000000001</v>
      </c>
      <c r="P862" s="8">
        <v>0.65</v>
      </c>
      <c r="Q862" s="8">
        <v>0.41789999999999999</v>
      </c>
      <c r="R862" s="6">
        <v>3</v>
      </c>
      <c r="S862" s="6">
        <v>97</v>
      </c>
      <c r="T862" s="6">
        <v>100</v>
      </c>
      <c r="U862" s="8">
        <f t="shared" si="136"/>
        <v>-0.25131154419783963</v>
      </c>
      <c r="V862" s="8" t="str">
        <f t="shared" si="137"/>
        <v>Normal</v>
      </c>
      <c r="W862" s="8">
        <f t="shared" si="138"/>
        <v>0.91069924009645364</v>
      </c>
      <c r="X862" s="8" t="str">
        <f t="shared" si="139"/>
        <v>Normal</v>
      </c>
    </row>
    <row r="863" spans="1:24" x14ac:dyDescent="0.25">
      <c r="A863" s="6">
        <v>862</v>
      </c>
      <c r="B863" s="7">
        <v>40582</v>
      </c>
      <c r="C863" s="6">
        <v>2</v>
      </c>
      <c r="D863" s="6" t="str">
        <f t="shared" si="130"/>
        <v>february</v>
      </c>
      <c r="E863" s="6">
        <v>8</v>
      </c>
      <c r="F863" s="6" t="str">
        <f t="shared" si="131"/>
        <v>Morning</v>
      </c>
      <c r="G863" s="6" t="b">
        <v>0</v>
      </c>
      <c r="H863" s="6">
        <f t="shared" si="132"/>
        <v>0</v>
      </c>
      <c r="I863" s="6">
        <v>2</v>
      </c>
      <c r="J863" s="6" t="str">
        <f t="shared" si="133"/>
        <v>Tuesday</v>
      </c>
      <c r="K863" s="6">
        <f t="shared" si="134"/>
        <v>0</v>
      </c>
      <c r="L863" s="6">
        <v>1</v>
      </c>
      <c r="M863" s="6" t="str">
        <f t="shared" si="135"/>
        <v>Partly cloudy</v>
      </c>
      <c r="N863" s="8">
        <v>0.24</v>
      </c>
      <c r="O863" s="8">
        <v>0.19700000000000001</v>
      </c>
      <c r="P863" s="8">
        <v>0.56000000000000005</v>
      </c>
      <c r="Q863" s="8">
        <v>0.49249999999999999</v>
      </c>
      <c r="R863" s="6">
        <v>7</v>
      </c>
      <c r="S863" s="6">
        <v>236</v>
      </c>
      <c r="T863" s="6">
        <v>243</v>
      </c>
      <c r="U863" s="8">
        <f t="shared" si="136"/>
        <v>0.27198162435570455</v>
      </c>
      <c r="V863" s="8" t="str">
        <f t="shared" si="137"/>
        <v>Normal</v>
      </c>
      <c r="W863" s="8">
        <f t="shared" si="138"/>
        <v>3.812943648776717</v>
      </c>
      <c r="X863" s="8" t="str">
        <f t="shared" si="139"/>
        <v>Peak</v>
      </c>
    </row>
    <row r="864" spans="1:24" x14ac:dyDescent="0.25">
      <c r="A864" s="6">
        <v>863</v>
      </c>
      <c r="B864" s="7">
        <v>40582</v>
      </c>
      <c r="C864" s="6">
        <v>2</v>
      </c>
      <c r="D864" s="6" t="str">
        <f t="shared" si="130"/>
        <v>february</v>
      </c>
      <c r="E864" s="6">
        <v>9</v>
      </c>
      <c r="F864" s="6" t="str">
        <f t="shared" si="131"/>
        <v>Morning</v>
      </c>
      <c r="G864" s="6" t="b">
        <v>0</v>
      </c>
      <c r="H864" s="6">
        <f t="shared" si="132"/>
        <v>0</v>
      </c>
      <c r="I864" s="6">
        <v>2</v>
      </c>
      <c r="J864" s="6" t="str">
        <f t="shared" si="133"/>
        <v>Tuesday</v>
      </c>
      <c r="K864" s="6">
        <f t="shared" si="134"/>
        <v>0</v>
      </c>
      <c r="L864" s="6">
        <v>1</v>
      </c>
      <c r="M864" s="6" t="str">
        <f t="shared" si="135"/>
        <v>Partly cloudy</v>
      </c>
      <c r="N864" s="8">
        <v>0.24</v>
      </c>
      <c r="O864" s="8">
        <v>0.19700000000000001</v>
      </c>
      <c r="P864" s="8">
        <v>0.52</v>
      </c>
      <c r="Q864" s="8">
        <v>0.49249999999999999</v>
      </c>
      <c r="R864" s="6">
        <v>7</v>
      </c>
      <c r="S864" s="6">
        <v>128</v>
      </c>
      <c r="T864" s="6">
        <v>135</v>
      </c>
      <c r="U864" s="8">
        <f t="shared" si="136"/>
        <v>0.27198162435570455</v>
      </c>
      <c r="V864" s="8" t="str">
        <f t="shared" si="137"/>
        <v>Normal</v>
      </c>
      <c r="W864" s="8">
        <f t="shared" si="138"/>
        <v>1.5579623816006849</v>
      </c>
      <c r="X864" s="8" t="str">
        <f t="shared" si="139"/>
        <v>Normal</v>
      </c>
    </row>
    <row r="865" spans="1:24" x14ac:dyDescent="0.25">
      <c r="A865" s="6">
        <v>864</v>
      </c>
      <c r="B865" s="7">
        <v>40582</v>
      </c>
      <c r="C865" s="6">
        <v>2</v>
      </c>
      <c r="D865" s="6" t="str">
        <f t="shared" si="130"/>
        <v>february</v>
      </c>
      <c r="E865" s="6">
        <v>10</v>
      </c>
      <c r="F865" s="6" t="str">
        <f t="shared" si="131"/>
        <v>Morning</v>
      </c>
      <c r="G865" s="6" t="b">
        <v>0</v>
      </c>
      <c r="H865" s="6">
        <f t="shared" si="132"/>
        <v>0</v>
      </c>
      <c r="I865" s="6">
        <v>2</v>
      </c>
      <c r="J865" s="6" t="str">
        <f t="shared" si="133"/>
        <v>Tuesday</v>
      </c>
      <c r="K865" s="6">
        <f t="shared" si="134"/>
        <v>0</v>
      </c>
      <c r="L865" s="6">
        <v>1</v>
      </c>
      <c r="M865" s="6" t="str">
        <f t="shared" si="135"/>
        <v>Partly cloudy</v>
      </c>
      <c r="N865" s="8">
        <v>0.22</v>
      </c>
      <c r="O865" s="8">
        <v>0.18179999999999999</v>
      </c>
      <c r="P865" s="8">
        <v>0.47</v>
      </c>
      <c r="Q865" s="8">
        <v>0.55220000000000002</v>
      </c>
      <c r="R865" s="6">
        <v>4</v>
      </c>
      <c r="S865" s="6">
        <v>44</v>
      </c>
      <c r="T865" s="6">
        <v>48</v>
      </c>
      <c r="U865" s="8">
        <f t="shared" si="136"/>
        <v>-0.1204882520594536</v>
      </c>
      <c r="V865" s="8" t="str">
        <f t="shared" si="137"/>
        <v>Normal</v>
      </c>
      <c r="W865" s="8">
        <f t="shared" si="138"/>
        <v>-0.19591193731400663</v>
      </c>
      <c r="X865" s="8" t="str">
        <f t="shared" si="139"/>
        <v>Normal</v>
      </c>
    </row>
    <row r="866" spans="1:24" x14ac:dyDescent="0.25">
      <c r="A866" s="6">
        <v>865</v>
      </c>
      <c r="B866" s="7">
        <v>40582</v>
      </c>
      <c r="C866" s="6">
        <v>2</v>
      </c>
      <c r="D866" s="6" t="str">
        <f t="shared" si="130"/>
        <v>february</v>
      </c>
      <c r="E866" s="6">
        <v>11</v>
      </c>
      <c r="F866" s="6" t="str">
        <f t="shared" si="131"/>
        <v>Morning</v>
      </c>
      <c r="G866" s="6" t="b">
        <v>0</v>
      </c>
      <c r="H866" s="6">
        <f t="shared" si="132"/>
        <v>0</v>
      </c>
      <c r="I866" s="6">
        <v>2</v>
      </c>
      <c r="J866" s="6" t="str">
        <f t="shared" si="133"/>
        <v>Tuesday</v>
      </c>
      <c r="K866" s="6">
        <f t="shared" si="134"/>
        <v>0</v>
      </c>
      <c r="L866" s="6">
        <v>1</v>
      </c>
      <c r="M866" s="6" t="str">
        <f t="shared" si="135"/>
        <v>Partly cloudy</v>
      </c>
      <c r="N866" s="8">
        <v>0.22</v>
      </c>
      <c r="O866" s="8">
        <v>0.18179999999999999</v>
      </c>
      <c r="P866" s="8">
        <v>0.47</v>
      </c>
      <c r="Q866" s="8">
        <v>0.4627</v>
      </c>
      <c r="R866" s="6">
        <v>1</v>
      </c>
      <c r="S866" s="6">
        <v>49</v>
      </c>
      <c r="T866" s="6">
        <v>50</v>
      </c>
      <c r="U866" s="8">
        <f t="shared" si="136"/>
        <v>-0.51295812847461175</v>
      </c>
      <c r="V866" s="8" t="str">
        <f t="shared" si="137"/>
        <v>Normal</v>
      </c>
      <c r="W866" s="8">
        <f t="shared" si="138"/>
        <v>-9.1514656426227359E-2</v>
      </c>
      <c r="X866" s="8" t="str">
        <f t="shared" si="139"/>
        <v>Normal</v>
      </c>
    </row>
    <row r="867" spans="1:24" x14ac:dyDescent="0.25">
      <c r="A867" s="6">
        <v>866</v>
      </c>
      <c r="B867" s="7">
        <v>40582</v>
      </c>
      <c r="C867" s="6">
        <v>2</v>
      </c>
      <c r="D867" s="6" t="str">
        <f t="shared" si="130"/>
        <v>february</v>
      </c>
      <c r="E867" s="6">
        <v>12</v>
      </c>
      <c r="F867" s="6" t="str">
        <f t="shared" si="131"/>
        <v>Afternoon</v>
      </c>
      <c r="G867" s="6" t="b">
        <v>0</v>
      </c>
      <c r="H867" s="6">
        <f t="shared" si="132"/>
        <v>0</v>
      </c>
      <c r="I867" s="6">
        <v>2</v>
      </c>
      <c r="J867" s="6" t="str">
        <f t="shared" si="133"/>
        <v>Tuesday</v>
      </c>
      <c r="K867" s="6">
        <f t="shared" si="134"/>
        <v>0</v>
      </c>
      <c r="L867" s="6">
        <v>1</v>
      </c>
      <c r="M867" s="6" t="str">
        <f t="shared" si="135"/>
        <v>Partly cloudy</v>
      </c>
      <c r="N867" s="8">
        <v>0.24</v>
      </c>
      <c r="O867" s="8">
        <v>0.19700000000000001</v>
      </c>
      <c r="P867" s="8">
        <v>0.38</v>
      </c>
      <c r="Q867" s="8">
        <v>0.49249999999999999</v>
      </c>
      <c r="R867" s="6">
        <v>2</v>
      </c>
      <c r="S867" s="6">
        <v>63</v>
      </c>
      <c r="T867" s="6">
        <v>65</v>
      </c>
      <c r="U867" s="8">
        <f t="shared" si="136"/>
        <v>-0.38213483633622569</v>
      </c>
      <c r="V867" s="8" t="str">
        <f t="shared" si="137"/>
        <v>Normal</v>
      </c>
      <c r="W867" s="8">
        <f t="shared" si="138"/>
        <v>0.20079773005955459</v>
      </c>
      <c r="X867" s="8" t="str">
        <f t="shared" si="139"/>
        <v>Normal</v>
      </c>
    </row>
    <row r="868" spans="1:24" x14ac:dyDescent="0.25">
      <c r="A868" s="6">
        <v>867</v>
      </c>
      <c r="B868" s="7">
        <v>40582</v>
      </c>
      <c r="C868" s="6">
        <v>2</v>
      </c>
      <c r="D868" s="6" t="str">
        <f t="shared" si="130"/>
        <v>february</v>
      </c>
      <c r="E868" s="6">
        <v>13</v>
      </c>
      <c r="F868" s="6" t="str">
        <f t="shared" si="131"/>
        <v>Afternoon</v>
      </c>
      <c r="G868" s="6" t="b">
        <v>0</v>
      </c>
      <c r="H868" s="6">
        <f t="shared" si="132"/>
        <v>0</v>
      </c>
      <c r="I868" s="6">
        <v>2</v>
      </c>
      <c r="J868" s="6" t="str">
        <f t="shared" si="133"/>
        <v>Tuesday</v>
      </c>
      <c r="K868" s="6">
        <f t="shared" si="134"/>
        <v>0</v>
      </c>
      <c r="L868" s="6">
        <v>2</v>
      </c>
      <c r="M868" s="6" t="str">
        <f t="shared" si="135"/>
        <v>Cloudy</v>
      </c>
      <c r="N868" s="8">
        <v>0.24</v>
      </c>
      <c r="O868" s="8">
        <v>0.19700000000000001</v>
      </c>
      <c r="P868" s="8">
        <v>0.32</v>
      </c>
      <c r="Q868" s="8">
        <v>0.44779999999999998</v>
      </c>
      <c r="R868" s="6">
        <v>2</v>
      </c>
      <c r="S868" s="6">
        <v>48</v>
      </c>
      <c r="T868" s="6">
        <v>50</v>
      </c>
      <c r="U868" s="8">
        <f t="shared" si="136"/>
        <v>-0.38213483633622569</v>
      </c>
      <c r="V868" s="8" t="str">
        <f t="shared" si="137"/>
        <v>Normal</v>
      </c>
      <c r="W868" s="8">
        <f t="shared" si="138"/>
        <v>-0.11239411260378322</v>
      </c>
      <c r="X868" s="8" t="str">
        <f t="shared" si="139"/>
        <v>Normal</v>
      </c>
    </row>
    <row r="869" spans="1:24" x14ac:dyDescent="0.25">
      <c r="A869" s="6">
        <v>868</v>
      </c>
      <c r="B869" s="7">
        <v>40582</v>
      </c>
      <c r="C869" s="6">
        <v>2</v>
      </c>
      <c r="D869" s="6" t="str">
        <f t="shared" si="130"/>
        <v>february</v>
      </c>
      <c r="E869" s="6">
        <v>14</v>
      </c>
      <c r="F869" s="6" t="str">
        <f t="shared" si="131"/>
        <v>Afternoon</v>
      </c>
      <c r="G869" s="6" t="b">
        <v>0</v>
      </c>
      <c r="H869" s="6">
        <f t="shared" si="132"/>
        <v>0</v>
      </c>
      <c r="I869" s="6">
        <v>2</v>
      </c>
      <c r="J869" s="6" t="str">
        <f t="shared" si="133"/>
        <v>Tuesday</v>
      </c>
      <c r="K869" s="6">
        <f t="shared" si="134"/>
        <v>0</v>
      </c>
      <c r="L869" s="6">
        <v>1</v>
      </c>
      <c r="M869" s="6" t="str">
        <f t="shared" si="135"/>
        <v>Partly cloudy</v>
      </c>
      <c r="N869" s="8">
        <v>0.22</v>
      </c>
      <c r="O869" s="8">
        <v>0.19700000000000001</v>
      </c>
      <c r="P869" s="8">
        <v>0.37</v>
      </c>
      <c r="Q869" s="8">
        <v>0.41789999999999999</v>
      </c>
      <c r="R869" s="6">
        <v>3</v>
      </c>
      <c r="S869" s="6">
        <v>61</v>
      </c>
      <c r="T869" s="6">
        <v>64</v>
      </c>
      <c r="U869" s="8">
        <f t="shared" si="136"/>
        <v>-0.25131154419783963</v>
      </c>
      <c r="V869" s="8" t="str">
        <f t="shared" si="137"/>
        <v>Normal</v>
      </c>
      <c r="W869" s="8">
        <f t="shared" si="138"/>
        <v>0.15903881770444289</v>
      </c>
      <c r="X869" s="8" t="str">
        <f t="shared" si="139"/>
        <v>Normal</v>
      </c>
    </row>
    <row r="870" spans="1:24" x14ac:dyDescent="0.25">
      <c r="A870" s="6">
        <v>869</v>
      </c>
      <c r="B870" s="7">
        <v>40582</v>
      </c>
      <c r="C870" s="6">
        <v>2</v>
      </c>
      <c r="D870" s="6" t="str">
        <f t="shared" si="130"/>
        <v>february</v>
      </c>
      <c r="E870" s="6">
        <v>15</v>
      </c>
      <c r="F870" s="6" t="str">
        <f t="shared" si="131"/>
        <v>Afternoon</v>
      </c>
      <c r="G870" s="6" t="b">
        <v>0</v>
      </c>
      <c r="H870" s="6">
        <f t="shared" si="132"/>
        <v>0</v>
      </c>
      <c r="I870" s="6">
        <v>2</v>
      </c>
      <c r="J870" s="6" t="str">
        <f t="shared" si="133"/>
        <v>Tuesday</v>
      </c>
      <c r="K870" s="6">
        <f t="shared" si="134"/>
        <v>0</v>
      </c>
      <c r="L870" s="6">
        <v>1</v>
      </c>
      <c r="M870" s="6" t="str">
        <f t="shared" si="135"/>
        <v>Partly cloudy</v>
      </c>
      <c r="N870" s="8">
        <v>0.22</v>
      </c>
      <c r="O870" s="8">
        <v>0.19700000000000001</v>
      </c>
      <c r="P870" s="8">
        <v>0.35</v>
      </c>
      <c r="Q870" s="8">
        <v>0.3881</v>
      </c>
      <c r="R870" s="6">
        <v>6</v>
      </c>
      <c r="S870" s="6">
        <v>45</v>
      </c>
      <c r="T870" s="6">
        <v>51</v>
      </c>
      <c r="U870" s="8">
        <f t="shared" si="136"/>
        <v>0.14115833221731852</v>
      </c>
      <c r="V870" s="8" t="str">
        <f t="shared" si="137"/>
        <v>Normal</v>
      </c>
      <c r="W870" s="8">
        <f t="shared" si="138"/>
        <v>-0.17503248113645078</v>
      </c>
      <c r="X870" s="8" t="str">
        <f t="shared" si="139"/>
        <v>Normal</v>
      </c>
    </row>
    <row r="871" spans="1:24" x14ac:dyDescent="0.25">
      <c r="A871" s="6">
        <v>870</v>
      </c>
      <c r="B871" s="7">
        <v>40582</v>
      </c>
      <c r="C871" s="6">
        <v>2</v>
      </c>
      <c r="D871" s="6" t="str">
        <f t="shared" si="130"/>
        <v>february</v>
      </c>
      <c r="E871" s="6">
        <v>16</v>
      </c>
      <c r="F871" s="6" t="str">
        <f t="shared" si="131"/>
        <v>Afternoon</v>
      </c>
      <c r="G871" s="6" t="b">
        <v>0</v>
      </c>
      <c r="H871" s="6">
        <f t="shared" si="132"/>
        <v>0</v>
      </c>
      <c r="I871" s="6">
        <v>2</v>
      </c>
      <c r="J871" s="6" t="str">
        <f t="shared" si="133"/>
        <v>Tuesday</v>
      </c>
      <c r="K871" s="6">
        <f t="shared" si="134"/>
        <v>0</v>
      </c>
      <c r="L871" s="6">
        <v>1</v>
      </c>
      <c r="M871" s="6" t="str">
        <f t="shared" si="135"/>
        <v>Partly cloudy</v>
      </c>
      <c r="N871" s="8">
        <v>0.22</v>
      </c>
      <c r="O871" s="8">
        <v>0.18179999999999999</v>
      </c>
      <c r="P871" s="8">
        <v>0.35</v>
      </c>
      <c r="Q871" s="8">
        <v>0.52239999999999998</v>
      </c>
      <c r="R871" s="6">
        <v>4</v>
      </c>
      <c r="S871" s="6">
        <v>79</v>
      </c>
      <c r="T871" s="6">
        <v>83</v>
      </c>
      <c r="U871" s="8">
        <f t="shared" si="136"/>
        <v>-0.1204882520594536</v>
      </c>
      <c r="V871" s="8" t="str">
        <f t="shared" si="137"/>
        <v>Normal</v>
      </c>
      <c r="W871" s="8">
        <f t="shared" si="138"/>
        <v>0.5348690289004483</v>
      </c>
      <c r="X871" s="8" t="str">
        <f t="shared" si="139"/>
        <v>Normal</v>
      </c>
    </row>
    <row r="872" spans="1:24" x14ac:dyDescent="0.25">
      <c r="A872" s="6">
        <v>871</v>
      </c>
      <c r="B872" s="7">
        <v>40582</v>
      </c>
      <c r="C872" s="6">
        <v>2</v>
      </c>
      <c r="D872" s="6" t="str">
        <f t="shared" si="130"/>
        <v>february</v>
      </c>
      <c r="E872" s="6">
        <v>17</v>
      </c>
      <c r="F872" s="6" t="str">
        <f t="shared" si="131"/>
        <v>Evening</v>
      </c>
      <c r="G872" s="6" t="b">
        <v>0</v>
      </c>
      <c r="H872" s="6">
        <f t="shared" si="132"/>
        <v>0</v>
      </c>
      <c r="I872" s="6">
        <v>2</v>
      </c>
      <c r="J872" s="6" t="str">
        <f t="shared" si="133"/>
        <v>Tuesday</v>
      </c>
      <c r="K872" s="6">
        <f t="shared" si="134"/>
        <v>0</v>
      </c>
      <c r="L872" s="6">
        <v>1</v>
      </c>
      <c r="M872" s="6" t="str">
        <f t="shared" si="135"/>
        <v>Partly cloudy</v>
      </c>
      <c r="N872" s="8">
        <v>0.22</v>
      </c>
      <c r="O872" s="8">
        <v>0.18179999999999999</v>
      </c>
      <c r="P872" s="8">
        <v>0.32</v>
      </c>
      <c r="Q872" s="8">
        <v>0.58209999999999995</v>
      </c>
      <c r="R872" s="6">
        <v>4</v>
      </c>
      <c r="S872" s="6">
        <v>172</v>
      </c>
      <c r="T872" s="6">
        <v>176</v>
      </c>
      <c r="U872" s="8">
        <f t="shared" si="136"/>
        <v>-0.1204882520594536</v>
      </c>
      <c r="V872" s="8" t="str">
        <f t="shared" si="137"/>
        <v>Normal</v>
      </c>
      <c r="W872" s="8">
        <f t="shared" si="138"/>
        <v>2.4766584534131426</v>
      </c>
      <c r="X872" s="8" t="str">
        <f t="shared" si="139"/>
        <v>Peak</v>
      </c>
    </row>
    <row r="873" spans="1:24" x14ac:dyDescent="0.25">
      <c r="A873" s="6">
        <v>872</v>
      </c>
      <c r="B873" s="7">
        <v>40582</v>
      </c>
      <c r="C873" s="6">
        <v>2</v>
      </c>
      <c r="D873" s="6" t="str">
        <f t="shared" si="130"/>
        <v>february</v>
      </c>
      <c r="E873" s="6">
        <v>18</v>
      </c>
      <c r="F873" s="6" t="str">
        <f t="shared" si="131"/>
        <v>Evening</v>
      </c>
      <c r="G873" s="6" t="b">
        <v>0</v>
      </c>
      <c r="H873" s="6">
        <f t="shared" si="132"/>
        <v>0</v>
      </c>
      <c r="I873" s="6">
        <v>2</v>
      </c>
      <c r="J873" s="6" t="str">
        <f t="shared" si="133"/>
        <v>Tuesday</v>
      </c>
      <c r="K873" s="6">
        <f t="shared" si="134"/>
        <v>0</v>
      </c>
      <c r="L873" s="6">
        <v>1</v>
      </c>
      <c r="M873" s="6" t="str">
        <f t="shared" si="135"/>
        <v>Partly cloudy</v>
      </c>
      <c r="N873" s="8">
        <v>0.2</v>
      </c>
      <c r="O873" s="8">
        <v>0.18179999999999999</v>
      </c>
      <c r="P873" s="8">
        <v>0.32</v>
      </c>
      <c r="Q873" s="8">
        <v>0.3881</v>
      </c>
      <c r="R873" s="6">
        <v>1</v>
      </c>
      <c r="S873" s="6">
        <v>151</v>
      </c>
      <c r="T873" s="6">
        <v>152</v>
      </c>
      <c r="U873" s="8">
        <f t="shared" si="136"/>
        <v>-0.51295812847461175</v>
      </c>
      <c r="V873" s="8" t="str">
        <f t="shared" si="137"/>
        <v>Normal</v>
      </c>
      <c r="W873" s="8">
        <f t="shared" si="138"/>
        <v>2.0381898736844697</v>
      </c>
      <c r="X873" s="8" t="str">
        <f t="shared" si="139"/>
        <v>Peak</v>
      </c>
    </row>
    <row r="874" spans="1:24" x14ac:dyDescent="0.25">
      <c r="A874" s="6">
        <v>873</v>
      </c>
      <c r="B874" s="7">
        <v>40582</v>
      </c>
      <c r="C874" s="6">
        <v>2</v>
      </c>
      <c r="D874" s="6" t="str">
        <f t="shared" si="130"/>
        <v>february</v>
      </c>
      <c r="E874" s="6">
        <v>19</v>
      </c>
      <c r="F874" s="6" t="str">
        <f t="shared" si="131"/>
        <v>Evening</v>
      </c>
      <c r="G874" s="6" t="b">
        <v>0</v>
      </c>
      <c r="H874" s="6">
        <f t="shared" si="132"/>
        <v>0</v>
      </c>
      <c r="I874" s="6">
        <v>2</v>
      </c>
      <c r="J874" s="6" t="str">
        <f t="shared" si="133"/>
        <v>Tuesday</v>
      </c>
      <c r="K874" s="6">
        <f t="shared" si="134"/>
        <v>0</v>
      </c>
      <c r="L874" s="6">
        <v>1</v>
      </c>
      <c r="M874" s="6" t="str">
        <f t="shared" si="135"/>
        <v>Partly cloudy</v>
      </c>
      <c r="N874" s="8">
        <v>0.16</v>
      </c>
      <c r="O874" s="8">
        <v>0.1212</v>
      </c>
      <c r="P874" s="8">
        <v>0.4</v>
      </c>
      <c r="Q874" s="8">
        <v>0.4627</v>
      </c>
      <c r="R874" s="6">
        <v>1</v>
      </c>
      <c r="S874" s="6">
        <v>100</v>
      </c>
      <c r="T874" s="6">
        <v>101</v>
      </c>
      <c r="U874" s="8">
        <f t="shared" si="136"/>
        <v>-0.51295812847461175</v>
      </c>
      <c r="V874" s="8" t="str">
        <f t="shared" si="137"/>
        <v>Normal</v>
      </c>
      <c r="W874" s="8">
        <f t="shared" si="138"/>
        <v>0.97333760862912122</v>
      </c>
      <c r="X874" s="8" t="str">
        <f t="shared" si="139"/>
        <v>Normal</v>
      </c>
    </row>
    <row r="875" spans="1:24" x14ac:dyDescent="0.25">
      <c r="A875" s="6">
        <v>874</v>
      </c>
      <c r="B875" s="7">
        <v>40582</v>
      </c>
      <c r="C875" s="6">
        <v>2</v>
      </c>
      <c r="D875" s="6" t="str">
        <f t="shared" si="130"/>
        <v>february</v>
      </c>
      <c r="E875" s="6">
        <v>20</v>
      </c>
      <c r="F875" s="6" t="str">
        <f t="shared" si="131"/>
        <v>Evening</v>
      </c>
      <c r="G875" s="6" t="b">
        <v>0</v>
      </c>
      <c r="H875" s="6">
        <f t="shared" si="132"/>
        <v>0</v>
      </c>
      <c r="I875" s="6">
        <v>2</v>
      </c>
      <c r="J875" s="6" t="str">
        <f t="shared" si="133"/>
        <v>Tuesday</v>
      </c>
      <c r="K875" s="6">
        <f t="shared" si="134"/>
        <v>0</v>
      </c>
      <c r="L875" s="6">
        <v>1</v>
      </c>
      <c r="M875" s="6" t="str">
        <f t="shared" si="135"/>
        <v>Partly cloudy</v>
      </c>
      <c r="N875" s="8">
        <v>0.16</v>
      </c>
      <c r="O875" s="8">
        <v>0.13639999999999999</v>
      </c>
      <c r="P875" s="8">
        <v>0.4</v>
      </c>
      <c r="Q875" s="8">
        <v>0.32840000000000003</v>
      </c>
      <c r="R875" s="6">
        <v>3</v>
      </c>
      <c r="S875" s="6">
        <v>53</v>
      </c>
      <c r="T875" s="6">
        <v>56</v>
      </c>
      <c r="U875" s="8">
        <f t="shared" si="136"/>
        <v>-0.25131154419783963</v>
      </c>
      <c r="V875" s="8" t="str">
        <f t="shared" si="137"/>
        <v>Normal</v>
      </c>
      <c r="W875" s="8">
        <f t="shared" si="138"/>
        <v>-7.9968317160039482E-3</v>
      </c>
      <c r="X875" s="8" t="str">
        <f t="shared" si="139"/>
        <v>Normal</v>
      </c>
    </row>
    <row r="876" spans="1:24" x14ac:dyDescent="0.25">
      <c r="A876" s="6">
        <v>875</v>
      </c>
      <c r="B876" s="7">
        <v>40582</v>
      </c>
      <c r="C876" s="6">
        <v>2</v>
      </c>
      <c r="D876" s="6" t="str">
        <f t="shared" si="130"/>
        <v>february</v>
      </c>
      <c r="E876" s="6">
        <v>21</v>
      </c>
      <c r="F876" s="6" t="str">
        <f t="shared" si="131"/>
        <v>Night</v>
      </c>
      <c r="G876" s="6" t="b">
        <v>0</v>
      </c>
      <c r="H876" s="6">
        <f t="shared" si="132"/>
        <v>0</v>
      </c>
      <c r="I876" s="6">
        <v>2</v>
      </c>
      <c r="J876" s="6" t="str">
        <f t="shared" si="133"/>
        <v>Tuesday</v>
      </c>
      <c r="K876" s="6">
        <f t="shared" si="134"/>
        <v>0</v>
      </c>
      <c r="L876" s="6">
        <v>1</v>
      </c>
      <c r="M876" s="6" t="str">
        <f t="shared" si="135"/>
        <v>Partly cloudy</v>
      </c>
      <c r="N876" s="8">
        <v>0.14000000000000001</v>
      </c>
      <c r="O876" s="8">
        <v>0.1061</v>
      </c>
      <c r="P876" s="8">
        <v>0.33</v>
      </c>
      <c r="Q876" s="8">
        <v>0.4627</v>
      </c>
      <c r="R876" s="6">
        <v>8</v>
      </c>
      <c r="S876" s="6">
        <v>46</v>
      </c>
      <c r="T876" s="6">
        <v>54</v>
      </c>
      <c r="U876" s="8">
        <f t="shared" si="136"/>
        <v>0.40280491649409061</v>
      </c>
      <c r="V876" s="8" t="str">
        <f t="shared" si="137"/>
        <v>Normal</v>
      </c>
      <c r="W876" s="8">
        <f t="shared" si="138"/>
        <v>-0.15415302495889494</v>
      </c>
      <c r="X876" s="8" t="str">
        <f t="shared" si="139"/>
        <v>Normal</v>
      </c>
    </row>
    <row r="877" spans="1:24" x14ac:dyDescent="0.25">
      <c r="A877" s="6">
        <v>876</v>
      </c>
      <c r="B877" s="7">
        <v>40582</v>
      </c>
      <c r="C877" s="6">
        <v>2</v>
      </c>
      <c r="D877" s="6" t="str">
        <f t="shared" si="130"/>
        <v>february</v>
      </c>
      <c r="E877" s="6">
        <v>22</v>
      </c>
      <c r="F877" s="6" t="str">
        <f t="shared" si="131"/>
        <v>Night</v>
      </c>
      <c r="G877" s="6" t="b">
        <v>0</v>
      </c>
      <c r="H877" s="6">
        <f t="shared" si="132"/>
        <v>0</v>
      </c>
      <c r="I877" s="6">
        <v>2</v>
      </c>
      <c r="J877" s="6" t="str">
        <f t="shared" si="133"/>
        <v>Tuesday</v>
      </c>
      <c r="K877" s="6">
        <f t="shared" si="134"/>
        <v>0</v>
      </c>
      <c r="L877" s="6">
        <v>1</v>
      </c>
      <c r="M877" s="6" t="str">
        <f t="shared" si="135"/>
        <v>Partly cloudy</v>
      </c>
      <c r="N877" s="8">
        <v>0.12</v>
      </c>
      <c r="O877" s="8">
        <v>0.1061</v>
      </c>
      <c r="P877" s="8">
        <v>0.33</v>
      </c>
      <c r="Q877" s="8">
        <v>0.35820000000000002</v>
      </c>
      <c r="R877" s="6">
        <v>0</v>
      </c>
      <c r="S877" s="6">
        <v>29</v>
      </c>
      <c r="T877" s="6">
        <v>29</v>
      </c>
      <c r="U877" s="8">
        <f t="shared" si="136"/>
        <v>-0.64378142061299781</v>
      </c>
      <c r="V877" s="8" t="str">
        <f t="shared" si="137"/>
        <v>Normal</v>
      </c>
      <c r="W877" s="8">
        <f t="shared" si="138"/>
        <v>-0.50910377997734446</v>
      </c>
      <c r="X877" s="8" t="str">
        <f t="shared" si="139"/>
        <v>Normal</v>
      </c>
    </row>
    <row r="878" spans="1:24" x14ac:dyDescent="0.25">
      <c r="A878" s="6">
        <v>877</v>
      </c>
      <c r="B878" s="7">
        <v>40582</v>
      </c>
      <c r="C878" s="6">
        <v>2</v>
      </c>
      <c r="D878" s="6" t="str">
        <f t="shared" si="130"/>
        <v>february</v>
      </c>
      <c r="E878" s="6">
        <v>23</v>
      </c>
      <c r="F878" s="6" t="str">
        <f t="shared" si="131"/>
        <v>Night</v>
      </c>
      <c r="G878" s="6" t="b">
        <v>0</v>
      </c>
      <c r="H878" s="6">
        <f t="shared" si="132"/>
        <v>0</v>
      </c>
      <c r="I878" s="6">
        <v>2</v>
      </c>
      <c r="J878" s="6" t="str">
        <f t="shared" si="133"/>
        <v>Tuesday</v>
      </c>
      <c r="K878" s="6">
        <f t="shared" si="134"/>
        <v>0</v>
      </c>
      <c r="L878" s="6">
        <v>1</v>
      </c>
      <c r="M878" s="6" t="str">
        <f t="shared" si="135"/>
        <v>Partly cloudy</v>
      </c>
      <c r="N878" s="8">
        <v>0.12</v>
      </c>
      <c r="O878" s="8">
        <v>0.1061</v>
      </c>
      <c r="P878" s="8">
        <v>0.33</v>
      </c>
      <c r="Q878" s="8">
        <v>0.32840000000000003</v>
      </c>
      <c r="R878" s="6">
        <v>3</v>
      </c>
      <c r="S878" s="6">
        <v>9</v>
      </c>
      <c r="T878" s="6">
        <v>12</v>
      </c>
      <c r="U878" s="8">
        <f t="shared" si="136"/>
        <v>-0.25131154419783963</v>
      </c>
      <c r="V878" s="8" t="str">
        <f t="shared" si="137"/>
        <v>Normal</v>
      </c>
      <c r="W878" s="8">
        <f t="shared" si="138"/>
        <v>-0.92669290352846156</v>
      </c>
      <c r="X878" s="8" t="str">
        <f t="shared" si="139"/>
        <v>Normal</v>
      </c>
    </row>
    <row r="879" spans="1:24" x14ac:dyDescent="0.25">
      <c r="A879" s="6">
        <v>878</v>
      </c>
      <c r="B879" s="7">
        <v>40583</v>
      </c>
      <c r="C879" s="6">
        <v>2</v>
      </c>
      <c r="D879" s="6" t="str">
        <f t="shared" si="130"/>
        <v>february</v>
      </c>
      <c r="E879" s="6">
        <v>0</v>
      </c>
      <c r="F879" s="6" t="str">
        <f t="shared" si="131"/>
        <v>Night</v>
      </c>
      <c r="G879" s="6" t="b">
        <v>0</v>
      </c>
      <c r="H879" s="6">
        <f t="shared" si="132"/>
        <v>0</v>
      </c>
      <c r="I879" s="6">
        <v>3</v>
      </c>
      <c r="J879" s="6" t="str">
        <f t="shared" si="133"/>
        <v>Wednesday</v>
      </c>
      <c r="K879" s="6">
        <f t="shared" si="134"/>
        <v>0</v>
      </c>
      <c r="L879" s="6">
        <v>1</v>
      </c>
      <c r="M879" s="6" t="str">
        <f t="shared" si="135"/>
        <v>Partly cloudy</v>
      </c>
      <c r="N879" s="8">
        <v>0.1</v>
      </c>
      <c r="O879" s="8">
        <v>7.5800000000000006E-2</v>
      </c>
      <c r="P879" s="8">
        <v>0.36</v>
      </c>
      <c r="Q879" s="8">
        <v>0.35820000000000002</v>
      </c>
      <c r="R879" s="6">
        <v>0</v>
      </c>
      <c r="S879" s="6">
        <v>17</v>
      </c>
      <c r="T879" s="6">
        <v>17</v>
      </c>
      <c r="U879" s="8">
        <f t="shared" si="136"/>
        <v>-0.64378142061299781</v>
      </c>
      <c r="V879" s="8" t="str">
        <f t="shared" si="137"/>
        <v>Normal</v>
      </c>
      <c r="W879" s="8">
        <f t="shared" si="138"/>
        <v>-0.75965725410801466</v>
      </c>
      <c r="X879" s="8" t="str">
        <f t="shared" si="139"/>
        <v>Normal</v>
      </c>
    </row>
    <row r="880" spans="1:24" x14ac:dyDescent="0.25">
      <c r="A880" s="6">
        <v>879</v>
      </c>
      <c r="B880" s="7">
        <v>40583</v>
      </c>
      <c r="C880" s="6">
        <v>2</v>
      </c>
      <c r="D880" s="6" t="str">
        <f t="shared" si="130"/>
        <v>february</v>
      </c>
      <c r="E880" s="6">
        <v>1</v>
      </c>
      <c r="F880" s="6" t="str">
        <f t="shared" si="131"/>
        <v>Night</v>
      </c>
      <c r="G880" s="6" t="b">
        <v>0</v>
      </c>
      <c r="H880" s="6">
        <f t="shared" si="132"/>
        <v>0</v>
      </c>
      <c r="I880" s="6">
        <v>3</v>
      </c>
      <c r="J880" s="6" t="str">
        <f t="shared" si="133"/>
        <v>Wednesday</v>
      </c>
      <c r="K880" s="6">
        <f t="shared" si="134"/>
        <v>0</v>
      </c>
      <c r="L880" s="6">
        <v>1</v>
      </c>
      <c r="M880" s="6" t="str">
        <f t="shared" si="135"/>
        <v>Partly cloudy</v>
      </c>
      <c r="N880" s="8">
        <v>0.1</v>
      </c>
      <c r="O880" s="8">
        <v>0.1061</v>
      </c>
      <c r="P880" s="8">
        <v>0.36</v>
      </c>
      <c r="Q880" s="8">
        <v>0.22389999999999999</v>
      </c>
      <c r="R880" s="6">
        <v>0</v>
      </c>
      <c r="S880" s="6">
        <v>7</v>
      </c>
      <c r="T880" s="6">
        <v>7</v>
      </c>
      <c r="U880" s="8">
        <f t="shared" si="136"/>
        <v>-0.64378142061299781</v>
      </c>
      <c r="V880" s="8" t="str">
        <f t="shared" si="137"/>
        <v>Normal</v>
      </c>
      <c r="W880" s="8">
        <f t="shared" si="138"/>
        <v>-0.96845181588357321</v>
      </c>
      <c r="X880" s="8" t="str">
        <f t="shared" si="139"/>
        <v>Normal</v>
      </c>
    </row>
    <row r="881" spans="1:24" x14ac:dyDescent="0.25">
      <c r="A881" s="6">
        <v>880</v>
      </c>
      <c r="B881" s="7">
        <v>40583</v>
      </c>
      <c r="C881" s="6">
        <v>2</v>
      </c>
      <c r="D881" s="6" t="str">
        <f t="shared" si="130"/>
        <v>february</v>
      </c>
      <c r="E881" s="6">
        <v>2</v>
      </c>
      <c r="F881" s="6" t="str">
        <f t="shared" si="131"/>
        <v>Night</v>
      </c>
      <c r="G881" s="6" t="b">
        <v>0</v>
      </c>
      <c r="H881" s="6">
        <f t="shared" si="132"/>
        <v>0</v>
      </c>
      <c r="I881" s="6">
        <v>3</v>
      </c>
      <c r="J881" s="6" t="str">
        <f t="shared" si="133"/>
        <v>Wednesday</v>
      </c>
      <c r="K881" s="6">
        <f t="shared" si="134"/>
        <v>0</v>
      </c>
      <c r="L881" s="6">
        <v>1</v>
      </c>
      <c r="M881" s="6" t="str">
        <f t="shared" si="135"/>
        <v>Partly cloudy</v>
      </c>
      <c r="N881" s="8">
        <v>0.08</v>
      </c>
      <c r="O881" s="8">
        <v>7.5800000000000006E-2</v>
      </c>
      <c r="P881" s="8">
        <v>0.38</v>
      </c>
      <c r="Q881" s="8">
        <v>0.28360000000000002</v>
      </c>
      <c r="R881" s="6">
        <v>1</v>
      </c>
      <c r="S881" s="6">
        <v>2</v>
      </c>
      <c r="T881" s="6">
        <v>3</v>
      </c>
      <c r="U881" s="8">
        <f t="shared" si="136"/>
        <v>-0.51295812847461175</v>
      </c>
      <c r="V881" s="8" t="str">
        <f t="shared" si="137"/>
        <v>Normal</v>
      </c>
      <c r="W881" s="8">
        <f t="shared" si="138"/>
        <v>-1.0728490967713524</v>
      </c>
      <c r="X881" s="8" t="str">
        <f t="shared" si="139"/>
        <v>Normal</v>
      </c>
    </row>
    <row r="882" spans="1:24" x14ac:dyDescent="0.25">
      <c r="A882" s="6">
        <v>881</v>
      </c>
      <c r="B882" s="7">
        <v>40583</v>
      </c>
      <c r="C882" s="6">
        <v>2</v>
      </c>
      <c r="D882" s="6" t="str">
        <f t="shared" si="130"/>
        <v>february</v>
      </c>
      <c r="E882" s="6">
        <v>3</v>
      </c>
      <c r="F882" s="6" t="str">
        <f t="shared" si="131"/>
        <v>Night</v>
      </c>
      <c r="G882" s="6" t="b">
        <v>0</v>
      </c>
      <c r="H882" s="6">
        <f t="shared" si="132"/>
        <v>0</v>
      </c>
      <c r="I882" s="6">
        <v>3</v>
      </c>
      <c r="J882" s="6" t="str">
        <f t="shared" si="133"/>
        <v>Wednesday</v>
      </c>
      <c r="K882" s="6">
        <f t="shared" si="134"/>
        <v>0</v>
      </c>
      <c r="L882" s="6">
        <v>1</v>
      </c>
      <c r="M882" s="6" t="str">
        <f t="shared" si="135"/>
        <v>Partly cloudy</v>
      </c>
      <c r="N882" s="8">
        <v>0.06</v>
      </c>
      <c r="O882" s="8">
        <v>7.5800000000000006E-2</v>
      </c>
      <c r="P882" s="8">
        <v>0.45</v>
      </c>
      <c r="Q882" s="8">
        <v>0.1343</v>
      </c>
      <c r="R882" s="6">
        <v>0</v>
      </c>
      <c r="S882" s="6">
        <v>2</v>
      </c>
      <c r="T882" s="6">
        <v>2</v>
      </c>
      <c r="U882" s="8">
        <f t="shared" si="136"/>
        <v>-0.64378142061299781</v>
      </c>
      <c r="V882" s="8" t="str">
        <f t="shared" si="137"/>
        <v>Normal</v>
      </c>
      <c r="W882" s="8">
        <f t="shared" si="138"/>
        <v>-1.0728490967713524</v>
      </c>
      <c r="X882" s="8" t="str">
        <f t="shared" si="139"/>
        <v>Normal</v>
      </c>
    </row>
    <row r="883" spans="1:24" x14ac:dyDescent="0.25">
      <c r="A883" s="6">
        <v>882</v>
      </c>
      <c r="B883" s="7">
        <v>40583</v>
      </c>
      <c r="C883" s="6">
        <v>2</v>
      </c>
      <c r="D883" s="6" t="str">
        <f t="shared" si="130"/>
        <v>february</v>
      </c>
      <c r="E883" s="6">
        <v>5</v>
      </c>
      <c r="F883" s="6" t="str">
        <f t="shared" si="131"/>
        <v>Early Morning</v>
      </c>
      <c r="G883" s="6" t="b">
        <v>0</v>
      </c>
      <c r="H883" s="6">
        <f t="shared" si="132"/>
        <v>0</v>
      </c>
      <c r="I883" s="6">
        <v>3</v>
      </c>
      <c r="J883" s="6" t="str">
        <f t="shared" si="133"/>
        <v>Wednesday</v>
      </c>
      <c r="K883" s="6">
        <f t="shared" si="134"/>
        <v>0</v>
      </c>
      <c r="L883" s="6">
        <v>1</v>
      </c>
      <c r="M883" s="6" t="str">
        <f t="shared" si="135"/>
        <v>Partly cloudy</v>
      </c>
      <c r="N883" s="8">
        <v>0.06</v>
      </c>
      <c r="O883" s="8">
        <v>0.1061</v>
      </c>
      <c r="P883" s="8">
        <v>0.45</v>
      </c>
      <c r="Q883" s="8">
        <v>0.1045</v>
      </c>
      <c r="R883" s="6">
        <v>0</v>
      </c>
      <c r="S883" s="6">
        <v>7</v>
      </c>
      <c r="T883" s="6">
        <v>7</v>
      </c>
      <c r="U883" s="8">
        <f t="shared" si="136"/>
        <v>-0.64378142061299781</v>
      </c>
      <c r="V883" s="8" t="str">
        <f t="shared" si="137"/>
        <v>Normal</v>
      </c>
      <c r="W883" s="8">
        <f t="shared" si="138"/>
        <v>-0.96845181588357321</v>
      </c>
      <c r="X883" s="8" t="str">
        <f t="shared" si="139"/>
        <v>Normal</v>
      </c>
    </row>
    <row r="884" spans="1:24" x14ac:dyDescent="0.25">
      <c r="A884" s="6">
        <v>883</v>
      </c>
      <c r="B884" s="7">
        <v>40583</v>
      </c>
      <c r="C884" s="6">
        <v>2</v>
      </c>
      <c r="D884" s="6" t="str">
        <f t="shared" si="130"/>
        <v>february</v>
      </c>
      <c r="E884" s="6">
        <v>6</v>
      </c>
      <c r="F884" s="6" t="str">
        <f t="shared" si="131"/>
        <v>Early Morning</v>
      </c>
      <c r="G884" s="6" t="b">
        <v>0</v>
      </c>
      <c r="H884" s="6">
        <f t="shared" si="132"/>
        <v>0</v>
      </c>
      <c r="I884" s="6">
        <v>3</v>
      </c>
      <c r="J884" s="6" t="str">
        <f t="shared" si="133"/>
        <v>Wednesday</v>
      </c>
      <c r="K884" s="6">
        <f t="shared" si="134"/>
        <v>0</v>
      </c>
      <c r="L884" s="6">
        <v>1</v>
      </c>
      <c r="M884" s="6" t="str">
        <f t="shared" si="135"/>
        <v>Partly cloudy</v>
      </c>
      <c r="N884" s="8">
        <v>0.06</v>
      </c>
      <c r="O884" s="8">
        <v>0.1515</v>
      </c>
      <c r="P884" s="8">
        <v>0.45</v>
      </c>
      <c r="Q884" s="8">
        <v>0</v>
      </c>
      <c r="R884" s="6">
        <v>0</v>
      </c>
      <c r="S884" s="6">
        <v>43</v>
      </c>
      <c r="T884" s="6">
        <v>43</v>
      </c>
      <c r="U884" s="8">
        <f t="shared" si="136"/>
        <v>-0.64378142061299781</v>
      </c>
      <c r="V884" s="8" t="str">
        <f t="shared" si="137"/>
        <v>Normal</v>
      </c>
      <c r="W884" s="8">
        <f t="shared" si="138"/>
        <v>-0.21679139349156248</v>
      </c>
      <c r="X884" s="8" t="str">
        <f t="shared" si="139"/>
        <v>Normal</v>
      </c>
    </row>
    <row r="885" spans="1:24" x14ac:dyDescent="0.25">
      <c r="A885" s="6">
        <v>884</v>
      </c>
      <c r="B885" s="7">
        <v>40583</v>
      </c>
      <c r="C885" s="6">
        <v>2</v>
      </c>
      <c r="D885" s="6" t="str">
        <f t="shared" si="130"/>
        <v>february</v>
      </c>
      <c r="E885" s="6">
        <v>7</v>
      </c>
      <c r="F885" s="6" t="str">
        <f t="shared" si="131"/>
        <v>Early Morning</v>
      </c>
      <c r="G885" s="6" t="b">
        <v>0</v>
      </c>
      <c r="H885" s="6">
        <f t="shared" si="132"/>
        <v>0</v>
      </c>
      <c r="I885" s="6">
        <v>3</v>
      </c>
      <c r="J885" s="6" t="str">
        <f t="shared" si="133"/>
        <v>Wednesday</v>
      </c>
      <c r="K885" s="6">
        <f t="shared" si="134"/>
        <v>0</v>
      </c>
      <c r="L885" s="6">
        <v>1</v>
      </c>
      <c r="M885" s="6" t="str">
        <f t="shared" si="135"/>
        <v>Partly cloudy</v>
      </c>
      <c r="N885" s="8">
        <v>0.06</v>
      </c>
      <c r="O885" s="8">
        <v>0.1061</v>
      </c>
      <c r="P885" s="8">
        <v>0.49</v>
      </c>
      <c r="Q885" s="8">
        <v>0.1045</v>
      </c>
      <c r="R885" s="6">
        <v>4</v>
      </c>
      <c r="S885" s="6">
        <v>95</v>
      </c>
      <c r="T885" s="6">
        <v>99</v>
      </c>
      <c r="U885" s="8">
        <f t="shared" si="136"/>
        <v>-0.1204882520594536</v>
      </c>
      <c r="V885" s="8" t="str">
        <f t="shared" si="137"/>
        <v>Normal</v>
      </c>
      <c r="W885" s="8">
        <f t="shared" si="138"/>
        <v>0.86894032774134189</v>
      </c>
      <c r="X885" s="8" t="str">
        <f t="shared" si="139"/>
        <v>Normal</v>
      </c>
    </row>
    <row r="886" spans="1:24" x14ac:dyDescent="0.25">
      <c r="A886" s="6">
        <v>885</v>
      </c>
      <c r="B886" s="7">
        <v>40583</v>
      </c>
      <c r="C886" s="6">
        <v>2</v>
      </c>
      <c r="D886" s="6" t="str">
        <f t="shared" si="130"/>
        <v>february</v>
      </c>
      <c r="E886" s="6">
        <v>8</v>
      </c>
      <c r="F886" s="6" t="str">
        <f t="shared" si="131"/>
        <v>Morning</v>
      </c>
      <c r="G886" s="6" t="b">
        <v>0</v>
      </c>
      <c r="H886" s="6">
        <f t="shared" si="132"/>
        <v>0</v>
      </c>
      <c r="I886" s="6">
        <v>3</v>
      </c>
      <c r="J886" s="6" t="str">
        <f t="shared" si="133"/>
        <v>Wednesday</v>
      </c>
      <c r="K886" s="6">
        <f t="shared" si="134"/>
        <v>0</v>
      </c>
      <c r="L886" s="6">
        <v>1</v>
      </c>
      <c r="M886" s="6" t="str">
        <f t="shared" si="135"/>
        <v>Partly cloudy</v>
      </c>
      <c r="N886" s="8">
        <v>0.1</v>
      </c>
      <c r="O886" s="8">
        <v>0.13639999999999999</v>
      </c>
      <c r="P886" s="8">
        <v>0.42</v>
      </c>
      <c r="Q886" s="8">
        <v>0</v>
      </c>
      <c r="R886" s="6">
        <v>1</v>
      </c>
      <c r="S886" s="6">
        <v>198</v>
      </c>
      <c r="T886" s="6">
        <v>199</v>
      </c>
      <c r="U886" s="8">
        <f t="shared" si="136"/>
        <v>-0.51295812847461175</v>
      </c>
      <c r="V886" s="8" t="str">
        <f t="shared" si="137"/>
        <v>Normal</v>
      </c>
      <c r="W886" s="8">
        <f t="shared" si="138"/>
        <v>3.0195243140295949</v>
      </c>
      <c r="X886" s="8" t="str">
        <f t="shared" si="139"/>
        <v>Peak</v>
      </c>
    </row>
    <row r="887" spans="1:24" x14ac:dyDescent="0.25">
      <c r="A887" s="6">
        <v>886</v>
      </c>
      <c r="B887" s="7">
        <v>40583</v>
      </c>
      <c r="C887" s="6">
        <v>2</v>
      </c>
      <c r="D887" s="6" t="str">
        <f t="shared" si="130"/>
        <v>february</v>
      </c>
      <c r="E887" s="6">
        <v>9</v>
      </c>
      <c r="F887" s="6" t="str">
        <f t="shared" si="131"/>
        <v>Morning</v>
      </c>
      <c r="G887" s="6" t="b">
        <v>0</v>
      </c>
      <c r="H887" s="6">
        <f t="shared" si="132"/>
        <v>0</v>
      </c>
      <c r="I887" s="6">
        <v>3</v>
      </c>
      <c r="J887" s="6" t="str">
        <f t="shared" si="133"/>
        <v>Wednesday</v>
      </c>
      <c r="K887" s="6">
        <f t="shared" si="134"/>
        <v>0</v>
      </c>
      <c r="L887" s="6">
        <v>1</v>
      </c>
      <c r="M887" s="6" t="str">
        <f t="shared" si="135"/>
        <v>Partly cloudy</v>
      </c>
      <c r="N887" s="8">
        <v>0.12</v>
      </c>
      <c r="O887" s="8">
        <v>0.13639999999999999</v>
      </c>
      <c r="P887" s="8">
        <v>0.39</v>
      </c>
      <c r="Q887" s="8">
        <v>0.16420000000000001</v>
      </c>
      <c r="R887" s="6">
        <v>4</v>
      </c>
      <c r="S887" s="6">
        <v>119</v>
      </c>
      <c r="T887" s="6">
        <v>123</v>
      </c>
      <c r="U887" s="8">
        <f t="shared" si="136"/>
        <v>-0.1204882520594536</v>
      </c>
      <c r="V887" s="8" t="str">
        <f t="shared" si="137"/>
        <v>Normal</v>
      </c>
      <c r="W887" s="8">
        <f t="shared" si="138"/>
        <v>1.3700472760026823</v>
      </c>
      <c r="X887" s="8" t="str">
        <f t="shared" si="139"/>
        <v>Normal</v>
      </c>
    </row>
    <row r="888" spans="1:24" x14ac:dyDescent="0.25">
      <c r="A888" s="6">
        <v>887</v>
      </c>
      <c r="B888" s="7">
        <v>40583</v>
      </c>
      <c r="C888" s="6">
        <v>2</v>
      </c>
      <c r="D888" s="6" t="str">
        <f t="shared" si="130"/>
        <v>february</v>
      </c>
      <c r="E888" s="6">
        <v>10</v>
      </c>
      <c r="F888" s="6" t="str">
        <f t="shared" si="131"/>
        <v>Morning</v>
      </c>
      <c r="G888" s="6" t="b">
        <v>0</v>
      </c>
      <c r="H888" s="6">
        <f t="shared" si="132"/>
        <v>0</v>
      </c>
      <c r="I888" s="6">
        <v>3</v>
      </c>
      <c r="J888" s="6" t="str">
        <f t="shared" si="133"/>
        <v>Wednesday</v>
      </c>
      <c r="K888" s="6">
        <f t="shared" si="134"/>
        <v>0</v>
      </c>
      <c r="L888" s="6">
        <v>1</v>
      </c>
      <c r="M888" s="6" t="str">
        <f t="shared" si="135"/>
        <v>Partly cloudy</v>
      </c>
      <c r="N888" s="8">
        <v>0.14000000000000001</v>
      </c>
      <c r="O888" s="8">
        <v>0.18179999999999999</v>
      </c>
      <c r="P888" s="8">
        <v>0.36</v>
      </c>
      <c r="Q888" s="8">
        <v>0</v>
      </c>
      <c r="R888" s="6">
        <v>8</v>
      </c>
      <c r="S888" s="6">
        <v>51</v>
      </c>
      <c r="T888" s="6">
        <v>59</v>
      </c>
      <c r="U888" s="8">
        <f t="shared" si="136"/>
        <v>0.40280491649409061</v>
      </c>
      <c r="V888" s="8" t="str">
        <f t="shared" si="137"/>
        <v>Normal</v>
      </c>
      <c r="W888" s="8">
        <f t="shared" si="138"/>
        <v>-4.9755744071115653E-2</v>
      </c>
      <c r="X888" s="8" t="str">
        <f t="shared" si="139"/>
        <v>Normal</v>
      </c>
    </row>
    <row r="889" spans="1:24" x14ac:dyDescent="0.25">
      <c r="A889" s="6">
        <v>888</v>
      </c>
      <c r="B889" s="7">
        <v>40583</v>
      </c>
      <c r="C889" s="6">
        <v>2</v>
      </c>
      <c r="D889" s="6" t="str">
        <f t="shared" si="130"/>
        <v>february</v>
      </c>
      <c r="E889" s="6">
        <v>11</v>
      </c>
      <c r="F889" s="6" t="str">
        <f t="shared" si="131"/>
        <v>Morning</v>
      </c>
      <c r="G889" s="6" t="b">
        <v>0</v>
      </c>
      <c r="H889" s="6">
        <f t="shared" si="132"/>
        <v>0</v>
      </c>
      <c r="I889" s="6">
        <v>3</v>
      </c>
      <c r="J889" s="6" t="str">
        <f t="shared" si="133"/>
        <v>Wednesday</v>
      </c>
      <c r="K889" s="6">
        <f t="shared" si="134"/>
        <v>0</v>
      </c>
      <c r="L889" s="6">
        <v>2</v>
      </c>
      <c r="M889" s="6" t="str">
        <f t="shared" si="135"/>
        <v>Cloudy</v>
      </c>
      <c r="N889" s="8">
        <v>0.14000000000000001</v>
      </c>
      <c r="O889" s="8">
        <v>0.1515</v>
      </c>
      <c r="P889" s="8">
        <v>0.43</v>
      </c>
      <c r="Q889" s="8">
        <v>0.16420000000000001</v>
      </c>
      <c r="R889" s="6">
        <v>1</v>
      </c>
      <c r="S889" s="6">
        <v>40</v>
      </c>
      <c r="T889" s="6">
        <v>41</v>
      </c>
      <c r="U889" s="8">
        <f t="shared" si="136"/>
        <v>-0.51295812847461175</v>
      </c>
      <c r="V889" s="8" t="str">
        <f t="shared" si="137"/>
        <v>Normal</v>
      </c>
      <c r="W889" s="8">
        <f t="shared" si="138"/>
        <v>-0.27942976202423003</v>
      </c>
      <c r="X889" s="8" t="str">
        <f t="shared" si="139"/>
        <v>Normal</v>
      </c>
    </row>
    <row r="890" spans="1:24" x14ac:dyDescent="0.25">
      <c r="A890" s="6">
        <v>889</v>
      </c>
      <c r="B890" s="7">
        <v>40583</v>
      </c>
      <c r="C890" s="6">
        <v>2</v>
      </c>
      <c r="D890" s="6" t="str">
        <f t="shared" si="130"/>
        <v>february</v>
      </c>
      <c r="E890" s="6">
        <v>12</v>
      </c>
      <c r="F890" s="6" t="str">
        <f t="shared" si="131"/>
        <v>Afternoon</v>
      </c>
      <c r="G890" s="6" t="b">
        <v>0</v>
      </c>
      <c r="H890" s="6">
        <f t="shared" si="132"/>
        <v>0</v>
      </c>
      <c r="I890" s="6">
        <v>3</v>
      </c>
      <c r="J890" s="6" t="str">
        <f t="shared" si="133"/>
        <v>Wednesday</v>
      </c>
      <c r="K890" s="6">
        <f t="shared" si="134"/>
        <v>0</v>
      </c>
      <c r="L890" s="6">
        <v>2</v>
      </c>
      <c r="M890" s="6" t="str">
        <f t="shared" si="135"/>
        <v>Cloudy</v>
      </c>
      <c r="N890" s="8">
        <v>0.18</v>
      </c>
      <c r="O890" s="8">
        <v>0.18179999999999999</v>
      </c>
      <c r="P890" s="8">
        <v>0.4</v>
      </c>
      <c r="Q890" s="8">
        <v>0.22389999999999999</v>
      </c>
      <c r="R890" s="6">
        <v>4</v>
      </c>
      <c r="S890" s="6">
        <v>57</v>
      </c>
      <c r="T890" s="6">
        <v>61</v>
      </c>
      <c r="U890" s="8">
        <f t="shared" si="136"/>
        <v>-0.1204882520594536</v>
      </c>
      <c r="V890" s="8" t="str">
        <f t="shared" si="137"/>
        <v>Normal</v>
      </c>
      <c r="W890" s="8">
        <f t="shared" si="138"/>
        <v>7.5520992994219466E-2</v>
      </c>
      <c r="X890" s="8" t="str">
        <f t="shared" si="139"/>
        <v>Normal</v>
      </c>
    </row>
    <row r="891" spans="1:24" x14ac:dyDescent="0.25">
      <c r="A891" s="6">
        <v>890</v>
      </c>
      <c r="B891" s="7">
        <v>40583</v>
      </c>
      <c r="C891" s="6">
        <v>2</v>
      </c>
      <c r="D891" s="6" t="str">
        <f t="shared" si="130"/>
        <v>february</v>
      </c>
      <c r="E891" s="6">
        <v>13</v>
      </c>
      <c r="F891" s="6" t="str">
        <f t="shared" si="131"/>
        <v>Afternoon</v>
      </c>
      <c r="G891" s="6" t="b">
        <v>0</v>
      </c>
      <c r="H891" s="6">
        <f t="shared" si="132"/>
        <v>0</v>
      </c>
      <c r="I891" s="6">
        <v>3</v>
      </c>
      <c r="J891" s="6" t="str">
        <f t="shared" si="133"/>
        <v>Wednesday</v>
      </c>
      <c r="K891" s="6">
        <f t="shared" si="134"/>
        <v>0</v>
      </c>
      <c r="L891" s="6">
        <v>1</v>
      </c>
      <c r="M891" s="6" t="str">
        <f t="shared" si="135"/>
        <v>Partly cloudy</v>
      </c>
      <c r="N891" s="8">
        <v>0.18</v>
      </c>
      <c r="O891" s="8">
        <v>0.16669999999999999</v>
      </c>
      <c r="P891" s="8">
        <v>0.4</v>
      </c>
      <c r="Q891" s="8">
        <v>0.25369999999999998</v>
      </c>
      <c r="R891" s="6">
        <v>2</v>
      </c>
      <c r="S891" s="6">
        <v>67</v>
      </c>
      <c r="T891" s="6">
        <v>69</v>
      </c>
      <c r="U891" s="8">
        <f t="shared" si="136"/>
        <v>-0.38213483633622569</v>
      </c>
      <c r="V891" s="8" t="str">
        <f t="shared" si="137"/>
        <v>Normal</v>
      </c>
      <c r="W891" s="8">
        <f t="shared" si="138"/>
        <v>0.28431555476977799</v>
      </c>
      <c r="X891" s="8" t="str">
        <f t="shared" si="139"/>
        <v>Normal</v>
      </c>
    </row>
    <row r="892" spans="1:24" x14ac:dyDescent="0.25">
      <c r="A892" s="6">
        <v>891</v>
      </c>
      <c r="B892" s="7">
        <v>40583</v>
      </c>
      <c r="C892" s="6">
        <v>2</v>
      </c>
      <c r="D892" s="6" t="str">
        <f t="shared" si="130"/>
        <v>february</v>
      </c>
      <c r="E892" s="6">
        <v>14</v>
      </c>
      <c r="F892" s="6" t="str">
        <f t="shared" si="131"/>
        <v>Afternoon</v>
      </c>
      <c r="G892" s="6" t="b">
        <v>0</v>
      </c>
      <c r="H892" s="6">
        <f t="shared" si="132"/>
        <v>0</v>
      </c>
      <c r="I892" s="6">
        <v>3</v>
      </c>
      <c r="J892" s="6" t="str">
        <f t="shared" si="133"/>
        <v>Wednesday</v>
      </c>
      <c r="K892" s="6">
        <f t="shared" si="134"/>
        <v>0</v>
      </c>
      <c r="L892" s="6">
        <v>1</v>
      </c>
      <c r="M892" s="6" t="str">
        <f t="shared" si="135"/>
        <v>Partly cloudy</v>
      </c>
      <c r="N892" s="8">
        <v>0.2</v>
      </c>
      <c r="O892" s="8">
        <v>0.18179999999999999</v>
      </c>
      <c r="P892" s="8">
        <v>0.34</v>
      </c>
      <c r="Q892" s="8">
        <v>0.29849999999999999</v>
      </c>
      <c r="R892" s="6">
        <v>2</v>
      </c>
      <c r="S892" s="6">
        <v>56</v>
      </c>
      <c r="T892" s="6">
        <v>58</v>
      </c>
      <c r="U892" s="8">
        <f t="shared" si="136"/>
        <v>-0.38213483633622569</v>
      </c>
      <c r="V892" s="8" t="str">
        <f t="shared" si="137"/>
        <v>Normal</v>
      </c>
      <c r="W892" s="8">
        <f t="shared" si="138"/>
        <v>5.4641536816663616E-2</v>
      </c>
      <c r="X892" s="8" t="str">
        <f t="shared" si="139"/>
        <v>Normal</v>
      </c>
    </row>
    <row r="893" spans="1:24" x14ac:dyDescent="0.25">
      <c r="A893" s="6">
        <v>892</v>
      </c>
      <c r="B893" s="7">
        <v>40583</v>
      </c>
      <c r="C893" s="6">
        <v>2</v>
      </c>
      <c r="D893" s="6" t="str">
        <f t="shared" si="130"/>
        <v>february</v>
      </c>
      <c r="E893" s="6">
        <v>15</v>
      </c>
      <c r="F893" s="6" t="str">
        <f t="shared" si="131"/>
        <v>Afternoon</v>
      </c>
      <c r="G893" s="6" t="b">
        <v>0</v>
      </c>
      <c r="H893" s="6">
        <f t="shared" si="132"/>
        <v>0</v>
      </c>
      <c r="I893" s="6">
        <v>3</v>
      </c>
      <c r="J893" s="6" t="str">
        <f t="shared" si="133"/>
        <v>Wednesday</v>
      </c>
      <c r="K893" s="6">
        <f t="shared" si="134"/>
        <v>0</v>
      </c>
      <c r="L893" s="6">
        <v>2</v>
      </c>
      <c r="M893" s="6" t="str">
        <f t="shared" si="135"/>
        <v>Cloudy</v>
      </c>
      <c r="N893" s="8">
        <v>0.2</v>
      </c>
      <c r="O893" s="8">
        <v>0.18179999999999999</v>
      </c>
      <c r="P893" s="8">
        <v>0.34</v>
      </c>
      <c r="Q893" s="8">
        <v>0.28360000000000002</v>
      </c>
      <c r="R893" s="6">
        <v>3</v>
      </c>
      <c r="S893" s="6">
        <v>61</v>
      </c>
      <c r="T893" s="6">
        <v>64</v>
      </c>
      <c r="U893" s="8">
        <f t="shared" si="136"/>
        <v>-0.25131154419783963</v>
      </c>
      <c r="V893" s="8" t="str">
        <f t="shared" si="137"/>
        <v>Normal</v>
      </c>
      <c r="W893" s="8">
        <f t="shared" si="138"/>
        <v>0.15903881770444289</v>
      </c>
      <c r="X893" s="8" t="str">
        <f t="shared" si="139"/>
        <v>Normal</v>
      </c>
    </row>
    <row r="894" spans="1:24" x14ac:dyDescent="0.25">
      <c r="A894" s="6">
        <v>893</v>
      </c>
      <c r="B894" s="7">
        <v>40583</v>
      </c>
      <c r="C894" s="6">
        <v>2</v>
      </c>
      <c r="D894" s="6" t="str">
        <f t="shared" si="130"/>
        <v>february</v>
      </c>
      <c r="E894" s="6">
        <v>16</v>
      </c>
      <c r="F894" s="6" t="str">
        <f t="shared" si="131"/>
        <v>Afternoon</v>
      </c>
      <c r="G894" s="6" t="b">
        <v>0</v>
      </c>
      <c r="H894" s="6">
        <f t="shared" si="132"/>
        <v>0</v>
      </c>
      <c r="I894" s="6">
        <v>3</v>
      </c>
      <c r="J894" s="6" t="str">
        <f t="shared" si="133"/>
        <v>Wednesday</v>
      </c>
      <c r="K894" s="6">
        <f t="shared" si="134"/>
        <v>0</v>
      </c>
      <c r="L894" s="6">
        <v>2</v>
      </c>
      <c r="M894" s="6" t="str">
        <f t="shared" si="135"/>
        <v>Cloudy</v>
      </c>
      <c r="N894" s="8">
        <v>0.2</v>
      </c>
      <c r="O894" s="8">
        <v>0.19700000000000001</v>
      </c>
      <c r="P894" s="8">
        <v>0.37</v>
      </c>
      <c r="Q894" s="8">
        <v>0.25369999999999998</v>
      </c>
      <c r="R894" s="6">
        <v>7</v>
      </c>
      <c r="S894" s="6">
        <v>72</v>
      </c>
      <c r="T894" s="6">
        <v>79</v>
      </c>
      <c r="U894" s="8">
        <f t="shared" si="136"/>
        <v>0.27198162435570455</v>
      </c>
      <c r="V894" s="8" t="str">
        <f t="shared" si="137"/>
        <v>Normal</v>
      </c>
      <c r="W894" s="8">
        <f t="shared" si="138"/>
        <v>0.38871283565755727</v>
      </c>
      <c r="X894" s="8" t="str">
        <f t="shared" si="139"/>
        <v>Normal</v>
      </c>
    </row>
    <row r="895" spans="1:24" x14ac:dyDescent="0.25">
      <c r="A895" s="6">
        <v>894</v>
      </c>
      <c r="B895" s="7">
        <v>40583</v>
      </c>
      <c r="C895" s="6">
        <v>2</v>
      </c>
      <c r="D895" s="6" t="str">
        <f t="shared" si="130"/>
        <v>february</v>
      </c>
      <c r="E895" s="6">
        <v>17</v>
      </c>
      <c r="F895" s="6" t="str">
        <f t="shared" si="131"/>
        <v>Evening</v>
      </c>
      <c r="G895" s="6" t="b">
        <v>0</v>
      </c>
      <c r="H895" s="6">
        <f t="shared" si="132"/>
        <v>0</v>
      </c>
      <c r="I895" s="6">
        <v>3</v>
      </c>
      <c r="J895" s="6" t="str">
        <f t="shared" si="133"/>
        <v>Wednesday</v>
      </c>
      <c r="K895" s="6">
        <f t="shared" si="134"/>
        <v>0</v>
      </c>
      <c r="L895" s="6">
        <v>2</v>
      </c>
      <c r="M895" s="6" t="str">
        <f t="shared" si="135"/>
        <v>Cloudy</v>
      </c>
      <c r="N895" s="8">
        <v>0.2</v>
      </c>
      <c r="O895" s="8">
        <v>0.19700000000000001</v>
      </c>
      <c r="P895" s="8">
        <v>0.34</v>
      </c>
      <c r="Q895" s="8">
        <v>0.25369999999999998</v>
      </c>
      <c r="R895" s="6">
        <v>9</v>
      </c>
      <c r="S895" s="6">
        <v>157</v>
      </c>
      <c r="T895" s="6">
        <v>166</v>
      </c>
      <c r="U895" s="8">
        <f t="shared" si="136"/>
        <v>0.53362820863247673</v>
      </c>
      <c r="V895" s="8" t="str">
        <f t="shared" si="137"/>
        <v>Normal</v>
      </c>
      <c r="W895" s="8">
        <f t="shared" si="138"/>
        <v>2.1634666107498046</v>
      </c>
      <c r="X895" s="8" t="str">
        <f t="shared" si="139"/>
        <v>Peak</v>
      </c>
    </row>
    <row r="896" spans="1:24" x14ac:dyDescent="0.25">
      <c r="A896" s="6">
        <v>895</v>
      </c>
      <c r="B896" s="7">
        <v>40583</v>
      </c>
      <c r="C896" s="6">
        <v>2</v>
      </c>
      <c r="D896" s="6" t="str">
        <f t="shared" si="130"/>
        <v>february</v>
      </c>
      <c r="E896" s="6">
        <v>18</v>
      </c>
      <c r="F896" s="6" t="str">
        <f t="shared" si="131"/>
        <v>Evening</v>
      </c>
      <c r="G896" s="6" t="b">
        <v>0</v>
      </c>
      <c r="H896" s="6">
        <f t="shared" si="132"/>
        <v>0</v>
      </c>
      <c r="I896" s="6">
        <v>3</v>
      </c>
      <c r="J896" s="6" t="str">
        <f t="shared" si="133"/>
        <v>Wednesday</v>
      </c>
      <c r="K896" s="6">
        <f t="shared" si="134"/>
        <v>0</v>
      </c>
      <c r="L896" s="6">
        <v>2</v>
      </c>
      <c r="M896" s="6" t="str">
        <f t="shared" si="135"/>
        <v>Cloudy</v>
      </c>
      <c r="N896" s="8">
        <v>0.18</v>
      </c>
      <c r="O896" s="8">
        <v>0.16669999999999999</v>
      </c>
      <c r="P896" s="8">
        <v>0.47</v>
      </c>
      <c r="Q896" s="8">
        <v>0.29849999999999999</v>
      </c>
      <c r="R896" s="6">
        <v>2</v>
      </c>
      <c r="S896" s="6">
        <v>168</v>
      </c>
      <c r="T896" s="6">
        <v>170</v>
      </c>
      <c r="U896" s="8">
        <f t="shared" si="136"/>
        <v>-0.38213483633622569</v>
      </c>
      <c r="V896" s="8" t="str">
        <f t="shared" si="137"/>
        <v>Normal</v>
      </c>
      <c r="W896" s="8">
        <f t="shared" si="138"/>
        <v>2.3931406287029193</v>
      </c>
      <c r="X896" s="8" t="str">
        <f t="shared" si="139"/>
        <v>Peak</v>
      </c>
    </row>
    <row r="897" spans="1:24" x14ac:dyDescent="0.25">
      <c r="A897" s="6">
        <v>896</v>
      </c>
      <c r="B897" s="7">
        <v>40583</v>
      </c>
      <c r="C897" s="6">
        <v>2</v>
      </c>
      <c r="D897" s="6" t="str">
        <f t="shared" si="130"/>
        <v>february</v>
      </c>
      <c r="E897" s="6">
        <v>19</v>
      </c>
      <c r="F897" s="6" t="str">
        <f t="shared" si="131"/>
        <v>Evening</v>
      </c>
      <c r="G897" s="6" t="b">
        <v>0</v>
      </c>
      <c r="H897" s="6">
        <f t="shared" si="132"/>
        <v>0</v>
      </c>
      <c r="I897" s="6">
        <v>3</v>
      </c>
      <c r="J897" s="6" t="str">
        <f t="shared" si="133"/>
        <v>Wednesday</v>
      </c>
      <c r="K897" s="6">
        <f t="shared" si="134"/>
        <v>0</v>
      </c>
      <c r="L897" s="6">
        <v>3</v>
      </c>
      <c r="M897" s="6" t="str">
        <f t="shared" si="135"/>
        <v>Light rain</v>
      </c>
      <c r="N897" s="8">
        <v>0.14000000000000001</v>
      </c>
      <c r="O897" s="8">
        <v>0.1212</v>
      </c>
      <c r="P897" s="8">
        <v>0.86</v>
      </c>
      <c r="Q897" s="8">
        <v>0.25369999999999998</v>
      </c>
      <c r="R897" s="6">
        <v>1</v>
      </c>
      <c r="S897" s="6">
        <v>87</v>
      </c>
      <c r="T897" s="6">
        <v>88</v>
      </c>
      <c r="U897" s="8">
        <f t="shared" si="136"/>
        <v>-0.51295812847461175</v>
      </c>
      <c r="V897" s="8" t="str">
        <f t="shared" si="137"/>
        <v>Normal</v>
      </c>
      <c r="W897" s="8">
        <f t="shared" si="138"/>
        <v>0.70190467832089509</v>
      </c>
      <c r="X897" s="8" t="str">
        <f t="shared" si="139"/>
        <v>Normal</v>
      </c>
    </row>
    <row r="898" spans="1:24" x14ac:dyDescent="0.25">
      <c r="A898" s="6">
        <v>897</v>
      </c>
      <c r="B898" s="7">
        <v>40583</v>
      </c>
      <c r="C898" s="6">
        <v>2</v>
      </c>
      <c r="D898" s="6" t="str">
        <f t="shared" ref="D898:D961" si="140">IF(C898=1,"january",IF(C898=2,"february"))</f>
        <v>february</v>
      </c>
      <c r="E898" s="6">
        <v>20</v>
      </c>
      <c r="F898" s="6" t="str">
        <f t="shared" ref="F898:F961" si="141">IF(AND(E898&gt;=5,E898&lt;8),"Early Morning", IF(AND(E898&gt;=8,E898&lt;12),"Morning", IF(AND(E898&gt;=12,E898&lt;17),"Afternoon", IF(AND(E898&gt;=17,E898&lt;21),"Evening","Night"))))</f>
        <v>Evening</v>
      </c>
      <c r="G898" s="6" t="b">
        <v>0</v>
      </c>
      <c r="H898" s="6">
        <f t="shared" ref="H898:H961" si="142">IF(G898=FALSE,0,IF(G898=TRUE,1))</f>
        <v>0</v>
      </c>
      <c r="I898" s="6">
        <v>3</v>
      </c>
      <c r="J898" s="6" t="str">
        <f t="shared" ref="J898:J961" si="143">TEXT(B898,"dddd")</f>
        <v>Wednesday</v>
      </c>
      <c r="K898" s="6">
        <f t="shared" ref="K898:K961" si="144">IF(OR(J898="Saturday",J898="Sunday"),1,0)</f>
        <v>0</v>
      </c>
      <c r="L898" s="6">
        <v>3</v>
      </c>
      <c r="M898" s="6" t="str">
        <f t="shared" ref="M898:M961" si="145">IF(L898=0,"clear sky",IF(L898=1,"Partly cloudy",IF(L898=2,"Cloudy",IF(L898=3,"Light rain",IF(L898=4,"Heavy rain")))))</f>
        <v>Light rain</v>
      </c>
      <c r="N898" s="8">
        <v>0.14000000000000001</v>
      </c>
      <c r="O898" s="8">
        <v>0.1515</v>
      </c>
      <c r="P898" s="8">
        <v>0.86</v>
      </c>
      <c r="Q898" s="8">
        <v>0.16420000000000001</v>
      </c>
      <c r="R898" s="6">
        <v>0</v>
      </c>
      <c r="S898" s="6">
        <v>84</v>
      </c>
      <c r="T898" s="6">
        <v>84</v>
      </c>
      <c r="U898" s="8">
        <f t="shared" ref="U898:U961" si="146">(R898-$AA$7)/$AA$9</f>
        <v>-0.64378142061299781</v>
      </c>
      <c r="V898" s="8" t="str">
        <f t="shared" ref="V898:V961" si="147">IF(ABS(U898)&gt;2,"Peak","Normal")</f>
        <v>Normal</v>
      </c>
      <c r="W898" s="8">
        <f t="shared" ref="W898:W961" si="148">(S898-$AA$11)/$AA$13</f>
        <v>0.63926630978822752</v>
      </c>
      <c r="X898" s="8" t="str">
        <f t="shared" ref="X898:X961" si="149">IF(ABS(W898)&gt;2,"Peak","Normal")</f>
        <v>Normal</v>
      </c>
    </row>
    <row r="899" spans="1:24" x14ac:dyDescent="0.25">
      <c r="A899" s="6">
        <v>898</v>
      </c>
      <c r="B899" s="7">
        <v>40583</v>
      </c>
      <c r="C899" s="6">
        <v>2</v>
      </c>
      <c r="D899" s="6" t="str">
        <f t="shared" si="140"/>
        <v>february</v>
      </c>
      <c r="E899" s="6">
        <v>21</v>
      </c>
      <c r="F899" s="6" t="str">
        <f t="shared" si="141"/>
        <v>Night</v>
      </c>
      <c r="G899" s="6" t="b">
        <v>0</v>
      </c>
      <c r="H899" s="6">
        <f t="shared" si="142"/>
        <v>0</v>
      </c>
      <c r="I899" s="6">
        <v>3</v>
      </c>
      <c r="J899" s="6" t="str">
        <f t="shared" si="143"/>
        <v>Wednesday</v>
      </c>
      <c r="K899" s="6">
        <f t="shared" si="144"/>
        <v>0</v>
      </c>
      <c r="L899" s="6">
        <v>2</v>
      </c>
      <c r="M899" s="6" t="str">
        <f t="shared" si="145"/>
        <v>Cloudy</v>
      </c>
      <c r="N899" s="8">
        <v>0.14000000000000001</v>
      </c>
      <c r="O899" s="8">
        <v>0.1515</v>
      </c>
      <c r="P899" s="8">
        <v>0.86</v>
      </c>
      <c r="Q899" s="8">
        <v>0.16420000000000001</v>
      </c>
      <c r="R899" s="6">
        <v>0</v>
      </c>
      <c r="S899" s="6">
        <v>83</v>
      </c>
      <c r="T899" s="6">
        <v>83</v>
      </c>
      <c r="U899" s="8">
        <f t="shared" si="146"/>
        <v>-0.64378142061299781</v>
      </c>
      <c r="V899" s="8" t="str">
        <f t="shared" si="147"/>
        <v>Normal</v>
      </c>
      <c r="W899" s="8">
        <f t="shared" si="148"/>
        <v>0.61838685361067169</v>
      </c>
      <c r="X899" s="8" t="str">
        <f t="shared" si="149"/>
        <v>Normal</v>
      </c>
    </row>
    <row r="900" spans="1:24" x14ac:dyDescent="0.25">
      <c r="A900" s="6">
        <v>899</v>
      </c>
      <c r="B900" s="7">
        <v>40583</v>
      </c>
      <c r="C900" s="6">
        <v>2</v>
      </c>
      <c r="D900" s="6" t="str">
        <f t="shared" si="140"/>
        <v>february</v>
      </c>
      <c r="E900" s="6">
        <v>22</v>
      </c>
      <c r="F900" s="6" t="str">
        <f t="shared" si="141"/>
        <v>Night</v>
      </c>
      <c r="G900" s="6" t="b">
        <v>0</v>
      </c>
      <c r="H900" s="6">
        <f t="shared" si="142"/>
        <v>0</v>
      </c>
      <c r="I900" s="6">
        <v>3</v>
      </c>
      <c r="J900" s="6" t="str">
        <f t="shared" si="143"/>
        <v>Wednesday</v>
      </c>
      <c r="K900" s="6">
        <f t="shared" si="144"/>
        <v>0</v>
      </c>
      <c r="L900" s="6">
        <v>3</v>
      </c>
      <c r="M900" s="6" t="str">
        <f t="shared" si="145"/>
        <v>Light rain</v>
      </c>
      <c r="N900" s="8">
        <v>0.16</v>
      </c>
      <c r="O900" s="8">
        <v>0.16669999999999999</v>
      </c>
      <c r="P900" s="8">
        <v>0.8</v>
      </c>
      <c r="Q900" s="8">
        <v>0.16420000000000001</v>
      </c>
      <c r="R900" s="6">
        <v>4</v>
      </c>
      <c r="S900" s="6">
        <v>42</v>
      </c>
      <c r="T900" s="6">
        <v>46</v>
      </c>
      <c r="U900" s="8">
        <f t="shared" si="146"/>
        <v>-0.1204882520594536</v>
      </c>
      <c r="V900" s="8" t="str">
        <f t="shared" si="147"/>
        <v>Normal</v>
      </c>
      <c r="W900" s="8">
        <f t="shared" si="148"/>
        <v>-0.23767084966911833</v>
      </c>
      <c r="X900" s="8" t="str">
        <f t="shared" si="149"/>
        <v>Normal</v>
      </c>
    </row>
    <row r="901" spans="1:24" x14ac:dyDescent="0.25">
      <c r="A901" s="6">
        <v>900</v>
      </c>
      <c r="B901" s="7">
        <v>40583</v>
      </c>
      <c r="C901" s="6">
        <v>2</v>
      </c>
      <c r="D901" s="6" t="str">
        <f t="shared" si="140"/>
        <v>february</v>
      </c>
      <c r="E901" s="6">
        <v>23</v>
      </c>
      <c r="F901" s="6" t="str">
        <f t="shared" si="141"/>
        <v>Night</v>
      </c>
      <c r="G901" s="6" t="b">
        <v>0</v>
      </c>
      <c r="H901" s="6">
        <f t="shared" si="142"/>
        <v>0</v>
      </c>
      <c r="I901" s="6">
        <v>3</v>
      </c>
      <c r="J901" s="6" t="str">
        <f t="shared" si="143"/>
        <v>Wednesday</v>
      </c>
      <c r="K901" s="6">
        <f t="shared" si="144"/>
        <v>0</v>
      </c>
      <c r="L901" s="6">
        <v>3</v>
      </c>
      <c r="M901" s="6" t="str">
        <f t="shared" si="145"/>
        <v>Light rain</v>
      </c>
      <c r="N901" s="8">
        <v>0.16</v>
      </c>
      <c r="O901" s="8">
        <v>0.1515</v>
      </c>
      <c r="P901" s="8">
        <v>0.8</v>
      </c>
      <c r="Q901" s="8">
        <v>0.19400000000000001</v>
      </c>
      <c r="R901" s="6">
        <v>0</v>
      </c>
      <c r="S901" s="6">
        <v>37</v>
      </c>
      <c r="T901" s="6">
        <v>37</v>
      </c>
      <c r="U901" s="8">
        <f t="shared" si="146"/>
        <v>-0.64378142061299781</v>
      </c>
      <c r="V901" s="8" t="str">
        <f t="shared" si="147"/>
        <v>Normal</v>
      </c>
      <c r="W901" s="8">
        <f t="shared" si="148"/>
        <v>-0.34206813055689761</v>
      </c>
      <c r="X901" s="8" t="str">
        <f t="shared" si="149"/>
        <v>Normal</v>
      </c>
    </row>
    <row r="902" spans="1:24" x14ac:dyDescent="0.25">
      <c r="A902" s="6">
        <v>901</v>
      </c>
      <c r="B902" s="7">
        <v>40584</v>
      </c>
      <c r="C902" s="6">
        <v>2</v>
      </c>
      <c r="D902" s="6" t="str">
        <f t="shared" si="140"/>
        <v>february</v>
      </c>
      <c r="E902" s="6">
        <v>0</v>
      </c>
      <c r="F902" s="6" t="str">
        <f t="shared" si="141"/>
        <v>Night</v>
      </c>
      <c r="G902" s="6" t="b">
        <v>0</v>
      </c>
      <c r="H902" s="6">
        <f t="shared" si="142"/>
        <v>0</v>
      </c>
      <c r="I902" s="6">
        <v>4</v>
      </c>
      <c r="J902" s="6" t="str">
        <f t="shared" si="143"/>
        <v>Thursday</v>
      </c>
      <c r="K902" s="6">
        <f t="shared" si="144"/>
        <v>0</v>
      </c>
      <c r="L902" s="6">
        <v>3</v>
      </c>
      <c r="M902" s="6" t="str">
        <f t="shared" si="145"/>
        <v>Light rain</v>
      </c>
      <c r="N902" s="8">
        <v>0.14000000000000001</v>
      </c>
      <c r="O902" s="8">
        <v>0.13639999999999999</v>
      </c>
      <c r="P902" s="8">
        <v>0.86</v>
      </c>
      <c r="Q902" s="8">
        <v>0.19400000000000001</v>
      </c>
      <c r="R902" s="6">
        <v>0</v>
      </c>
      <c r="S902" s="6">
        <v>16</v>
      </c>
      <c r="T902" s="6">
        <v>16</v>
      </c>
      <c r="U902" s="8">
        <f t="shared" si="146"/>
        <v>-0.64378142061299781</v>
      </c>
      <c r="V902" s="8" t="str">
        <f t="shared" si="147"/>
        <v>Normal</v>
      </c>
      <c r="W902" s="8">
        <f t="shared" si="148"/>
        <v>-0.78053671028557059</v>
      </c>
      <c r="X902" s="8" t="str">
        <f t="shared" si="149"/>
        <v>Normal</v>
      </c>
    </row>
    <row r="903" spans="1:24" x14ac:dyDescent="0.25">
      <c r="A903" s="6">
        <v>902</v>
      </c>
      <c r="B903" s="7">
        <v>40584</v>
      </c>
      <c r="C903" s="6">
        <v>2</v>
      </c>
      <c r="D903" s="6" t="str">
        <f t="shared" si="140"/>
        <v>february</v>
      </c>
      <c r="E903" s="6">
        <v>1</v>
      </c>
      <c r="F903" s="6" t="str">
        <f t="shared" si="141"/>
        <v>Night</v>
      </c>
      <c r="G903" s="6" t="b">
        <v>0</v>
      </c>
      <c r="H903" s="6">
        <f t="shared" si="142"/>
        <v>0</v>
      </c>
      <c r="I903" s="6">
        <v>4</v>
      </c>
      <c r="J903" s="6" t="str">
        <f t="shared" si="143"/>
        <v>Thursday</v>
      </c>
      <c r="K903" s="6">
        <f t="shared" si="144"/>
        <v>0</v>
      </c>
      <c r="L903" s="6">
        <v>3</v>
      </c>
      <c r="M903" s="6" t="str">
        <f t="shared" si="145"/>
        <v>Light rain</v>
      </c>
      <c r="N903" s="8">
        <v>0.14000000000000001</v>
      </c>
      <c r="O903" s="8">
        <v>0.1515</v>
      </c>
      <c r="P903" s="8">
        <v>0.8</v>
      </c>
      <c r="Q903" s="8">
        <v>0.1343</v>
      </c>
      <c r="R903" s="6">
        <v>0</v>
      </c>
      <c r="S903" s="6">
        <v>7</v>
      </c>
      <c r="T903" s="6">
        <v>7</v>
      </c>
      <c r="U903" s="8">
        <f t="shared" si="146"/>
        <v>-0.64378142061299781</v>
      </c>
      <c r="V903" s="8" t="str">
        <f t="shared" si="147"/>
        <v>Normal</v>
      </c>
      <c r="W903" s="8">
        <f t="shared" si="148"/>
        <v>-0.96845181588357321</v>
      </c>
      <c r="X903" s="8" t="str">
        <f t="shared" si="149"/>
        <v>Normal</v>
      </c>
    </row>
    <row r="904" spans="1:24" x14ac:dyDescent="0.25">
      <c r="A904" s="6">
        <v>903</v>
      </c>
      <c r="B904" s="7">
        <v>40584</v>
      </c>
      <c r="C904" s="6">
        <v>2</v>
      </c>
      <c r="D904" s="6" t="str">
        <f t="shared" si="140"/>
        <v>february</v>
      </c>
      <c r="E904" s="6">
        <v>2</v>
      </c>
      <c r="F904" s="6" t="str">
        <f t="shared" si="141"/>
        <v>Night</v>
      </c>
      <c r="G904" s="6" t="b">
        <v>0</v>
      </c>
      <c r="H904" s="6">
        <f t="shared" si="142"/>
        <v>0</v>
      </c>
      <c r="I904" s="6">
        <v>4</v>
      </c>
      <c r="J904" s="6" t="str">
        <f t="shared" si="143"/>
        <v>Thursday</v>
      </c>
      <c r="K904" s="6">
        <f t="shared" si="144"/>
        <v>0</v>
      </c>
      <c r="L904" s="6">
        <v>3</v>
      </c>
      <c r="M904" s="6" t="str">
        <f t="shared" si="145"/>
        <v>Light rain</v>
      </c>
      <c r="N904" s="8">
        <v>0.14000000000000001</v>
      </c>
      <c r="O904" s="8">
        <v>0.1515</v>
      </c>
      <c r="P904" s="8">
        <v>0.8</v>
      </c>
      <c r="Q904" s="8">
        <v>0.1343</v>
      </c>
      <c r="R904" s="6">
        <v>0</v>
      </c>
      <c r="S904" s="6">
        <v>3</v>
      </c>
      <c r="T904" s="6">
        <v>3</v>
      </c>
      <c r="U904" s="8">
        <f t="shared" si="146"/>
        <v>-0.64378142061299781</v>
      </c>
      <c r="V904" s="8" t="str">
        <f t="shared" si="147"/>
        <v>Normal</v>
      </c>
      <c r="W904" s="8">
        <f t="shared" si="148"/>
        <v>-1.0519696405937966</v>
      </c>
      <c r="X904" s="8" t="str">
        <f t="shared" si="149"/>
        <v>Normal</v>
      </c>
    </row>
    <row r="905" spans="1:24" x14ac:dyDescent="0.25">
      <c r="A905" s="6">
        <v>904</v>
      </c>
      <c r="B905" s="7">
        <v>40584</v>
      </c>
      <c r="C905" s="6">
        <v>2</v>
      </c>
      <c r="D905" s="6" t="str">
        <f t="shared" si="140"/>
        <v>february</v>
      </c>
      <c r="E905" s="6">
        <v>4</v>
      </c>
      <c r="F905" s="6" t="str">
        <f t="shared" si="141"/>
        <v>Night</v>
      </c>
      <c r="G905" s="6" t="b">
        <v>0</v>
      </c>
      <c r="H905" s="6">
        <f t="shared" si="142"/>
        <v>0</v>
      </c>
      <c r="I905" s="6">
        <v>4</v>
      </c>
      <c r="J905" s="6" t="str">
        <f t="shared" si="143"/>
        <v>Thursday</v>
      </c>
      <c r="K905" s="6">
        <f t="shared" si="144"/>
        <v>0</v>
      </c>
      <c r="L905" s="6">
        <v>2</v>
      </c>
      <c r="M905" s="6" t="str">
        <f t="shared" si="145"/>
        <v>Cloudy</v>
      </c>
      <c r="N905" s="8">
        <v>0.14000000000000001</v>
      </c>
      <c r="O905" s="8">
        <v>0.13639999999999999</v>
      </c>
      <c r="P905" s="8">
        <v>0.59</v>
      </c>
      <c r="Q905" s="8">
        <v>0.22389999999999999</v>
      </c>
      <c r="R905" s="6">
        <v>0</v>
      </c>
      <c r="S905" s="6">
        <v>1</v>
      </c>
      <c r="T905" s="6">
        <v>1</v>
      </c>
      <c r="U905" s="8">
        <f t="shared" si="146"/>
        <v>-0.64378142061299781</v>
      </c>
      <c r="V905" s="8" t="str">
        <f t="shared" si="147"/>
        <v>Normal</v>
      </c>
      <c r="W905" s="8">
        <f t="shared" si="148"/>
        <v>-1.0937285529489083</v>
      </c>
      <c r="X905" s="8" t="str">
        <f t="shared" si="149"/>
        <v>Normal</v>
      </c>
    </row>
    <row r="906" spans="1:24" x14ac:dyDescent="0.25">
      <c r="A906" s="6">
        <v>905</v>
      </c>
      <c r="B906" s="7">
        <v>40584</v>
      </c>
      <c r="C906" s="6">
        <v>2</v>
      </c>
      <c r="D906" s="6" t="str">
        <f t="shared" si="140"/>
        <v>february</v>
      </c>
      <c r="E906" s="6">
        <v>5</v>
      </c>
      <c r="F906" s="6" t="str">
        <f t="shared" si="141"/>
        <v>Early Morning</v>
      </c>
      <c r="G906" s="6" t="b">
        <v>0</v>
      </c>
      <c r="H906" s="6">
        <f t="shared" si="142"/>
        <v>0</v>
      </c>
      <c r="I906" s="6">
        <v>4</v>
      </c>
      <c r="J906" s="6" t="str">
        <f t="shared" si="143"/>
        <v>Thursday</v>
      </c>
      <c r="K906" s="6">
        <f t="shared" si="144"/>
        <v>0</v>
      </c>
      <c r="L906" s="6">
        <v>2</v>
      </c>
      <c r="M906" s="6" t="str">
        <f t="shared" si="145"/>
        <v>Cloudy</v>
      </c>
      <c r="N906" s="8">
        <v>0.12</v>
      </c>
      <c r="O906" s="8">
        <v>0.1212</v>
      </c>
      <c r="P906" s="8">
        <v>0.5</v>
      </c>
      <c r="Q906" s="8">
        <v>0.22389999999999999</v>
      </c>
      <c r="R906" s="6">
        <v>0</v>
      </c>
      <c r="S906" s="6">
        <v>6</v>
      </c>
      <c r="T906" s="6">
        <v>6</v>
      </c>
      <c r="U906" s="8">
        <f t="shared" si="146"/>
        <v>-0.64378142061299781</v>
      </c>
      <c r="V906" s="8" t="str">
        <f t="shared" si="147"/>
        <v>Normal</v>
      </c>
      <c r="W906" s="8">
        <f t="shared" si="148"/>
        <v>-0.98933127206112903</v>
      </c>
      <c r="X906" s="8" t="str">
        <f t="shared" si="149"/>
        <v>Normal</v>
      </c>
    </row>
    <row r="907" spans="1:24" x14ac:dyDescent="0.25">
      <c r="A907" s="6">
        <v>906</v>
      </c>
      <c r="B907" s="7">
        <v>40584</v>
      </c>
      <c r="C907" s="6">
        <v>2</v>
      </c>
      <c r="D907" s="6" t="str">
        <f t="shared" si="140"/>
        <v>february</v>
      </c>
      <c r="E907" s="6">
        <v>6</v>
      </c>
      <c r="F907" s="6" t="str">
        <f t="shared" si="141"/>
        <v>Early Morning</v>
      </c>
      <c r="G907" s="6" t="b">
        <v>0</v>
      </c>
      <c r="H907" s="6">
        <f t="shared" si="142"/>
        <v>0</v>
      </c>
      <c r="I907" s="6">
        <v>4</v>
      </c>
      <c r="J907" s="6" t="str">
        <f t="shared" si="143"/>
        <v>Thursday</v>
      </c>
      <c r="K907" s="6">
        <f t="shared" si="144"/>
        <v>0</v>
      </c>
      <c r="L907" s="6">
        <v>2</v>
      </c>
      <c r="M907" s="6" t="str">
        <f t="shared" si="145"/>
        <v>Cloudy</v>
      </c>
      <c r="N907" s="8">
        <v>0.12</v>
      </c>
      <c r="O907" s="8">
        <v>0.1212</v>
      </c>
      <c r="P907" s="8">
        <v>0.54</v>
      </c>
      <c r="Q907" s="8">
        <v>0.28360000000000002</v>
      </c>
      <c r="R907" s="6">
        <v>0</v>
      </c>
      <c r="S907" s="6">
        <v>26</v>
      </c>
      <c r="T907" s="6">
        <v>26</v>
      </c>
      <c r="U907" s="8">
        <f t="shared" si="146"/>
        <v>-0.64378142061299781</v>
      </c>
      <c r="V907" s="8" t="str">
        <f t="shared" si="147"/>
        <v>Normal</v>
      </c>
      <c r="W907" s="8">
        <f t="shared" si="148"/>
        <v>-0.57174214851001204</v>
      </c>
      <c r="X907" s="8" t="str">
        <f t="shared" si="149"/>
        <v>Normal</v>
      </c>
    </row>
    <row r="908" spans="1:24" x14ac:dyDescent="0.25">
      <c r="A908" s="6">
        <v>907</v>
      </c>
      <c r="B908" s="7">
        <v>40584</v>
      </c>
      <c r="C908" s="6">
        <v>2</v>
      </c>
      <c r="D908" s="6" t="str">
        <f t="shared" si="140"/>
        <v>february</v>
      </c>
      <c r="E908" s="6">
        <v>7</v>
      </c>
      <c r="F908" s="6" t="str">
        <f t="shared" si="141"/>
        <v>Early Morning</v>
      </c>
      <c r="G908" s="6" t="b">
        <v>0</v>
      </c>
      <c r="H908" s="6">
        <f t="shared" si="142"/>
        <v>0</v>
      </c>
      <c r="I908" s="6">
        <v>4</v>
      </c>
      <c r="J908" s="6" t="str">
        <f t="shared" si="143"/>
        <v>Thursday</v>
      </c>
      <c r="K908" s="6">
        <f t="shared" si="144"/>
        <v>0</v>
      </c>
      <c r="L908" s="6">
        <v>1</v>
      </c>
      <c r="M908" s="6" t="str">
        <f t="shared" si="145"/>
        <v>Partly cloudy</v>
      </c>
      <c r="N908" s="8">
        <v>0.1</v>
      </c>
      <c r="O908" s="8">
        <v>7.5800000000000006E-2</v>
      </c>
      <c r="P908" s="8">
        <v>0.5</v>
      </c>
      <c r="Q908" s="8">
        <v>0.41789999999999999</v>
      </c>
      <c r="R908" s="6">
        <v>0</v>
      </c>
      <c r="S908" s="6">
        <v>99</v>
      </c>
      <c r="T908" s="6">
        <v>99</v>
      </c>
      <c r="U908" s="8">
        <f t="shared" si="146"/>
        <v>-0.64378142061299781</v>
      </c>
      <c r="V908" s="8" t="str">
        <f t="shared" si="147"/>
        <v>Normal</v>
      </c>
      <c r="W908" s="8">
        <f t="shared" si="148"/>
        <v>0.95245815245156529</v>
      </c>
      <c r="X908" s="8" t="str">
        <f t="shared" si="149"/>
        <v>Normal</v>
      </c>
    </row>
    <row r="909" spans="1:24" x14ac:dyDescent="0.25">
      <c r="A909" s="6">
        <v>908</v>
      </c>
      <c r="B909" s="7">
        <v>40584</v>
      </c>
      <c r="C909" s="6">
        <v>2</v>
      </c>
      <c r="D909" s="6" t="str">
        <f t="shared" si="140"/>
        <v>february</v>
      </c>
      <c r="E909" s="6">
        <v>8</v>
      </c>
      <c r="F909" s="6" t="str">
        <f t="shared" si="141"/>
        <v>Morning</v>
      </c>
      <c r="G909" s="6" t="b">
        <v>0</v>
      </c>
      <c r="H909" s="6">
        <f t="shared" si="142"/>
        <v>0</v>
      </c>
      <c r="I909" s="6">
        <v>4</v>
      </c>
      <c r="J909" s="6" t="str">
        <f t="shared" si="143"/>
        <v>Thursday</v>
      </c>
      <c r="K909" s="6">
        <f t="shared" si="144"/>
        <v>0</v>
      </c>
      <c r="L909" s="6">
        <v>1</v>
      </c>
      <c r="M909" s="6" t="str">
        <f t="shared" si="145"/>
        <v>Partly cloudy</v>
      </c>
      <c r="N909" s="8">
        <v>0.1</v>
      </c>
      <c r="O909" s="8">
        <v>7.5800000000000006E-2</v>
      </c>
      <c r="P909" s="8">
        <v>0.49</v>
      </c>
      <c r="Q909" s="8">
        <v>0.32840000000000003</v>
      </c>
      <c r="R909" s="6">
        <v>5</v>
      </c>
      <c r="S909" s="6">
        <v>173</v>
      </c>
      <c r="T909" s="6">
        <v>178</v>
      </c>
      <c r="U909" s="8">
        <f t="shared" si="146"/>
        <v>1.0335040078932463E-2</v>
      </c>
      <c r="V909" s="8" t="str">
        <f t="shared" si="147"/>
        <v>Normal</v>
      </c>
      <c r="W909" s="8">
        <f t="shared" si="148"/>
        <v>2.4975379095906982</v>
      </c>
      <c r="X909" s="8" t="str">
        <f t="shared" si="149"/>
        <v>Peak</v>
      </c>
    </row>
    <row r="910" spans="1:24" x14ac:dyDescent="0.25">
      <c r="A910" s="6">
        <v>909</v>
      </c>
      <c r="B910" s="7">
        <v>40584</v>
      </c>
      <c r="C910" s="6">
        <v>2</v>
      </c>
      <c r="D910" s="6" t="str">
        <f t="shared" si="140"/>
        <v>february</v>
      </c>
      <c r="E910" s="6">
        <v>9</v>
      </c>
      <c r="F910" s="6" t="str">
        <f t="shared" si="141"/>
        <v>Morning</v>
      </c>
      <c r="G910" s="6" t="b">
        <v>0</v>
      </c>
      <c r="H910" s="6">
        <f t="shared" si="142"/>
        <v>0</v>
      </c>
      <c r="I910" s="6">
        <v>4</v>
      </c>
      <c r="J910" s="6" t="str">
        <f t="shared" si="143"/>
        <v>Thursday</v>
      </c>
      <c r="K910" s="6">
        <f t="shared" si="144"/>
        <v>0</v>
      </c>
      <c r="L910" s="6">
        <v>1</v>
      </c>
      <c r="M910" s="6" t="str">
        <f t="shared" si="145"/>
        <v>Partly cloudy</v>
      </c>
      <c r="N910" s="8">
        <v>0.12</v>
      </c>
      <c r="O910" s="8">
        <v>0.1061</v>
      </c>
      <c r="P910" s="8">
        <v>0.42</v>
      </c>
      <c r="Q910" s="8">
        <v>0.35820000000000002</v>
      </c>
      <c r="R910" s="6">
        <v>1</v>
      </c>
      <c r="S910" s="6">
        <v>121</v>
      </c>
      <c r="T910" s="6">
        <v>122</v>
      </c>
      <c r="U910" s="8">
        <f t="shared" si="146"/>
        <v>-0.51295812847461175</v>
      </c>
      <c r="V910" s="8" t="str">
        <f t="shared" si="147"/>
        <v>Normal</v>
      </c>
      <c r="W910" s="8">
        <f t="shared" si="148"/>
        <v>1.4118061883577939</v>
      </c>
      <c r="X910" s="8" t="str">
        <f t="shared" si="149"/>
        <v>Normal</v>
      </c>
    </row>
    <row r="911" spans="1:24" x14ac:dyDescent="0.25">
      <c r="A911" s="6">
        <v>910</v>
      </c>
      <c r="B911" s="7">
        <v>40584</v>
      </c>
      <c r="C911" s="6">
        <v>2</v>
      </c>
      <c r="D911" s="6" t="str">
        <f t="shared" si="140"/>
        <v>february</v>
      </c>
      <c r="E911" s="6">
        <v>10</v>
      </c>
      <c r="F911" s="6" t="str">
        <f t="shared" si="141"/>
        <v>Morning</v>
      </c>
      <c r="G911" s="6" t="b">
        <v>0</v>
      </c>
      <c r="H911" s="6">
        <f t="shared" si="142"/>
        <v>0</v>
      </c>
      <c r="I911" s="6">
        <v>4</v>
      </c>
      <c r="J911" s="6" t="str">
        <f t="shared" si="143"/>
        <v>Thursday</v>
      </c>
      <c r="K911" s="6">
        <f t="shared" si="144"/>
        <v>0</v>
      </c>
      <c r="L911" s="6">
        <v>1</v>
      </c>
      <c r="M911" s="6" t="str">
        <f t="shared" si="145"/>
        <v>Partly cloudy</v>
      </c>
      <c r="N911" s="8">
        <v>0.12</v>
      </c>
      <c r="O911" s="8">
        <v>0.1061</v>
      </c>
      <c r="P911" s="8">
        <v>0.42</v>
      </c>
      <c r="Q911" s="8">
        <v>0.29849999999999999</v>
      </c>
      <c r="R911" s="6">
        <v>1</v>
      </c>
      <c r="S911" s="6">
        <v>34</v>
      </c>
      <c r="T911" s="6">
        <v>35</v>
      </c>
      <c r="U911" s="8">
        <f t="shared" si="146"/>
        <v>-0.51295812847461175</v>
      </c>
      <c r="V911" s="8" t="str">
        <f t="shared" si="147"/>
        <v>Normal</v>
      </c>
      <c r="W911" s="8">
        <f t="shared" si="148"/>
        <v>-0.40470649908956519</v>
      </c>
      <c r="X911" s="8" t="str">
        <f t="shared" si="149"/>
        <v>Normal</v>
      </c>
    </row>
    <row r="912" spans="1:24" x14ac:dyDescent="0.25">
      <c r="A912" s="6">
        <v>911</v>
      </c>
      <c r="B912" s="7">
        <v>40584</v>
      </c>
      <c r="C912" s="6">
        <v>2</v>
      </c>
      <c r="D912" s="6" t="str">
        <f t="shared" si="140"/>
        <v>february</v>
      </c>
      <c r="E912" s="6">
        <v>11</v>
      </c>
      <c r="F912" s="6" t="str">
        <f t="shared" si="141"/>
        <v>Morning</v>
      </c>
      <c r="G912" s="6" t="b">
        <v>0</v>
      </c>
      <c r="H912" s="6">
        <f t="shared" si="142"/>
        <v>0</v>
      </c>
      <c r="I912" s="6">
        <v>4</v>
      </c>
      <c r="J912" s="6" t="str">
        <f t="shared" si="143"/>
        <v>Thursday</v>
      </c>
      <c r="K912" s="6">
        <f t="shared" si="144"/>
        <v>0</v>
      </c>
      <c r="L912" s="6">
        <v>1</v>
      </c>
      <c r="M912" s="6" t="str">
        <f t="shared" si="145"/>
        <v>Partly cloudy</v>
      </c>
      <c r="N912" s="8">
        <v>0.14000000000000001</v>
      </c>
      <c r="O912" s="8">
        <v>0.1212</v>
      </c>
      <c r="P912" s="8">
        <v>0.39</v>
      </c>
      <c r="Q912" s="8">
        <v>0.35820000000000002</v>
      </c>
      <c r="R912" s="6">
        <v>1</v>
      </c>
      <c r="S912" s="6">
        <v>44</v>
      </c>
      <c r="T912" s="6">
        <v>45</v>
      </c>
      <c r="U912" s="8">
        <f t="shared" si="146"/>
        <v>-0.51295812847461175</v>
      </c>
      <c r="V912" s="8" t="str">
        <f t="shared" si="147"/>
        <v>Normal</v>
      </c>
      <c r="W912" s="8">
        <f t="shared" si="148"/>
        <v>-0.19591193731400663</v>
      </c>
      <c r="X912" s="8" t="str">
        <f t="shared" si="149"/>
        <v>Normal</v>
      </c>
    </row>
    <row r="913" spans="1:24" x14ac:dyDescent="0.25">
      <c r="A913" s="6">
        <v>912</v>
      </c>
      <c r="B913" s="7">
        <v>40584</v>
      </c>
      <c r="C913" s="6">
        <v>2</v>
      </c>
      <c r="D913" s="6" t="str">
        <f t="shared" si="140"/>
        <v>february</v>
      </c>
      <c r="E913" s="6">
        <v>12</v>
      </c>
      <c r="F913" s="6" t="str">
        <f t="shared" si="141"/>
        <v>Afternoon</v>
      </c>
      <c r="G913" s="6" t="b">
        <v>0</v>
      </c>
      <c r="H913" s="6">
        <f t="shared" si="142"/>
        <v>0</v>
      </c>
      <c r="I913" s="6">
        <v>4</v>
      </c>
      <c r="J913" s="6" t="str">
        <f t="shared" si="143"/>
        <v>Thursday</v>
      </c>
      <c r="K913" s="6">
        <f t="shared" si="144"/>
        <v>0</v>
      </c>
      <c r="L913" s="6">
        <v>1</v>
      </c>
      <c r="M913" s="6" t="str">
        <f t="shared" si="145"/>
        <v>Partly cloudy</v>
      </c>
      <c r="N913" s="8">
        <v>0.16</v>
      </c>
      <c r="O913" s="8">
        <v>0.13639999999999999</v>
      </c>
      <c r="P913" s="8">
        <v>0.34</v>
      </c>
      <c r="Q913" s="8">
        <v>0.3881</v>
      </c>
      <c r="R913" s="6">
        <v>4</v>
      </c>
      <c r="S913" s="6">
        <v>65</v>
      </c>
      <c r="T913" s="6">
        <v>69</v>
      </c>
      <c r="U913" s="8">
        <f t="shared" si="146"/>
        <v>-0.1204882520594536</v>
      </c>
      <c r="V913" s="8" t="str">
        <f t="shared" si="147"/>
        <v>Normal</v>
      </c>
      <c r="W913" s="8">
        <f t="shared" si="148"/>
        <v>0.24255664241466629</v>
      </c>
      <c r="X913" s="8" t="str">
        <f t="shared" si="149"/>
        <v>Normal</v>
      </c>
    </row>
    <row r="914" spans="1:24" x14ac:dyDescent="0.25">
      <c r="A914" s="6">
        <v>913</v>
      </c>
      <c r="B914" s="7">
        <v>40584</v>
      </c>
      <c r="C914" s="6">
        <v>2</v>
      </c>
      <c r="D914" s="6" t="str">
        <f t="shared" si="140"/>
        <v>february</v>
      </c>
      <c r="E914" s="6">
        <v>13</v>
      </c>
      <c r="F914" s="6" t="str">
        <f t="shared" si="141"/>
        <v>Afternoon</v>
      </c>
      <c r="G914" s="6" t="b">
        <v>0</v>
      </c>
      <c r="H914" s="6">
        <f t="shared" si="142"/>
        <v>0</v>
      </c>
      <c r="I914" s="6">
        <v>4</v>
      </c>
      <c r="J914" s="6" t="str">
        <f t="shared" si="143"/>
        <v>Thursday</v>
      </c>
      <c r="K914" s="6">
        <f t="shared" si="144"/>
        <v>0</v>
      </c>
      <c r="L914" s="6">
        <v>1</v>
      </c>
      <c r="M914" s="6" t="str">
        <f t="shared" si="145"/>
        <v>Partly cloudy</v>
      </c>
      <c r="N914" s="8">
        <v>0.18</v>
      </c>
      <c r="O914" s="8">
        <v>0.16669999999999999</v>
      </c>
      <c r="P914" s="8">
        <v>0.28999999999999998</v>
      </c>
      <c r="Q914" s="8">
        <v>0.29849999999999999</v>
      </c>
      <c r="R914" s="6">
        <v>3</v>
      </c>
      <c r="S914" s="6">
        <v>59</v>
      </c>
      <c r="T914" s="6">
        <v>62</v>
      </c>
      <c r="U914" s="8">
        <f t="shared" si="146"/>
        <v>-0.25131154419783963</v>
      </c>
      <c r="V914" s="8" t="str">
        <f t="shared" si="147"/>
        <v>Normal</v>
      </c>
      <c r="W914" s="8">
        <f t="shared" si="148"/>
        <v>0.11727990534933118</v>
      </c>
      <c r="X914" s="8" t="str">
        <f t="shared" si="149"/>
        <v>Normal</v>
      </c>
    </row>
    <row r="915" spans="1:24" x14ac:dyDescent="0.25">
      <c r="A915" s="6">
        <v>914</v>
      </c>
      <c r="B915" s="7">
        <v>40584</v>
      </c>
      <c r="C915" s="6">
        <v>2</v>
      </c>
      <c r="D915" s="6" t="str">
        <f t="shared" si="140"/>
        <v>february</v>
      </c>
      <c r="E915" s="6">
        <v>14</v>
      </c>
      <c r="F915" s="6" t="str">
        <f t="shared" si="141"/>
        <v>Afternoon</v>
      </c>
      <c r="G915" s="6" t="b">
        <v>0</v>
      </c>
      <c r="H915" s="6">
        <f t="shared" si="142"/>
        <v>0</v>
      </c>
      <c r="I915" s="6">
        <v>4</v>
      </c>
      <c r="J915" s="6" t="str">
        <f t="shared" si="143"/>
        <v>Thursday</v>
      </c>
      <c r="K915" s="6">
        <f t="shared" si="144"/>
        <v>0</v>
      </c>
      <c r="L915" s="6">
        <v>1</v>
      </c>
      <c r="M915" s="6" t="str">
        <f t="shared" si="145"/>
        <v>Partly cloudy</v>
      </c>
      <c r="N915" s="8">
        <v>0.2</v>
      </c>
      <c r="O915" s="8">
        <v>0.18179999999999999</v>
      </c>
      <c r="P915" s="8">
        <v>0.27</v>
      </c>
      <c r="Q915" s="8">
        <v>0.28360000000000002</v>
      </c>
      <c r="R915" s="6">
        <v>6</v>
      </c>
      <c r="S915" s="6">
        <v>42</v>
      </c>
      <c r="T915" s="6">
        <v>48</v>
      </c>
      <c r="U915" s="8">
        <f t="shared" si="146"/>
        <v>0.14115833221731852</v>
      </c>
      <c r="V915" s="8" t="str">
        <f t="shared" si="147"/>
        <v>Normal</v>
      </c>
      <c r="W915" s="8">
        <f t="shared" si="148"/>
        <v>-0.23767084966911833</v>
      </c>
      <c r="X915" s="8" t="str">
        <f t="shared" si="149"/>
        <v>Normal</v>
      </c>
    </row>
    <row r="916" spans="1:24" x14ac:dyDescent="0.25">
      <c r="A916" s="6">
        <v>915</v>
      </c>
      <c r="B916" s="7">
        <v>40584</v>
      </c>
      <c r="C916" s="6">
        <v>2</v>
      </c>
      <c r="D916" s="6" t="str">
        <f t="shared" si="140"/>
        <v>february</v>
      </c>
      <c r="E916" s="6">
        <v>15</v>
      </c>
      <c r="F916" s="6" t="str">
        <f t="shared" si="141"/>
        <v>Afternoon</v>
      </c>
      <c r="G916" s="6" t="b">
        <v>0</v>
      </c>
      <c r="H916" s="6">
        <f t="shared" si="142"/>
        <v>0</v>
      </c>
      <c r="I916" s="6">
        <v>4</v>
      </c>
      <c r="J916" s="6" t="str">
        <f t="shared" si="143"/>
        <v>Thursday</v>
      </c>
      <c r="K916" s="6">
        <f t="shared" si="144"/>
        <v>0</v>
      </c>
      <c r="L916" s="6">
        <v>1</v>
      </c>
      <c r="M916" s="6" t="str">
        <f t="shared" si="145"/>
        <v>Partly cloudy</v>
      </c>
      <c r="N916" s="8">
        <v>0.2</v>
      </c>
      <c r="O916" s="8">
        <v>0.19700000000000001</v>
      </c>
      <c r="P916" s="8">
        <v>0.25</v>
      </c>
      <c r="Q916" s="8">
        <v>0.25369999999999998</v>
      </c>
      <c r="R916" s="6">
        <v>0</v>
      </c>
      <c r="S916" s="6">
        <v>50</v>
      </c>
      <c r="T916" s="6">
        <v>50</v>
      </c>
      <c r="U916" s="8">
        <f t="shared" si="146"/>
        <v>-0.64378142061299781</v>
      </c>
      <c r="V916" s="8" t="str">
        <f t="shared" si="147"/>
        <v>Normal</v>
      </c>
      <c r="W916" s="8">
        <f t="shared" si="148"/>
        <v>-7.0635200248671509E-2</v>
      </c>
      <c r="X916" s="8" t="str">
        <f t="shared" si="149"/>
        <v>Normal</v>
      </c>
    </row>
    <row r="917" spans="1:24" x14ac:dyDescent="0.25">
      <c r="A917" s="6">
        <v>916</v>
      </c>
      <c r="B917" s="7">
        <v>40584</v>
      </c>
      <c r="C917" s="6">
        <v>2</v>
      </c>
      <c r="D917" s="6" t="str">
        <f t="shared" si="140"/>
        <v>february</v>
      </c>
      <c r="E917" s="6">
        <v>16</v>
      </c>
      <c r="F917" s="6" t="str">
        <f t="shared" si="141"/>
        <v>Afternoon</v>
      </c>
      <c r="G917" s="6" t="b">
        <v>0</v>
      </c>
      <c r="H917" s="6">
        <f t="shared" si="142"/>
        <v>0</v>
      </c>
      <c r="I917" s="6">
        <v>4</v>
      </c>
      <c r="J917" s="6" t="str">
        <f t="shared" si="143"/>
        <v>Thursday</v>
      </c>
      <c r="K917" s="6">
        <f t="shared" si="144"/>
        <v>0</v>
      </c>
      <c r="L917" s="6">
        <v>1</v>
      </c>
      <c r="M917" s="6" t="str">
        <f t="shared" si="145"/>
        <v>Partly cloudy</v>
      </c>
      <c r="N917" s="8">
        <v>0.2</v>
      </c>
      <c r="O917" s="8">
        <v>0.18179999999999999</v>
      </c>
      <c r="P917" s="8">
        <v>0.27</v>
      </c>
      <c r="Q917" s="8">
        <v>0.29849999999999999</v>
      </c>
      <c r="R917" s="6">
        <v>4</v>
      </c>
      <c r="S917" s="6">
        <v>76</v>
      </c>
      <c r="T917" s="6">
        <v>80</v>
      </c>
      <c r="U917" s="8">
        <f t="shared" si="146"/>
        <v>-0.1204882520594536</v>
      </c>
      <c r="V917" s="8" t="str">
        <f t="shared" si="147"/>
        <v>Normal</v>
      </c>
      <c r="W917" s="8">
        <f t="shared" si="148"/>
        <v>0.47223066036778072</v>
      </c>
      <c r="X917" s="8" t="str">
        <f t="shared" si="149"/>
        <v>Normal</v>
      </c>
    </row>
    <row r="918" spans="1:24" x14ac:dyDescent="0.25">
      <c r="A918" s="6">
        <v>917</v>
      </c>
      <c r="B918" s="7">
        <v>40584</v>
      </c>
      <c r="C918" s="6">
        <v>2</v>
      </c>
      <c r="D918" s="6" t="str">
        <f t="shared" si="140"/>
        <v>february</v>
      </c>
      <c r="E918" s="6">
        <v>17</v>
      </c>
      <c r="F918" s="6" t="str">
        <f t="shared" si="141"/>
        <v>Evening</v>
      </c>
      <c r="G918" s="6" t="b">
        <v>0</v>
      </c>
      <c r="H918" s="6">
        <f t="shared" si="142"/>
        <v>0</v>
      </c>
      <c r="I918" s="6">
        <v>4</v>
      </c>
      <c r="J918" s="6" t="str">
        <f t="shared" si="143"/>
        <v>Thursday</v>
      </c>
      <c r="K918" s="6">
        <f t="shared" si="144"/>
        <v>0</v>
      </c>
      <c r="L918" s="6">
        <v>1</v>
      </c>
      <c r="M918" s="6" t="str">
        <f t="shared" si="145"/>
        <v>Partly cloudy</v>
      </c>
      <c r="N918" s="8">
        <v>0.18</v>
      </c>
      <c r="O918" s="8">
        <v>0.18179999999999999</v>
      </c>
      <c r="P918" s="8">
        <v>0.26</v>
      </c>
      <c r="Q918" s="8">
        <v>0.19400000000000001</v>
      </c>
      <c r="R918" s="6">
        <v>6</v>
      </c>
      <c r="S918" s="6">
        <v>159</v>
      </c>
      <c r="T918" s="6">
        <v>165</v>
      </c>
      <c r="U918" s="8">
        <f t="shared" si="146"/>
        <v>0.14115833221731852</v>
      </c>
      <c r="V918" s="8" t="str">
        <f t="shared" si="147"/>
        <v>Normal</v>
      </c>
      <c r="W918" s="8">
        <f t="shared" si="148"/>
        <v>2.2052255231049163</v>
      </c>
      <c r="X918" s="8" t="str">
        <f t="shared" si="149"/>
        <v>Peak</v>
      </c>
    </row>
    <row r="919" spans="1:24" x14ac:dyDescent="0.25">
      <c r="A919" s="6">
        <v>918</v>
      </c>
      <c r="B919" s="7">
        <v>40584</v>
      </c>
      <c r="C919" s="6">
        <v>2</v>
      </c>
      <c r="D919" s="6" t="str">
        <f t="shared" si="140"/>
        <v>february</v>
      </c>
      <c r="E919" s="6">
        <v>18</v>
      </c>
      <c r="F919" s="6" t="str">
        <f t="shared" si="141"/>
        <v>Evening</v>
      </c>
      <c r="G919" s="6" t="b">
        <v>0</v>
      </c>
      <c r="H919" s="6">
        <f t="shared" si="142"/>
        <v>0</v>
      </c>
      <c r="I919" s="6">
        <v>4</v>
      </c>
      <c r="J919" s="6" t="str">
        <f t="shared" si="143"/>
        <v>Thursday</v>
      </c>
      <c r="K919" s="6">
        <f t="shared" si="144"/>
        <v>0</v>
      </c>
      <c r="L919" s="6">
        <v>1</v>
      </c>
      <c r="M919" s="6" t="str">
        <f t="shared" si="145"/>
        <v>Partly cloudy</v>
      </c>
      <c r="N919" s="8">
        <v>0.16</v>
      </c>
      <c r="O919" s="8">
        <v>0.18179999999999999</v>
      </c>
      <c r="P919" s="8">
        <v>0.28000000000000003</v>
      </c>
      <c r="Q919" s="8">
        <v>0.1343</v>
      </c>
      <c r="R919" s="6">
        <v>3</v>
      </c>
      <c r="S919" s="6">
        <v>157</v>
      </c>
      <c r="T919" s="6">
        <v>160</v>
      </c>
      <c r="U919" s="8">
        <f t="shared" si="146"/>
        <v>-0.25131154419783963</v>
      </c>
      <c r="V919" s="8" t="str">
        <f t="shared" si="147"/>
        <v>Normal</v>
      </c>
      <c r="W919" s="8">
        <f t="shared" si="148"/>
        <v>2.1634666107498046</v>
      </c>
      <c r="X919" s="8" t="str">
        <f t="shared" si="149"/>
        <v>Peak</v>
      </c>
    </row>
    <row r="920" spans="1:24" x14ac:dyDescent="0.25">
      <c r="A920" s="6">
        <v>919</v>
      </c>
      <c r="B920" s="7">
        <v>40584</v>
      </c>
      <c r="C920" s="6">
        <v>2</v>
      </c>
      <c r="D920" s="6" t="str">
        <f t="shared" si="140"/>
        <v>february</v>
      </c>
      <c r="E920" s="6">
        <v>19</v>
      </c>
      <c r="F920" s="6" t="str">
        <f t="shared" si="141"/>
        <v>Evening</v>
      </c>
      <c r="G920" s="6" t="b">
        <v>0</v>
      </c>
      <c r="H920" s="6">
        <f t="shared" si="142"/>
        <v>0</v>
      </c>
      <c r="I920" s="6">
        <v>4</v>
      </c>
      <c r="J920" s="6" t="str">
        <f t="shared" si="143"/>
        <v>Thursday</v>
      </c>
      <c r="K920" s="6">
        <f t="shared" si="144"/>
        <v>0</v>
      </c>
      <c r="L920" s="6">
        <v>1</v>
      </c>
      <c r="M920" s="6" t="str">
        <f t="shared" si="145"/>
        <v>Partly cloudy</v>
      </c>
      <c r="N920" s="8">
        <v>0.14000000000000001</v>
      </c>
      <c r="O920" s="8">
        <v>0.16669999999999999</v>
      </c>
      <c r="P920" s="8">
        <v>0.28000000000000003</v>
      </c>
      <c r="Q920" s="8">
        <v>0.1045</v>
      </c>
      <c r="R920" s="6">
        <v>2</v>
      </c>
      <c r="S920" s="6">
        <v>110</v>
      </c>
      <c r="T920" s="6">
        <v>112</v>
      </c>
      <c r="U920" s="8">
        <f t="shared" si="146"/>
        <v>-0.38213483633622569</v>
      </c>
      <c r="V920" s="8" t="str">
        <f t="shared" si="147"/>
        <v>Normal</v>
      </c>
      <c r="W920" s="8">
        <f t="shared" si="148"/>
        <v>1.1821321704046797</v>
      </c>
      <c r="X920" s="8" t="str">
        <f t="shared" si="149"/>
        <v>Normal</v>
      </c>
    </row>
    <row r="921" spans="1:24" x14ac:dyDescent="0.25">
      <c r="A921" s="6">
        <v>920</v>
      </c>
      <c r="B921" s="7">
        <v>40584</v>
      </c>
      <c r="C921" s="6">
        <v>2</v>
      </c>
      <c r="D921" s="6" t="str">
        <f t="shared" si="140"/>
        <v>february</v>
      </c>
      <c r="E921" s="6">
        <v>20</v>
      </c>
      <c r="F921" s="6" t="str">
        <f t="shared" si="141"/>
        <v>Evening</v>
      </c>
      <c r="G921" s="6" t="b">
        <v>0</v>
      </c>
      <c r="H921" s="6">
        <f t="shared" si="142"/>
        <v>0</v>
      </c>
      <c r="I921" s="6">
        <v>4</v>
      </c>
      <c r="J921" s="6" t="str">
        <f t="shared" si="143"/>
        <v>Thursday</v>
      </c>
      <c r="K921" s="6">
        <f t="shared" si="144"/>
        <v>0</v>
      </c>
      <c r="L921" s="6">
        <v>1</v>
      </c>
      <c r="M921" s="6" t="str">
        <f t="shared" si="145"/>
        <v>Partly cloudy</v>
      </c>
      <c r="N921" s="8">
        <v>0.14000000000000001</v>
      </c>
      <c r="O921" s="8">
        <v>0.18179999999999999</v>
      </c>
      <c r="P921" s="8">
        <v>0.31</v>
      </c>
      <c r="Q921" s="8">
        <v>8.9599999999999999E-2</v>
      </c>
      <c r="R921" s="6">
        <v>4</v>
      </c>
      <c r="S921" s="6">
        <v>93</v>
      </c>
      <c r="T921" s="6">
        <v>97</v>
      </c>
      <c r="U921" s="8">
        <f t="shared" si="146"/>
        <v>-0.1204882520594536</v>
      </c>
      <c r="V921" s="8" t="str">
        <f t="shared" si="147"/>
        <v>Normal</v>
      </c>
      <c r="W921" s="8">
        <f t="shared" si="148"/>
        <v>0.82718141538623025</v>
      </c>
      <c r="X921" s="8" t="str">
        <f t="shared" si="149"/>
        <v>Normal</v>
      </c>
    </row>
    <row r="922" spans="1:24" x14ac:dyDescent="0.25">
      <c r="A922" s="6">
        <v>921</v>
      </c>
      <c r="B922" s="7">
        <v>40584</v>
      </c>
      <c r="C922" s="6">
        <v>2</v>
      </c>
      <c r="D922" s="6" t="str">
        <f t="shared" si="140"/>
        <v>february</v>
      </c>
      <c r="E922" s="6">
        <v>21</v>
      </c>
      <c r="F922" s="6" t="str">
        <f t="shared" si="141"/>
        <v>Night</v>
      </c>
      <c r="G922" s="6" t="b">
        <v>0</v>
      </c>
      <c r="H922" s="6">
        <f t="shared" si="142"/>
        <v>0</v>
      </c>
      <c r="I922" s="6">
        <v>4</v>
      </c>
      <c r="J922" s="6" t="str">
        <f t="shared" si="143"/>
        <v>Thursday</v>
      </c>
      <c r="K922" s="6">
        <f t="shared" si="144"/>
        <v>0</v>
      </c>
      <c r="L922" s="6">
        <v>1</v>
      </c>
      <c r="M922" s="6" t="str">
        <f t="shared" si="145"/>
        <v>Partly cloudy</v>
      </c>
      <c r="N922" s="8">
        <v>0.14000000000000001</v>
      </c>
      <c r="O922" s="8">
        <v>0.21210000000000001</v>
      </c>
      <c r="P922" s="8">
        <v>0.39</v>
      </c>
      <c r="Q922" s="8">
        <v>0</v>
      </c>
      <c r="R922" s="6">
        <v>2</v>
      </c>
      <c r="S922" s="6">
        <v>70</v>
      </c>
      <c r="T922" s="6">
        <v>72</v>
      </c>
      <c r="U922" s="8">
        <f t="shared" si="146"/>
        <v>-0.38213483633622569</v>
      </c>
      <c r="V922" s="8" t="str">
        <f t="shared" si="147"/>
        <v>Normal</v>
      </c>
      <c r="W922" s="8">
        <f t="shared" si="148"/>
        <v>0.34695392330244557</v>
      </c>
      <c r="X922" s="8" t="str">
        <f t="shared" si="149"/>
        <v>Normal</v>
      </c>
    </row>
    <row r="923" spans="1:24" x14ac:dyDescent="0.25">
      <c r="A923" s="6">
        <v>922</v>
      </c>
      <c r="B923" s="7">
        <v>40584</v>
      </c>
      <c r="C923" s="6">
        <v>2</v>
      </c>
      <c r="D923" s="6" t="str">
        <f t="shared" si="140"/>
        <v>february</v>
      </c>
      <c r="E923" s="6">
        <v>22</v>
      </c>
      <c r="F923" s="6" t="str">
        <f t="shared" si="141"/>
        <v>Night</v>
      </c>
      <c r="G923" s="6" t="b">
        <v>0</v>
      </c>
      <c r="H923" s="6">
        <f t="shared" si="142"/>
        <v>0</v>
      </c>
      <c r="I923" s="6">
        <v>4</v>
      </c>
      <c r="J923" s="6" t="str">
        <f t="shared" si="143"/>
        <v>Thursday</v>
      </c>
      <c r="K923" s="6">
        <f t="shared" si="144"/>
        <v>0</v>
      </c>
      <c r="L923" s="6">
        <v>1</v>
      </c>
      <c r="M923" s="6" t="str">
        <f t="shared" si="145"/>
        <v>Partly cloudy</v>
      </c>
      <c r="N923" s="8">
        <v>0.12</v>
      </c>
      <c r="O923" s="8">
        <v>0.19700000000000001</v>
      </c>
      <c r="P923" s="8">
        <v>0.39</v>
      </c>
      <c r="Q923" s="8">
        <v>0</v>
      </c>
      <c r="R923" s="6">
        <v>4</v>
      </c>
      <c r="S923" s="6">
        <v>47</v>
      </c>
      <c r="T923" s="6">
        <v>51</v>
      </c>
      <c r="U923" s="8">
        <f t="shared" si="146"/>
        <v>-0.1204882520594536</v>
      </c>
      <c r="V923" s="8" t="str">
        <f t="shared" si="147"/>
        <v>Normal</v>
      </c>
      <c r="W923" s="8">
        <f t="shared" si="148"/>
        <v>-0.13327356878133906</v>
      </c>
      <c r="X923" s="8" t="str">
        <f t="shared" si="149"/>
        <v>Normal</v>
      </c>
    </row>
    <row r="924" spans="1:24" x14ac:dyDescent="0.25">
      <c r="A924" s="6">
        <v>923</v>
      </c>
      <c r="B924" s="7">
        <v>40584</v>
      </c>
      <c r="C924" s="6">
        <v>2</v>
      </c>
      <c r="D924" s="6" t="str">
        <f t="shared" si="140"/>
        <v>february</v>
      </c>
      <c r="E924" s="6">
        <v>23</v>
      </c>
      <c r="F924" s="6" t="str">
        <f t="shared" si="141"/>
        <v>Night</v>
      </c>
      <c r="G924" s="6" t="b">
        <v>0</v>
      </c>
      <c r="H924" s="6">
        <f t="shared" si="142"/>
        <v>0</v>
      </c>
      <c r="I924" s="6">
        <v>4</v>
      </c>
      <c r="J924" s="6" t="str">
        <f t="shared" si="143"/>
        <v>Thursday</v>
      </c>
      <c r="K924" s="6">
        <f t="shared" si="144"/>
        <v>0</v>
      </c>
      <c r="L924" s="6">
        <v>1</v>
      </c>
      <c r="M924" s="6" t="str">
        <f t="shared" si="145"/>
        <v>Partly cloudy</v>
      </c>
      <c r="N924" s="8">
        <v>0.12</v>
      </c>
      <c r="O924" s="8">
        <v>0.1515</v>
      </c>
      <c r="P924" s="8">
        <v>0.42</v>
      </c>
      <c r="Q924" s="8">
        <v>0.1045</v>
      </c>
      <c r="R924" s="6">
        <v>1</v>
      </c>
      <c r="S924" s="6">
        <v>33</v>
      </c>
      <c r="T924" s="6">
        <v>34</v>
      </c>
      <c r="U924" s="8">
        <f t="shared" si="146"/>
        <v>-0.51295812847461175</v>
      </c>
      <c r="V924" s="8" t="str">
        <f t="shared" si="147"/>
        <v>Normal</v>
      </c>
      <c r="W924" s="8">
        <f t="shared" si="148"/>
        <v>-0.42558595526712101</v>
      </c>
      <c r="X924" s="8" t="str">
        <f t="shared" si="149"/>
        <v>Normal</v>
      </c>
    </row>
    <row r="925" spans="1:24" x14ac:dyDescent="0.25">
      <c r="A925" s="6">
        <v>924</v>
      </c>
      <c r="B925" s="7">
        <v>40585</v>
      </c>
      <c r="C925" s="6">
        <v>2</v>
      </c>
      <c r="D925" s="6" t="str">
        <f t="shared" si="140"/>
        <v>february</v>
      </c>
      <c r="E925" s="6">
        <v>0</v>
      </c>
      <c r="F925" s="6" t="str">
        <f t="shared" si="141"/>
        <v>Night</v>
      </c>
      <c r="G925" s="6" t="b">
        <v>0</v>
      </c>
      <c r="H925" s="6">
        <f t="shared" si="142"/>
        <v>0</v>
      </c>
      <c r="I925" s="6">
        <v>5</v>
      </c>
      <c r="J925" s="6" t="str">
        <f t="shared" si="143"/>
        <v>Friday</v>
      </c>
      <c r="K925" s="6">
        <f t="shared" si="144"/>
        <v>0</v>
      </c>
      <c r="L925" s="6">
        <v>1</v>
      </c>
      <c r="M925" s="6" t="str">
        <f t="shared" si="145"/>
        <v>Partly cloudy</v>
      </c>
      <c r="N925" s="8">
        <v>0.1</v>
      </c>
      <c r="O925" s="8">
        <v>0.13639999999999999</v>
      </c>
      <c r="P925" s="8">
        <v>0.49</v>
      </c>
      <c r="Q925" s="8">
        <v>0.1045</v>
      </c>
      <c r="R925" s="6">
        <v>2</v>
      </c>
      <c r="S925" s="6">
        <v>12</v>
      </c>
      <c r="T925" s="6">
        <v>14</v>
      </c>
      <c r="U925" s="8">
        <f t="shared" si="146"/>
        <v>-0.38213483633622569</v>
      </c>
      <c r="V925" s="8" t="str">
        <f t="shared" si="147"/>
        <v>Normal</v>
      </c>
      <c r="W925" s="8">
        <f t="shared" si="148"/>
        <v>-0.86405453499579399</v>
      </c>
      <c r="X925" s="8" t="str">
        <f t="shared" si="149"/>
        <v>Normal</v>
      </c>
    </row>
    <row r="926" spans="1:24" x14ac:dyDescent="0.25">
      <c r="A926" s="6">
        <v>925</v>
      </c>
      <c r="B926" s="7">
        <v>40585</v>
      </c>
      <c r="C926" s="6">
        <v>2</v>
      </c>
      <c r="D926" s="6" t="str">
        <f t="shared" si="140"/>
        <v>february</v>
      </c>
      <c r="E926" s="6">
        <v>1</v>
      </c>
      <c r="F926" s="6" t="str">
        <f t="shared" si="141"/>
        <v>Night</v>
      </c>
      <c r="G926" s="6" t="b">
        <v>0</v>
      </c>
      <c r="H926" s="6">
        <f t="shared" si="142"/>
        <v>0</v>
      </c>
      <c r="I926" s="6">
        <v>5</v>
      </c>
      <c r="J926" s="6" t="str">
        <f t="shared" si="143"/>
        <v>Friday</v>
      </c>
      <c r="K926" s="6">
        <f t="shared" si="144"/>
        <v>0</v>
      </c>
      <c r="L926" s="6">
        <v>1</v>
      </c>
      <c r="M926" s="6" t="str">
        <f t="shared" si="145"/>
        <v>Partly cloudy</v>
      </c>
      <c r="N926" s="8">
        <v>0.1</v>
      </c>
      <c r="O926" s="8">
        <v>0.13639999999999999</v>
      </c>
      <c r="P926" s="8">
        <v>0.54</v>
      </c>
      <c r="Q926" s="8">
        <v>8.9599999999999999E-2</v>
      </c>
      <c r="R926" s="6">
        <v>1</v>
      </c>
      <c r="S926" s="6">
        <v>6</v>
      </c>
      <c r="T926" s="6">
        <v>7</v>
      </c>
      <c r="U926" s="8">
        <f t="shared" si="146"/>
        <v>-0.51295812847461175</v>
      </c>
      <c r="V926" s="8" t="str">
        <f t="shared" si="147"/>
        <v>Normal</v>
      </c>
      <c r="W926" s="8">
        <f t="shared" si="148"/>
        <v>-0.98933127206112903</v>
      </c>
      <c r="X926" s="8" t="str">
        <f t="shared" si="149"/>
        <v>Normal</v>
      </c>
    </row>
    <row r="927" spans="1:24" x14ac:dyDescent="0.25">
      <c r="A927" s="6">
        <v>926</v>
      </c>
      <c r="B927" s="7">
        <v>40585</v>
      </c>
      <c r="C927" s="6">
        <v>2</v>
      </c>
      <c r="D927" s="6" t="str">
        <f t="shared" si="140"/>
        <v>february</v>
      </c>
      <c r="E927" s="6">
        <v>2</v>
      </c>
      <c r="F927" s="6" t="str">
        <f t="shared" si="141"/>
        <v>Night</v>
      </c>
      <c r="G927" s="6" t="b">
        <v>0</v>
      </c>
      <c r="H927" s="6">
        <f t="shared" si="142"/>
        <v>0</v>
      </c>
      <c r="I927" s="6">
        <v>5</v>
      </c>
      <c r="J927" s="6" t="str">
        <f t="shared" si="143"/>
        <v>Friday</v>
      </c>
      <c r="K927" s="6">
        <f t="shared" si="144"/>
        <v>0</v>
      </c>
      <c r="L927" s="6">
        <v>1</v>
      </c>
      <c r="M927" s="6" t="str">
        <f t="shared" si="145"/>
        <v>Partly cloudy</v>
      </c>
      <c r="N927" s="8">
        <v>0.1</v>
      </c>
      <c r="O927" s="8">
        <v>0.13639999999999999</v>
      </c>
      <c r="P927" s="8">
        <v>0.54</v>
      </c>
      <c r="Q927" s="8">
        <v>8.9599999999999999E-2</v>
      </c>
      <c r="R927" s="6">
        <v>0</v>
      </c>
      <c r="S927" s="6">
        <v>3</v>
      </c>
      <c r="T927" s="6">
        <v>3</v>
      </c>
      <c r="U927" s="8">
        <f t="shared" si="146"/>
        <v>-0.64378142061299781</v>
      </c>
      <c r="V927" s="8" t="str">
        <f t="shared" si="147"/>
        <v>Normal</v>
      </c>
      <c r="W927" s="8">
        <f t="shared" si="148"/>
        <v>-1.0519696405937966</v>
      </c>
      <c r="X927" s="8" t="str">
        <f t="shared" si="149"/>
        <v>Normal</v>
      </c>
    </row>
    <row r="928" spans="1:24" x14ac:dyDescent="0.25">
      <c r="A928" s="6">
        <v>927</v>
      </c>
      <c r="B928" s="7">
        <v>40585</v>
      </c>
      <c r="C928" s="6">
        <v>2</v>
      </c>
      <c r="D928" s="6" t="str">
        <f t="shared" si="140"/>
        <v>february</v>
      </c>
      <c r="E928" s="6">
        <v>5</v>
      </c>
      <c r="F928" s="6" t="str">
        <f t="shared" si="141"/>
        <v>Early Morning</v>
      </c>
      <c r="G928" s="6" t="b">
        <v>0</v>
      </c>
      <c r="H928" s="6">
        <f t="shared" si="142"/>
        <v>0</v>
      </c>
      <c r="I928" s="6">
        <v>5</v>
      </c>
      <c r="J928" s="6" t="str">
        <f t="shared" si="143"/>
        <v>Friday</v>
      </c>
      <c r="K928" s="6">
        <f t="shared" si="144"/>
        <v>0</v>
      </c>
      <c r="L928" s="6">
        <v>1</v>
      </c>
      <c r="M928" s="6" t="str">
        <f t="shared" si="145"/>
        <v>Partly cloudy</v>
      </c>
      <c r="N928" s="8">
        <v>0.08</v>
      </c>
      <c r="O928" s="8">
        <v>0.1212</v>
      </c>
      <c r="P928" s="8">
        <v>0.63</v>
      </c>
      <c r="Q928" s="8">
        <v>8.9599999999999999E-2</v>
      </c>
      <c r="R928" s="6">
        <v>0</v>
      </c>
      <c r="S928" s="6">
        <v>4</v>
      </c>
      <c r="T928" s="6">
        <v>4</v>
      </c>
      <c r="U928" s="8">
        <f t="shared" si="146"/>
        <v>-0.64378142061299781</v>
      </c>
      <c r="V928" s="8" t="str">
        <f t="shared" si="147"/>
        <v>Normal</v>
      </c>
      <c r="W928" s="8">
        <f t="shared" si="148"/>
        <v>-1.0310901844162408</v>
      </c>
      <c r="X928" s="8" t="str">
        <f t="shared" si="149"/>
        <v>Normal</v>
      </c>
    </row>
    <row r="929" spans="1:24" x14ac:dyDescent="0.25">
      <c r="A929" s="6">
        <v>928</v>
      </c>
      <c r="B929" s="7">
        <v>40585</v>
      </c>
      <c r="C929" s="6">
        <v>2</v>
      </c>
      <c r="D929" s="6" t="str">
        <f t="shared" si="140"/>
        <v>february</v>
      </c>
      <c r="E929" s="6">
        <v>6</v>
      </c>
      <c r="F929" s="6" t="str">
        <f t="shared" si="141"/>
        <v>Early Morning</v>
      </c>
      <c r="G929" s="6" t="b">
        <v>0</v>
      </c>
      <c r="H929" s="6">
        <f t="shared" si="142"/>
        <v>0</v>
      </c>
      <c r="I929" s="6">
        <v>5</v>
      </c>
      <c r="J929" s="6" t="str">
        <f t="shared" si="143"/>
        <v>Friday</v>
      </c>
      <c r="K929" s="6">
        <f t="shared" si="144"/>
        <v>0</v>
      </c>
      <c r="L929" s="6">
        <v>1</v>
      </c>
      <c r="M929" s="6" t="str">
        <f t="shared" si="145"/>
        <v>Partly cloudy</v>
      </c>
      <c r="N929" s="8">
        <v>0.1</v>
      </c>
      <c r="O929" s="8">
        <v>0.18179999999999999</v>
      </c>
      <c r="P929" s="8">
        <v>0.68</v>
      </c>
      <c r="Q929" s="8">
        <v>0</v>
      </c>
      <c r="R929" s="6">
        <v>1</v>
      </c>
      <c r="S929" s="6">
        <v>23</v>
      </c>
      <c r="T929" s="6">
        <v>24</v>
      </c>
      <c r="U929" s="8">
        <f t="shared" si="146"/>
        <v>-0.51295812847461175</v>
      </c>
      <c r="V929" s="8" t="str">
        <f t="shared" si="147"/>
        <v>Normal</v>
      </c>
      <c r="W929" s="8">
        <f t="shared" si="148"/>
        <v>-0.63438051704267961</v>
      </c>
      <c r="X929" s="8" t="str">
        <f t="shared" si="149"/>
        <v>Normal</v>
      </c>
    </row>
    <row r="930" spans="1:24" x14ac:dyDescent="0.25">
      <c r="A930" s="6">
        <v>929</v>
      </c>
      <c r="B930" s="7">
        <v>40585</v>
      </c>
      <c r="C930" s="6">
        <v>2</v>
      </c>
      <c r="D930" s="6" t="str">
        <f t="shared" si="140"/>
        <v>february</v>
      </c>
      <c r="E930" s="6">
        <v>7</v>
      </c>
      <c r="F930" s="6" t="str">
        <f t="shared" si="141"/>
        <v>Early Morning</v>
      </c>
      <c r="G930" s="6" t="b">
        <v>0</v>
      </c>
      <c r="H930" s="6">
        <f t="shared" si="142"/>
        <v>0</v>
      </c>
      <c r="I930" s="6">
        <v>5</v>
      </c>
      <c r="J930" s="6" t="str">
        <f t="shared" si="143"/>
        <v>Friday</v>
      </c>
      <c r="K930" s="6">
        <f t="shared" si="144"/>
        <v>0</v>
      </c>
      <c r="L930" s="6">
        <v>1</v>
      </c>
      <c r="M930" s="6" t="str">
        <f t="shared" si="145"/>
        <v>Partly cloudy</v>
      </c>
      <c r="N930" s="8">
        <v>0.08</v>
      </c>
      <c r="O930" s="8">
        <v>0.16669999999999999</v>
      </c>
      <c r="P930" s="8">
        <v>0.73</v>
      </c>
      <c r="Q930" s="8">
        <v>0</v>
      </c>
      <c r="R930" s="6">
        <v>1</v>
      </c>
      <c r="S930" s="6">
        <v>73</v>
      </c>
      <c r="T930" s="6">
        <v>74</v>
      </c>
      <c r="U930" s="8">
        <f t="shared" si="146"/>
        <v>-0.51295812847461175</v>
      </c>
      <c r="V930" s="8" t="str">
        <f t="shared" si="147"/>
        <v>Normal</v>
      </c>
      <c r="W930" s="8">
        <f t="shared" si="148"/>
        <v>0.40959229183511314</v>
      </c>
      <c r="X930" s="8" t="str">
        <f t="shared" si="149"/>
        <v>Normal</v>
      </c>
    </row>
    <row r="931" spans="1:24" x14ac:dyDescent="0.25">
      <c r="A931" s="6">
        <v>930</v>
      </c>
      <c r="B931" s="7">
        <v>40585</v>
      </c>
      <c r="C931" s="6">
        <v>2</v>
      </c>
      <c r="D931" s="6" t="str">
        <f t="shared" si="140"/>
        <v>february</v>
      </c>
      <c r="E931" s="6">
        <v>8</v>
      </c>
      <c r="F931" s="6" t="str">
        <f t="shared" si="141"/>
        <v>Morning</v>
      </c>
      <c r="G931" s="6" t="b">
        <v>0</v>
      </c>
      <c r="H931" s="6">
        <f t="shared" si="142"/>
        <v>0</v>
      </c>
      <c r="I931" s="6">
        <v>5</v>
      </c>
      <c r="J931" s="6" t="str">
        <f t="shared" si="143"/>
        <v>Friday</v>
      </c>
      <c r="K931" s="6">
        <f t="shared" si="144"/>
        <v>0</v>
      </c>
      <c r="L931" s="6">
        <v>1</v>
      </c>
      <c r="M931" s="6" t="str">
        <f t="shared" si="145"/>
        <v>Partly cloudy</v>
      </c>
      <c r="N931" s="8">
        <v>0.1</v>
      </c>
      <c r="O931" s="8">
        <v>0.1212</v>
      </c>
      <c r="P931" s="8">
        <v>0.74</v>
      </c>
      <c r="Q931" s="8">
        <v>0.16420000000000001</v>
      </c>
      <c r="R931" s="6">
        <v>4</v>
      </c>
      <c r="S931" s="6">
        <v>212</v>
      </c>
      <c r="T931" s="6">
        <v>216</v>
      </c>
      <c r="U931" s="8">
        <f t="shared" si="146"/>
        <v>-0.1204882520594536</v>
      </c>
      <c r="V931" s="8" t="str">
        <f t="shared" si="147"/>
        <v>Normal</v>
      </c>
      <c r="W931" s="8">
        <f t="shared" si="148"/>
        <v>3.3118367005153768</v>
      </c>
      <c r="X931" s="8" t="str">
        <f t="shared" si="149"/>
        <v>Peak</v>
      </c>
    </row>
    <row r="932" spans="1:24" x14ac:dyDescent="0.25">
      <c r="A932" s="6">
        <v>931</v>
      </c>
      <c r="B932" s="7">
        <v>40585</v>
      </c>
      <c r="C932" s="6">
        <v>2</v>
      </c>
      <c r="D932" s="6" t="str">
        <f t="shared" si="140"/>
        <v>february</v>
      </c>
      <c r="E932" s="6">
        <v>9</v>
      </c>
      <c r="F932" s="6" t="str">
        <f t="shared" si="141"/>
        <v>Morning</v>
      </c>
      <c r="G932" s="6" t="b">
        <v>0</v>
      </c>
      <c r="H932" s="6">
        <f t="shared" si="142"/>
        <v>0</v>
      </c>
      <c r="I932" s="6">
        <v>5</v>
      </c>
      <c r="J932" s="6" t="str">
        <f t="shared" si="143"/>
        <v>Friday</v>
      </c>
      <c r="K932" s="6">
        <f t="shared" si="144"/>
        <v>0</v>
      </c>
      <c r="L932" s="6">
        <v>1</v>
      </c>
      <c r="M932" s="6" t="str">
        <f t="shared" si="145"/>
        <v>Partly cloudy</v>
      </c>
      <c r="N932" s="8">
        <v>0.12</v>
      </c>
      <c r="O932" s="8">
        <v>0.1212</v>
      </c>
      <c r="P932" s="8">
        <v>0.74</v>
      </c>
      <c r="Q932" s="8">
        <v>0.22389999999999999</v>
      </c>
      <c r="R932" s="6">
        <v>8</v>
      </c>
      <c r="S932" s="6">
        <v>132</v>
      </c>
      <c r="T932" s="6">
        <v>140</v>
      </c>
      <c r="U932" s="8">
        <f t="shared" si="146"/>
        <v>0.40280491649409061</v>
      </c>
      <c r="V932" s="8" t="str">
        <f t="shared" si="147"/>
        <v>Normal</v>
      </c>
      <c r="W932" s="8">
        <f t="shared" si="148"/>
        <v>1.6414802063109084</v>
      </c>
      <c r="X932" s="8" t="str">
        <f t="shared" si="149"/>
        <v>Normal</v>
      </c>
    </row>
    <row r="933" spans="1:24" x14ac:dyDescent="0.25">
      <c r="A933" s="6">
        <v>932</v>
      </c>
      <c r="B933" s="7">
        <v>40585</v>
      </c>
      <c r="C933" s="6">
        <v>2</v>
      </c>
      <c r="D933" s="6" t="str">
        <f t="shared" si="140"/>
        <v>february</v>
      </c>
      <c r="E933" s="6">
        <v>10</v>
      </c>
      <c r="F933" s="6" t="str">
        <f t="shared" si="141"/>
        <v>Morning</v>
      </c>
      <c r="G933" s="6" t="b">
        <v>0</v>
      </c>
      <c r="H933" s="6">
        <f t="shared" si="142"/>
        <v>0</v>
      </c>
      <c r="I933" s="6">
        <v>5</v>
      </c>
      <c r="J933" s="6" t="str">
        <f t="shared" si="143"/>
        <v>Friday</v>
      </c>
      <c r="K933" s="6">
        <f t="shared" si="144"/>
        <v>0</v>
      </c>
      <c r="L933" s="6">
        <v>1</v>
      </c>
      <c r="M933" s="6" t="str">
        <f t="shared" si="145"/>
        <v>Partly cloudy</v>
      </c>
      <c r="N933" s="8">
        <v>0.14000000000000001</v>
      </c>
      <c r="O933" s="8">
        <v>0.13639999999999999</v>
      </c>
      <c r="P933" s="8">
        <v>0.69</v>
      </c>
      <c r="Q933" s="8">
        <v>0.19400000000000001</v>
      </c>
      <c r="R933" s="6">
        <v>5</v>
      </c>
      <c r="S933" s="6">
        <v>39</v>
      </c>
      <c r="T933" s="6">
        <v>44</v>
      </c>
      <c r="U933" s="8">
        <f t="shared" si="146"/>
        <v>1.0335040078932463E-2</v>
      </c>
      <c r="V933" s="8" t="str">
        <f t="shared" si="147"/>
        <v>Normal</v>
      </c>
      <c r="W933" s="8">
        <f t="shared" si="148"/>
        <v>-0.30030921820178591</v>
      </c>
      <c r="X933" s="8" t="str">
        <f t="shared" si="149"/>
        <v>Normal</v>
      </c>
    </row>
    <row r="934" spans="1:24" x14ac:dyDescent="0.25">
      <c r="A934" s="6">
        <v>933</v>
      </c>
      <c r="B934" s="7">
        <v>40585</v>
      </c>
      <c r="C934" s="6">
        <v>2</v>
      </c>
      <c r="D934" s="6" t="str">
        <f t="shared" si="140"/>
        <v>february</v>
      </c>
      <c r="E934" s="6">
        <v>11</v>
      </c>
      <c r="F934" s="6" t="str">
        <f t="shared" si="141"/>
        <v>Morning</v>
      </c>
      <c r="G934" s="6" t="b">
        <v>0</v>
      </c>
      <c r="H934" s="6">
        <f t="shared" si="142"/>
        <v>0</v>
      </c>
      <c r="I934" s="6">
        <v>5</v>
      </c>
      <c r="J934" s="6" t="str">
        <f t="shared" si="143"/>
        <v>Friday</v>
      </c>
      <c r="K934" s="6">
        <f t="shared" si="144"/>
        <v>0</v>
      </c>
      <c r="L934" s="6">
        <v>1</v>
      </c>
      <c r="M934" s="6" t="str">
        <f t="shared" si="145"/>
        <v>Partly cloudy</v>
      </c>
      <c r="N934" s="8">
        <v>0.22</v>
      </c>
      <c r="O934" s="8">
        <v>0.2273</v>
      </c>
      <c r="P934" s="8">
        <v>0.47</v>
      </c>
      <c r="Q934" s="8">
        <v>0.1343</v>
      </c>
      <c r="R934" s="6">
        <v>12</v>
      </c>
      <c r="S934" s="6">
        <v>52</v>
      </c>
      <c r="T934" s="6">
        <v>64</v>
      </c>
      <c r="U934" s="8">
        <f t="shared" si="146"/>
        <v>0.92609808504763491</v>
      </c>
      <c r="V934" s="8" t="str">
        <f t="shared" si="147"/>
        <v>Normal</v>
      </c>
      <c r="W934" s="8">
        <f t="shared" si="148"/>
        <v>-2.8876287893559803E-2</v>
      </c>
      <c r="X934" s="8" t="str">
        <f t="shared" si="149"/>
        <v>Normal</v>
      </c>
    </row>
    <row r="935" spans="1:24" x14ac:dyDescent="0.25">
      <c r="A935" s="6">
        <v>934</v>
      </c>
      <c r="B935" s="7">
        <v>40585</v>
      </c>
      <c r="C935" s="6">
        <v>2</v>
      </c>
      <c r="D935" s="6" t="str">
        <f t="shared" si="140"/>
        <v>february</v>
      </c>
      <c r="E935" s="6">
        <v>12</v>
      </c>
      <c r="F935" s="6" t="str">
        <f t="shared" si="141"/>
        <v>Afternoon</v>
      </c>
      <c r="G935" s="6" t="b">
        <v>0</v>
      </c>
      <c r="H935" s="6">
        <f t="shared" si="142"/>
        <v>0</v>
      </c>
      <c r="I935" s="6">
        <v>5</v>
      </c>
      <c r="J935" s="6" t="str">
        <f t="shared" si="143"/>
        <v>Friday</v>
      </c>
      <c r="K935" s="6">
        <f t="shared" si="144"/>
        <v>0</v>
      </c>
      <c r="L935" s="6">
        <v>1</v>
      </c>
      <c r="M935" s="6" t="str">
        <f t="shared" si="145"/>
        <v>Partly cloudy</v>
      </c>
      <c r="N935" s="8">
        <v>0.22</v>
      </c>
      <c r="O935" s="8">
        <v>0.2273</v>
      </c>
      <c r="P935" s="8">
        <v>0.47</v>
      </c>
      <c r="Q935" s="8">
        <v>0.1343</v>
      </c>
      <c r="R935" s="6">
        <v>7</v>
      </c>
      <c r="S935" s="6">
        <v>64</v>
      </c>
      <c r="T935" s="6">
        <v>71</v>
      </c>
      <c r="U935" s="8">
        <f t="shared" si="146"/>
        <v>0.27198162435570455</v>
      </c>
      <c r="V935" s="8" t="str">
        <f t="shared" si="147"/>
        <v>Normal</v>
      </c>
      <c r="W935" s="8">
        <f t="shared" si="148"/>
        <v>0.22167718623711044</v>
      </c>
      <c r="X935" s="8" t="str">
        <f t="shared" si="149"/>
        <v>Normal</v>
      </c>
    </row>
    <row r="936" spans="1:24" x14ac:dyDescent="0.25">
      <c r="A936" s="6">
        <v>935</v>
      </c>
      <c r="B936" s="7">
        <v>40585</v>
      </c>
      <c r="C936" s="6">
        <v>2</v>
      </c>
      <c r="D936" s="6" t="str">
        <f t="shared" si="140"/>
        <v>february</v>
      </c>
      <c r="E936" s="6">
        <v>13</v>
      </c>
      <c r="F936" s="6" t="str">
        <f t="shared" si="141"/>
        <v>Afternoon</v>
      </c>
      <c r="G936" s="6" t="b">
        <v>0</v>
      </c>
      <c r="H936" s="6">
        <f t="shared" si="142"/>
        <v>0</v>
      </c>
      <c r="I936" s="6">
        <v>5</v>
      </c>
      <c r="J936" s="6" t="str">
        <f t="shared" si="143"/>
        <v>Friday</v>
      </c>
      <c r="K936" s="6">
        <f t="shared" si="144"/>
        <v>0</v>
      </c>
      <c r="L936" s="6">
        <v>1</v>
      </c>
      <c r="M936" s="6" t="str">
        <f t="shared" si="145"/>
        <v>Partly cloudy</v>
      </c>
      <c r="N936" s="8">
        <v>0.24</v>
      </c>
      <c r="O936" s="8">
        <v>0.2273</v>
      </c>
      <c r="P936" s="8">
        <v>0.35</v>
      </c>
      <c r="Q936" s="8">
        <v>0.19400000000000001</v>
      </c>
      <c r="R936" s="6">
        <v>21</v>
      </c>
      <c r="S936" s="6">
        <v>89</v>
      </c>
      <c r="T936" s="6">
        <v>110</v>
      </c>
      <c r="U936" s="8">
        <f t="shared" si="146"/>
        <v>2.1035077142931096</v>
      </c>
      <c r="V936" s="8" t="str">
        <f t="shared" si="147"/>
        <v>Peak</v>
      </c>
      <c r="W936" s="8">
        <f t="shared" si="148"/>
        <v>0.74366359067600685</v>
      </c>
      <c r="X936" s="8" t="str">
        <f t="shared" si="149"/>
        <v>Normal</v>
      </c>
    </row>
    <row r="937" spans="1:24" x14ac:dyDescent="0.25">
      <c r="A937" s="6">
        <v>936</v>
      </c>
      <c r="B937" s="7">
        <v>40585</v>
      </c>
      <c r="C937" s="6">
        <v>2</v>
      </c>
      <c r="D937" s="6" t="str">
        <f t="shared" si="140"/>
        <v>february</v>
      </c>
      <c r="E937" s="6">
        <v>14</v>
      </c>
      <c r="F937" s="6" t="str">
        <f t="shared" si="141"/>
        <v>Afternoon</v>
      </c>
      <c r="G937" s="6" t="b">
        <v>0</v>
      </c>
      <c r="H937" s="6">
        <f t="shared" si="142"/>
        <v>0</v>
      </c>
      <c r="I937" s="6">
        <v>5</v>
      </c>
      <c r="J937" s="6" t="str">
        <f t="shared" si="143"/>
        <v>Friday</v>
      </c>
      <c r="K937" s="6">
        <f t="shared" si="144"/>
        <v>0</v>
      </c>
      <c r="L937" s="6">
        <v>1</v>
      </c>
      <c r="M937" s="6" t="str">
        <f t="shared" si="145"/>
        <v>Partly cloudy</v>
      </c>
      <c r="N937" s="8">
        <v>0.3</v>
      </c>
      <c r="O937" s="8">
        <v>0.28789999999999999</v>
      </c>
      <c r="P937" s="8">
        <v>0.26</v>
      </c>
      <c r="Q937" s="8">
        <v>0.25369999999999998</v>
      </c>
      <c r="R937" s="6">
        <v>17</v>
      </c>
      <c r="S937" s="6">
        <v>67</v>
      </c>
      <c r="T937" s="6">
        <v>84</v>
      </c>
      <c r="U937" s="8">
        <f t="shared" si="146"/>
        <v>1.5802145457395653</v>
      </c>
      <c r="V937" s="8" t="str">
        <f t="shared" si="147"/>
        <v>Normal</v>
      </c>
      <c r="W937" s="8">
        <f t="shared" si="148"/>
        <v>0.28431555476977799</v>
      </c>
      <c r="X937" s="8" t="str">
        <f t="shared" si="149"/>
        <v>Normal</v>
      </c>
    </row>
    <row r="938" spans="1:24" x14ac:dyDescent="0.25">
      <c r="A938" s="6">
        <v>937</v>
      </c>
      <c r="B938" s="7">
        <v>40585</v>
      </c>
      <c r="C938" s="6">
        <v>2</v>
      </c>
      <c r="D938" s="6" t="str">
        <f t="shared" si="140"/>
        <v>february</v>
      </c>
      <c r="E938" s="6">
        <v>15</v>
      </c>
      <c r="F938" s="6" t="str">
        <f t="shared" si="141"/>
        <v>Afternoon</v>
      </c>
      <c r="G938" s="6" t="b">
        <v>0</v>
      </c>
      <c r="H938" s="6">
        <f t="shared" si="142"/>
        <v>0</v>
      </c>
      <c r="I938" s="6">
        <v>5</v>
      </c>
      <c r="J938" s="6" t="str">
        <f t="shared" si="143"/>
        <v>Friday</v>
      </c>
      <c r="K938" s="6">
        <f t="shared" si="144"/>
        <v>0</v>
      </c>
      <c r="L938" s="6">
        <v>1</v>
      </c>
      <c r="M938" s="6" t="str">
        <f t="shared" si="145"/>
        <v>Partly cloudy</v>
      </c>
      <c r="N938" s="8">
        <v>0.32</v>
      </c>
      <c r="O938" s="8">
        <v>0.31819999999999998</v>
      </c>
      <c r="P938" s="8">
        <v>0.21</v>
      </c>
      <c r="Q938" s="8">
        <v>0.16420000000000001</v>
      </c>
      <c r="R938" s="6">
        <v>12</v>
      </c>
      <c r="S938" s="6">
        <v>62</v>
      </c>
      <c r="T938" s="6">
        <v>74</v>
      </c>
      <c r="U938" s="8">
        <f t="shared" si="146"/>
        <v>0.92609808504763491</v>
      </c>
      <c r="V938" s="8" t="str">
        <f t="shared" si="147"/>
        <v>Normal</v>
      </c>
      <c r="W938" s="8">
        <f t="shared" si="148"/>
        <v>0.17991827388199874</v>
      </c>
      <c r="X938" s="8" t="str">
        <f t="shared" si="149"/>
        <v>Normal</v>
      </c>
    </row>
    <row r="939" spans="1:24" x14ac:dyDescent="0.25">
      <c r="A939" s="6">
        <v>938</v>
      </c>
      <c r="B939" s="7">
        <v>40585</v>
      </c>
      <c r="C939" s="6">
        <v>2</v>
      </c>
      <c r="D939" s="6" t="str">
        <f t="shared" si="140"/>
        <v>february</v>
      </c>
      <c r="E939" s="6">
        <v>16</v>
      </c>
      <c r="F939" s="6" t="str">
        <f t="shared" si="141"/>
        <v>Afternoon</v>
      </c>
      <c r="G939" s="6" t="b">
        <v>0</v>
      </c>
      <c r="H939" s="6">
        <f t="shared" si="142"/>
        <v>0</v>
      </c>
      <c r="I939" s="6">
        <v>5</v>
      </c>
      <c r="J939" s="6" t="str">
        <f t="shared" si="143"/>
        <v>Friday</v>
      </c>
      <c r="K939" s="6">
        <f t="shared" si="144"/>
        <v>0</v>
      </c>
      <c r="L939" s="6">
        <v>1</v>
      </c>
      <c r="M939" s="6" t="str">
        <f t="shared" si="145"/>
        <v>Partly cloudy</v>
      </c>
      <c r="N939" s="8">
        <v>0.3</v>
      </c>
      <c r="O939" s="8">
        <v>0.28789999999999999</v>
      </c>
      <c r="P939" s="8">
        <v>0.28000000000000003</v>
      </c>
      <c r="Q939" s="8">
        <v>0.19400000000000001</v>
      </c>
      <c r="R939" s="6">
        <v>14</v>
      </c>
      <c r="S939" s="6">
        <v>111</v>
      </c>
      <c r="T939" s="6">
        <v>125</v>
      </c>
      <c r="U939" s="8">
        <f t="shared" si="146"/>
        <v>1.1877446693244071</v>
      </c>
      <c r="V939" s="8" t="str">
        <f t="shared" si="147"/>
        <v>Normal</v>
      </c>
      <c r="W939" s="8">
        <f t="shared" si="148"/>
        <v>1.2030116265822355</v>
      </c>
      <c r="X939" s="8" t="str">
        <f t="shared" si="149"/>
        <v>Normal</v>
      </c>
    </row>
    <row r="940" spans="1:24" x14ac:dyDescent="0.25">
      <c r="A940" s="6">
        <v>939</v>
      </c>
      <c r="B940" s="7">
        <v>40585</v>
      </c>
      <c r="C940" s="6">
        <v>2</v>
      </c>
      <c r="D940" s="6" t="str">
        <f t="shared" si="140"/>
        <v>february</v>
      </c>
      <c r="E940" s="6">
        <v>17</v>
      </c>
      <c r="F940" s="6" t="str">
        <f t="shared" si="141"/>
        <v>Evening</v>
      </c>
      <c r="G940" s="6" t="b">
        <v>0</v>
      </c>
      <c r="H940" s="6">
        <f t="shared" si="142"/>
        <v>0</v>
      </c>
      <c r="I940" s="6">
        <v>5</v>
      </c>
      <c r="J940" s="6" t="str">
        <f t="shared" si="143"/>
        <v>Friday</v>
      </c>
      <c r="K940" s="6">
        <f t="shared" si="144"/>
        <v>0</v>
      </c>
      <c r="L940" s="6">
        <v>1</v>
      </c>
      <c r="M940" s="6" t="str">
        <f t="shared" si="145"/>
        <v>Partly cloudy</v>
      </c>
      <c r="N940" s="8">
        <v>0.3</v>
      </c>
      <c r="O940" s="8">
        <v>0.33329999999999999</v>
      </c>
      <c r="P940" s="8">
        <v>0.24</v>
      </c>
      <c r="Q940" s="8">
        <v>0</v>
      </c>
      <c r="R940" s="6">
        <v>18</v>
      </c>
      <c r="S940" s="6">
        <v>193</v>
      </c>
      <c r="T940" s="6">
        <v>211</v>
      </c>
      <c r="U940" s="8">
        <f t="shared" si="146"/>
        <v>1.7110378378779514</v>
      </c>
      <c r="V940" s="8" t="str">
        <f t="shared" si="147"/>
        <v>Normal</v>
      </c>
      <c r="W940" s="8">
        <f t="shared" si="148"/>
        <v>2.9151270331418155</v>
      </c>
      <c r="X940" s="8" t="str">
        <f t="shared" si="149"/>
        <v>Peak</v>
      </c>
    </row>
    <row r="941" spans="1:24" x14ac:dyDescent="0.25">
      <c r="A941" s="6">
        <v>940</v>
      </c>
      <c r="B941" s="7">
        <v>40585</v>
      </c>
      <c r="C941" s="6">
        <v>2</v>
      </c>
      <c r="D941" s="6" t="str">
        <f t="shared" si="140"/>
        <v>february</v>
      </c>
      <c r="E941" s="6">
        <v>18</v>
      </c>
      <c r="F941" s="6" t="str">
        <f t="shared" si="141"/>
        <v>Evening</v>
      </c>
      <c r="G941" s="6" t="b">
        <v>0</v>
      </c>
      <c r="H941" s="6">
        <f t="shared" si="142"/>
        <v>0</v>
      </c>
      <c r="I941" s="6">
        <v>5</v>
      </c>
      <c r="J941" s="6" t="str">
        <f t="shared" si="143"/>
        <v>Friday</v>
      </c>
      <c r="K941" s="6">
        <f t="shared" si="144"/>
        <v>0</v>
      </c>
      <c r="L941" s="6">
        <v>1</v>
      </c>
      <c r="M941" s="6" t="str">
        <f t="shared" si="145"/>
        <v>Partly cloudy</v>
      </c>
      <c r="N941" s="8">
        <v>0.28000000000000003</v>
      </c>
      <c r="O941" s="8">
        <v>0.31819999999999998</v>
      </c>
      <c r="P941" s="8">
        <v>0.28000000000000003</v>
      </c>
      <c r="Q941" s="8">
        <v>0</v>
      </c>
      <c r="R941" s="6">
        <v>9</v>
      </c>
      <c r="S941" s="6">
        <v>165</v>
      </c>
      <c r="T941" s="6">
        <v>174</v>
      </c>
      <c r="U941" s="8">
        <f t="shared" si="146"/>
        <v>0.53362820863247673</v>
      </c>
      <c r="V941" s="8" t="str">
        <f t="shared" si="147"/>
        <v>Normal</v>
      </c>
      <c r="W941" s="8">
        <f t="shared" si="148"/>
        <v>2.3305022601702516</v>
      </c>
      <c r="X941" s="8" t="str">
        <f t="shared" si="149"/>
        <v>Peak</v>
      </c>
    </row>
    <row r="942" spans="1:24" x14ac:dyDescent="0.25">
      <c r="A942" s="6">
        <v>941</v>
      </c>
      <c r="B942" s="7">
        <v>40585</v>
      </c>
      <c r="C942" s="6">
        <v>2</v>
      </c>
      <c r="D942" s="6" t="str">
        <f t="shared" si="140"/>
        <v>february</v>
      </c>
      <c r="E942" s="6">
        <v>19</v>
      </c>
      <c r="F942" s="6" t="str">
        <f t="shared" si="141"/>
        <v>Evening</v>
      </c>
      <c r="G942" s="6" t="b">
        <v>0</v>
      </c>
      <c r="H942" s="6">
        <f t="shared" si="142"/>
        <v>0</v>
      </c>
      <c r="I942" s="6">
        <v>5</v>
      </c>
      <c r="J942" s="6" t="str">
        <f t="shared" si="143"/>
        <v>Friday</v>
      </c>
      <c r="K942" s="6">
        <f t="shared" si="144"/>
        <v>0</v>
      </c>
      <c r="L942" s="6">
        <v>1</v>
      </c>
      <c r="M942" s="6" t="str">
        <f t="shared" si="145"/>
        <v>Partly cloudy</v>
      </c>
      <c r="N942" s="8">
        <v>0.26</v>
      </c>
      <c r="O942" s="8">
        <v>0.30299999999999999</v>
      </c>
      <c r="P942" s="8">
        <v>0.33</v>
      </c>
      <c r="Q942" s="8">
        <v>0</v>
      </c>
      <c r="R942" s="6">
        <v>7</v>
      </c>
      <c r="S942" s="6">
        <v>94</v>
      </c>
      <c r="T942" s="6">
        <v>101</v>
      </c>
      <c r="U942" s="8">
        <f t="shared" si="146"/>
        <v>0.27198162435570455</v>
      </c>
      <c r="V942" s="8" t="str">
        <f t="shared" si="147"/>
        <v>Normal</v>
      </c>
      <c r="W942" s="8">
        <f t="shared" si="148"/>
        <v>0.84806087156378607</v>
      </c>
      <c r="X942" s="8" t="str">
        <f t="shared" si="149"/>
        <v>Normal</v>
      </c>
    </row>
    <row r="943" spans="1:24" x14ac:dyDescent="0.25">
      <c r="A943" s="6">
        <v>942</v>
      </c>
      <c r="B943" s="7">
        <v>40585</v>
      </c>
      <c r="C943" s="6">
        <v>2</v>
      </c>
      <c r="D943" s="6" t="str">
        <f t="shared" si="140"/>
        <v>february</v>
      </c>
      <c r="E943" s="6">
        <v>20</v>
      </c>
      <c r="F943" s="6" t="str">
        <f t="shared" si="141"/>
        <v>Evening</v>
      </c>
      <c r="G943" s="6" t="b">
        <v>0</v>
      </c>
      <c r="H943" s="6">
        <f t="shared" si="142"/>
        <v>0</v>
      </c>
      <c r="I943" s="6">
        <v>5</v>
      </c>
      <c r="J943" s="6" t="str">
        <f t="shared" si="143"/>
        <v>Friday</v>
      </c>
      <c r="K943" s="6">
        <f t="shared" si="144"/>
        <v>0</v>
      </c>
      <c r="L943" s="6">
        <v>1</v>
      </c>
      <c r="M943" s="6" t="str">
        <f t="shared" si="145"/>
        <v>Partly cloudy</v>
      </c>
      <c r="N943" s="8">
        <v>0.22</v>
      </c>
      <c r="O943" s="8">
        <v>0.2273</v>
      </c>
      <c r="P943" s="8">
        <v>0.55000000000000004</v>
      </c>
      <c r="Q943" s="8">
        <v>0.1343</v>
      </c>
      <c r="R943" s="6">
        <v>2</v>
      </c>
      <c r="S943" s="6">
        <v>61</v>
      </c>
      <c r="T943" s="6">
        <v>63</v>
      </c>
      <c r="U943" s="8">
        <f t="shared" si="146"/>
        <v>-0.38213483633622569</v>
      </c>
      <c r="V943" s="8" t="str">
        <f t="shared" si="147"/>
        <v>Normal</v>
      </c>
      <c r="W943" s="8">
        <f t="shared" si="148"/>
        <v>0.15903881770444289</v>
      </c>
      <c r="X943" s="8" t="str">
        <f t="shared" si="149"/>
        <v>Normal</v>
      </c>
    </row>
    <row r="944" spans="1:24" x14ac:dyDescent="0.25">
      <c r="A944" s="6">
        <v>943</v>
      </c>
      <c r="B944" s="7">
        <v>40585</v>
      </c>
      <c r="C944" s="6">
        <v>2</v>
      </c>
      <c r="D944" s="6" t="str">
        <f t="shared" si="140"/>
        <v>february</v>
      </c>
      <c r="E944" s="6">
        <v>21</v>
      </c>
      <c r="F944" s="6" t="str">
        <f t="shared" si="141"/>
        <v>Night</v>
      </c>
      <c r="G944" s="6" t="b">
        <v>0</v>
      </c>
      <c r="H944" s="6">
        <f t="shared" si="142"/>
        <v>0</v>
      </c>
      <c r="I944" s="6">
        <v>5</v>
      </c>
      <c r="J944" s="6" t="str">
        <f t="shared" si="143"/>
        <v>Friday</v>
      </c>
      <c r="K944" s="6">
        <f t="shared" si="144"/>
        <v>0</v>
      </c>
      <c r="L944" s="6">
        <v>1</v>
      </c>
      <c r="M944" s="6" t="str">
        <f t="shared" si="145"/>
        <v>Partly cloudy</v>
      </c>
      <c r="N944" s="8">
        <v>0.2</v>
      </c>
      <c r="O944" s="8">
        <v>0.21210000000000001</v>
      </c>
      <c r="P944" s="8">
        <v>0.59</v>
      </c>
      <c r="Q944" s="8">
        <v>0.1343</v>
      </c>
      <c r="R944" s="6">
        <v>1</v>
      </c>
      <c r="S944" s="6">
        <v>46</v>
      </c>
      <c r="T944" s="6">
        <v>47</v>
      </c>
      <c r="U944" s="8">
        <f t="shared" si="146"/>
        <v>-0.51295812847461175</v>
      </c>
      <c r="V944" s="8" t="str">
        <f t="shared" si="147"/>
        <v>Normal</v>
      </c>
      <c r="W944" s="8">
        <f t="shared" si="148"/>
        <v>-0.15415302495889494</v>
      </c>
      <c r="X944" s="8" t="str">
        <f t="shared" si="149"/>
        <v>Normal</v>
      </c>
    </row>
    <row r="945" spans="1:24" x14ac:dyDescent="0.25">
      <c r="A945" s="6">
        <v>944</v>
      </c>
      <c r="B945" s="7">
        <v>40585</v>
      </c>
      <c r="C945" s="6">
        <v>2</v>
      </c>
      <c r="D945" s="6" t="str">
        <f t="shared" si="140"/>
        <v>february</v>
      </c>
      <c r="E945" s="6">
        <v>22</v>
      </c>
      <c r="F945" s="6" t="str">
        <f t="shared" si="141"/>
        <v>Night</v>
      </c>
      <c r="G945" s="6" t="b">
        <v>0</v>
      </c>
      <c r="H945" s="6">
        <f t="shared" si="142"/>
        <v>0</v>
      </c>
      <c r="I945" s="6">
        <v>5</v>
      </c>
      <c r="J945" s="6" t="str">
        <f t="shared" si="143"/>
        <v>Friday</v>
      </c>
      <c r="K945" s="6">
        <f t="shared" si="144"/>
        <v>0</v>
      </c>
      <c r="L945" s="6">
        <v>1</v>
      </c>
      <c r="M945" s="6" t="str">
        <f t="shared" si="145"/>
        <v>Partly cloudy</v>
      </c>
      <c r="N945" s="8">
        <v>0.2</v>
      </c>
      <c r="O945" s="8">
        <v>0.2273</v>
      </c>
      <c r="P945" s="8">
        <v>0.64</v>
      </c>
      <c r="Q945" s="8">
        <v>8.9599999999999999E-2</v>
      </c>
      <c r="R945" s="6">
        <v>2</v>
      </c>
      <c r="S945" s="6">
        <v>41</v>
      </c>
      <c r="T945" s="6">
        <v>43</v>
      </c>
      <c r="U945" s="8">
        <f t="shared" si="146"/>
        <v>-0.38213483633622569</v>
      </c>
      <c r="V945" s="8" t="str">
        <f t="shared" si="147"/>
        <v>Normal</v>
      </c>
      <c r="W945" s="8">
        <f t="shared" si="148"/>
        <v>-0.25855030584667421</v>
      </c>
      <c r="X945" s="8" t="str">
        <f t="shared" si="149"/>
        <v>Normal</v>
      </c>
    </row>
    <row r="946" spans="1:24" x14ac:dyDescent="0.25">
      <c r="A946" s="6">
        <v>945</v>
      </c>
      <c r="B946" s="7">
        <v>40585</v>
      </c>
      <c r="C946" s="6">
        <v>2</v>
      </c>
      <c r="D946" s="6" t="str">
        <f t="shared" si="140"/>
        <v>february</v>
      </c>
      <c r="E946" s="6">
        <v>23</v>
      </c>
      <c r="F946" s="6" t="str">
        <f t="shared" si="141"/>
        <v>Night</v>
      </c>
      <c r="G946" s="6" t="b">
        <v>0</v>
      </c>
      <c r="H946" s="6">
        <f t="shared" si="142"/>
        <v>0</v>
      </c>
      <c r="I946" s="6">
        <v>5</v>
      </c>
      <c r="J946" s="6" t="str">
        <f t="shared" si="143"/>
        <v>Friday</v>
      </c>
      <c r="K946" s="6">
        <f t="shared" si="144"/>
        <v>0</v>
      </c>
      <c r="L946" s="6">
        <v>1</v>
      </c>
      <c r="M946" s="6" t="str">
        <f t="shared" si="145"/>
        <v>Partly cloudy</v>
      </c>
      <c r="N946" s="8">
        <v>0.18</v>
      </c>
      <c r="O946" s="8">
        <v>0.2424</v>
      </c>
      <c r="P946" s="8">
        <v>0.69</v>
      </c>
      <c r="Q946" s="8">
        <v>0</v>
      </c>
      <c r="R946" s="6">
        <v>5</v>
      </c>
      <c r="S946" s="6">
        <v>48</v>
      </c>
      <c r="T946" s="6">
        <v>53</v>
      </c>
      <c r="U946" s="8">
        <f t="shared" si="146"/>
        <v>1.0335040078932463E-2</v>
      </c>
      <c r="V946" s="8" t="str">
        <f t="shared" si="147"/>
        <v>Normal</v>
      </c>
      <c r="W946" s="8">
        <f t="shared" si="148"/>
        <v>-0.11239411260378322</v>
      </c>
      <c r="X946" s="8" t="str">
        <f t="shared" si="149"/>
        <v>Normal</v>
      </c>
    </row>
    <row r="947" spans="1:24" x14ac:dyDescent="0.25">
      <c r="A947" s="6">
        <v>946</v>
      </c>
      <c r="B947" s="7">
        <v>40586</v>
      </c>
      <c r="C947" s="6">
        <v>2</v>
      </c>
      <c r="D947" s="6" t="str">
        <f t="shared" si="140"/>
        <v>february</v>
      </c>
      <c r="E947" s="6">
        <v>0</v>
      </c>
      <c r="F947" s="6" t="str">
        <f t="shared" si="141"/>
        <v>Night</v>
      </c>
      <c r="G947" s="6" t="b">
        <v>0</v>
      </c>
      <c r="H947" s="6">
        <f t="shared" si="142"/>
        <v>0</v>
      </c>
      <c r="I947" s="6">
        <v>6</v>
      </c>
      <c r="J947" s="6" t="str">
        <f t="shared" si="143"/>
        <v>Saturday</v>
      </c>
      <c r="K947" s="6">
        <f t="shared" si="144"/>
        <v>1</v>
      </c>
      <c r="L947" s="6">
        <v>1</v>
      </c>
      <c r="M947" s="6" t="str">
        <f t="shared" si="145"/>
        <v>Partly cloudy</v>
      </c>
      <c r="N947" s="8">
        <v>0.16</v>
      </c>
      <c r="O947" s="8">
        <v>0.19700000000000001</v>
      </c>
      <c r="P947" s="8">
        <v>0.69</v>
      </c>
      <c r="Q947" s="8">
        <v>8.9599999999999999E-2</v>
      </c>
      <c r="R947" s="6">
        <v>3</v>
      </c>
      <c r="S947" s="6">
        <v>27</v>
      </c>
      <c r="T947" s="6">
        <v>30</v>
      </c>
      <c r="U947" s="8">
        <f t="shared" si="146"/>
        <v>-0.25131154419783963</v>
      </c>
      <c r="V947" s="8" t="str">
        <f t="shared" si="147"/>
        <v>Normal</v>
      </c>
      <c r="W947" s="8">
        <f t="shared" si="148"/>
        <v>-0.55086269233245611</v>
      </c>
      <c r="X947" s="8" t="str">
        <f t="shared" si="149"/>
        <v>Normal</v>
      </c>
    </row>
    <row r="948" spans="1:24" x14ac:dyDescent="0.25">
      <c r="A948" s="6">
        <v>947</v>
      </c>
      <c r="B948" s="7">
        <v>40586</v>
      </c>
      <c r="C948" s="6">
        <v>2</v>
      </c>
      <c r="D948" s="6" t="str">
        <f t="shared" si="140"/>
        <v>february</v>
      </c>
      <c r="E948" s="6">
        <v>1</v>
      </c>
      <c r="F948" s="6" t="str">
        <f t="shared" si="141"/>
        <v>Night</v>
      </c>
      <c r="G948" s="6" t="b">
        <v>0</v>
      </c>
      <c r="H948" s="6">
        <f t="shared" si="142"/>
        <v>0</v>
      </c>
      <c r="I948" s="6">
        <v>6</v>
      </c>
      <c r="J948" s="6" t="str">
        <f t="shared" si="143"/>
        <v>Saturday</v>
      </c>
      <c r="K948" s="6">
        <f t="shared" si="144"/>
        <v>1</v>
      </c>
      <c r="L948" s="6">
        <v>1</v>
      </c>
      <c r="M948" s="6" t="str">
        <f t="shared" si="145"/>
        <v>Partly cloudy</v>
      </c>
      <c r="N948" s="8">
        <v>0.14000000000000001</v>
      </c>
      <c r="O948" s="8">
        <v>0.21210000000000001</v>
      </c>
      <c r="P948" s="8">
        <v>0.86</v>
      </c>
      <c r="Q948" s="8">
        <v>0</v>
      </c>
      <c r="R948" s="6">
        <v>2</v>
      </c>
      <c r="S948" s="6">
        <v>22</v>
      </c>
      <c r="T948" s="6">
        <v>24</v>
      </c>
      <c r="U948" s="8">
        <f t="shared" si="146"/>
        <v>-0.38213483633622569</v>
      </c>
      <c r="V948" s="8" t="str">
        <f t="shared" si="147"/>
        <v>Normal</v>
      </c>
      <c r="W948" s="8">
        <f t="shared" si="148"/>
        <v>-0.65525997322023544</v>
      </c>
      <c r="X948" s="8" t="str">
        <f t="shared" si="149"/>
        <v>Normal</v>
      </c>
    </row>
    <row r="949" spans="1:24" x14ac:dyDescent="0.25">
      <c r="A949" s="6">
        <v>948</v>
      </c>
      <c r="B949" s="7">
        <v>40586</v>
      </c>
      <c r="C949" s="6">
        <v>2</v>
      </c>
      <c r="D949" s="6" t="str">
        <f t="shared" si="140"/>
        <v>february</v>
      </c>
      <c r="E949" s="6">
        <v>2</v>
      </c>
      <c r="F949" s="6" t="str">
        <f t="shared" si="141"/>
        <v>Night</v>
      </c>
      <c r="G949" s="6" t="b">
        <v>0</v>
      </c>
      <c r="H949" s="6">
        <f t="shared" si="142"/>
        <v>0</v>
      </c>
      <c r="I949" s="6">
        <v>6</v>
      </c>
      <c r="J949" s="6" t="str">
        <f t="shared" si="143"/>
        <v>Saturday</v>
      </c>
      <c r="K949" s="6">
        <f t="shared" si="144"/>
        <v>1</v>
      </c>
      <c r="L949" s="6">
        <v>1</v>
      </c>
      <c r="M949" s="6" t="str">
        <f t="shared" si="145"/>
        <v>Partly cloudy</v>
      </c>
      <c r="N949" s="8">
        <v>0.14000000000000001</v>
      </c>
      <c r="O949" s="8">
        <v>0.21210000000000001</v>
      </c>
      <c r="P949" s="8">
        <v>0.8</v>
      </c>
      <c r="Q949" s="8">
        <v>0</v>
      </c>
      <c r="R949" s="6">
        <v>2</v>
      </c>
      <c r="S949" s="6">
        <v>13</v>
      </c>
      <c r="T949" s="6">
        <v>15</v>
      </c>
      <c r="U949" s="8">
        <f t="shared" si="146"/>
        <v>-0.38213483633622569</v>
      </c>
      <c r="V949" s="8" t="str">
        <f t="shared" si="147"/>
        <v>Normal</v>
      </c>
      <c r="W949" s="8">
        <f t="shared" si="148"/>
        <v>-0.84317507881823806</v>
      </c>
      <c r="X949" s="8" t="str">
        <f t="shared" si="149"/>
        <v>Normal</v>
      </c>
    </row>
    <row r="950" spans="1:24" x14ac:dyDescent="0.25">
      <c r="A950" s="6">
        <v>949</v>
      </c>
      <c r="B950" s="7">
        <v>40586</v>
      </c>
      <c r="C950" s="6">
        <v>2</v>
      </c>
      <c r="D950" s="6" t="str">
        <f t="shared" si="140"/>
        <v>february</v>
      </c>
      <c r="E950" s="6">
        <v>3</v>
      </c>
      <c r="F950" s="6" t="str">
        <f t="shared" si="141"/>
        <v>Night</v>
      </c>
      <c r="G950" s="6" t="b">
        <v>0</v>
      </c>
      <c r="H950" s="6">
        <f t="shared" si="142"/>
        <v>0</v>
      </c>
      <c r="I950" s="6">
        <v>6</v>
      </c>
      <c r="J950" s="6" t="str">
        <f t="shared" si="143"/>
        <v>Saturday</v>
      </c>
      <c r="K950" s="6">
        <f t="shared" si="144"/>
        <v>1</v>
      </c>
      <c r="L950" s="6">
        <v>1</v>
      </c>
      <c r="M950" s="6" t="str">
        <f t="shared" si="145"/>
        <v>Partly cloudy</v>
      </c>
      <c r="N950" s="8">
        <v>0.12</v>
      </c>
      <c r="O950" s="8">
        <v>0.19700000000000001</v>
      </c>
      <c r="P950" s="8">
        <v>0.8</v>
      </c>
      <c r="Q950" s="8">
        <v>0</v>
      </c>
      <c r="R950" s="6">
        <v>3</v>
      </c>
      <c r="S950" s="6">
        <v>7</v>
      </c>
      <c r="T950" s="6">
        <v>10</v>
      </c>
      <c r="U950" s="8">
        <f t="shared" si="146"/>
        <v>-0.25131154419783963</v>
      </c>
      <c r="V950" s="8" t="str">
        <f t="shared" si="147"/>
        <v>Normal</v>
      </c>
      <c r="W950" s="8">
        <f t="shared" si="148"/>
        <v>-0.96845181588357321</v>
      </c>
      <c r="X950" s="8" t="str">
        <f t="shared" si="149"/>
        <v>Normal</v>
      </c>
    </row>
    <row r="951" spans="1:24" x14ac:dyDescent="0.25">
      <c r="A951" s="6">
        <v>950</v>
      </c>
      <c r="B951" s="7">
        <v>40586</v>
      </c>
      <c r="C951" s="6">
        <v>2</v>
      </c>
      <c r="D951" s="6" t="str">
        <f t="shared" si="140"/>
        <v>february</v>
      </c>
      <c r="E951" s="6">
        <v>4</v>
      </c>
      <c r="F951" s="6" t="str">
        <f t="shared" si="141"/>
        <v>Night</v>
      </c>
      <c r="G951" s="6" t="b">
        <v>0</v>
      </c>
      <c r="H951" s="6">
        <f t="shared" si="142"/>
        <v>0</v>
      </c>
      <c r="I951" s="6">
        <v>6</v>
      </c>
      <c r="J951" s="6" t="str">
        <f t="shared" si="143"/>
        <v>Saturday</v>
      </c>
      <c r="K951" s="6">
        <f t="shared" si="144"/>
        <v>1</v>
      </c>
      <c r="L951" s="6">
        <v>1</v>
      </c>
      <c r="M951" s="6" t="str">
        <f t="shared" si="145"/>
        <v>Partly cloudy</v>
      </c>
      <c r="N951" s="8">
        <v>0.12</v>
      </c>
      <c r="O951" s="8">
        <v>0.16669999999999999</v>
      </c>
      <c r="P951" s="8">
        <v>0.74</v>
      </c>
      <c r="Q951" s="8">
        <v>8.9599999999999999E-2</v>
      </c>
      <c r="R951" s="6">
        <v>0</v>
      </c>
      <c r="S951" s="6">
        <v>4</v>
      </c>
      <c r="T951" s="6">
        <v>4</v>
      </c>
      <c r="U951" s="8">
        <f t="shared" si="146"/>
        <v>-0.64378142061299781</v>
      </c>
      <c r="V951" s="8" t="str">
        <f t="shared" si="147"/>
        <v>Normal</v>
      </c>
      <c r="W951" s="8">
        <f t="shared" si="148"/>
        <v>-1.0310901844162408</v>
      </c>
      <c r="X951" s="8" t="str">
        <f t="shared" si="149"/>
        <v>Normal</v>
      </c>
    </row>
    <row r="952" spans="1:24" x14ac:dyDescent="0.25">
      <c r="A952" s="6">
        <v>951</v>
      </c>
      <c r="B952" s="7">
        <v>40586</v>
      </c>
      <c r="C952" s="6">
        <v>2</v>
      </c>
      <c r="D952" s="6" t="str">
        <f t="shared" si="140"/>
        <v>february</v>
      </c>
      <c r="E952" s="6">
        <v>5</v>
      </c>
      <c r="F952" s="6" t="str">
        <f t="shared" si="141"/>
        <v>Early Morning</v>
      </c>
      <c r="G952" s="6" t="b">
        <v>0</v>
      </c>
      <c r="H952" s="6">
        <f t="shared" si="142"/>
        <v>0</v>
      </c>
      <c r="I952" s="6">
        <v>6</v>
      </c>
      <c r="J952" s="6" t="str">
        <f t="shared" si="143"/>
        <v>Saturday</v>
      </c>
      <c r="K952" s="6">
        <f t="shared" si="144"/>
        <v>1</v>
      </c>
      <c r="L952" s="6">
        <v>1</v>
      </c>
      <c r="M952" s="6" t="str">
        <f t="shared" si="145"/>
        <v>Partly cloudy</v>
      </c>
      <c r="N952" s="8">
        <v>0.12</v>
      </c>
      <c r="O952" s="8">
        <v>0.16669999999999999</v>
      </c>
      <c r="P952" s="8">
        <v>0.74</v>
      </c>
      <c r="Q952" s="8">
        <v>8.9599999999999999E-2</v>
      </c>
      <c r="R952" s="6">
        <v>0</v>
      </c>
      <c r="S952" s="6">
        <v>1</v>
      </c>
      <c r="T952" s="6">
        <v>1</v>
      </c>
      <c r="U952" s="8">
        <f t="shared" si="146"/>
        <v>-0.64378142061299781</v>
      </c>
      <c r="V952" s="8" t="str">
        <f t="shared" si="147"/>
        <v>Normal</v>
      </c>
      <c r="W952" s="8">
        <f t="shared" si="148"/>
        <v>-1.0937285529489083</v>
      </c>
      <c r="X952" s="8" t="str">
        <f t="shared" si="149"/>
        <v>Normal</v>
      </c>
    </row>
    <row r="953" spans="1:24" x14ac:dyDescent="0.25">
      <c r="A953" s="6">
        <v>952</v>
      </c>
      <c r="B953" s="7">
        <v>40586</v>
      </c>
      <c r="C953" s="6">
        <v>2</v>
      </c>
      <c r="D953" s="6" t="str">
        <f t="shared" si="140"/>
        <v>february</v>
      </c>
      <c r="E953" s="6">
        <v>6</v>
      </c>
      <c r="F953" s="6" t="str">
        <f t="shared" si="141"/>
        <v>Early Morning</v>
      </c>
      <c r="G953" s="6" t="b">
        <v>0</v>
      </c>
      <c r="H953" s="6">
        <f t="shared" si="142"/>
        <v>0</v>
      </c>
      <c r="I953" s="6">
        <v>6</v>
      </c>
      <c r="J953" s="6" t="str">
        <f t="shared" si="143"/>
        <v>Saturday</v>
      </c>
      <c r="K953" s="6">
        <f t="shared" si="144"/>
        <v>1</v>
      </c>
      <c r="L953" s="6">
        <v>1</v>
      </c>
      <c r="M953" s="6" t="str">
        <f t="shared" si="145"/>
        <v>Partly cloudy</v>
      </c>
      <c r="N953" s="8">
        <v>0.12</v>
      </c>
      <c r="O953" s="8">
        <v>0.13639999999999999</v>
      </c>
      <c r="P953" s="8">
        <v>0.93</v>
      </c>
      <c r="Q953" s="8">
        <v>0.19400000000000001</v>
      </c>
      <c r="R953" s="6">
        <v>1</v>
      </c>
      <c r="S953" s="6">
        <v>1</v>
      </c>
      <c r="T953" s="6">
        <v>2</v>
      </c>
      <c r="U953" s="8">
        <f t="shared" si="146"/>
        <v>-0.51295812847461175</v>
      </c>
      <c r="V953" s="8" t="str">
        <f t="shared" si="147"/>
        <v>Normal</v>
      </c>
      <c r="W953" s="8">
        <f t="shared" si="148"/>
        <v>-1.0937285529489083</v>
      </c>
      <c r="X953" s="8" t="str">
        <f t="shared" si="149"/>
        <v>Normal</v>
      </c>
    </row>
    <row r="954" spans="1:24" x14ac:dyDescent="0.25">
      <c r="A954" s="6">
        <v>953</v>
      </c>
      <c r="B954" s="7">
        <v>40586</v>
      </c>
      <c r="C954" s="6">
        <v>2</v>
      </c>
      <c r="D954" s="6" t="str">
        <f t="shared" si="140"/>
        <v>february</v>
      </c>
      <c r="E954" s="6">
        <v>7</v>
      </c>
      <c r="F954" s="6" t="str">
        <f t="shared" si="141"/>
        <v>Early Morning</v>
      </c>
      <c r="G954" s="6" t="b">
        <v>0</v>
      </c>
      <c r="H954" s="6">
        <f t="shared" si="142"/>
        <v>0</v>
      </c>
      <c r="I954" s="6">
        <v>6</v>
      </c>
      <c r="J954" s="6" t="str">
        <f t="shared" si="143"/>
        <v>Saturday</v>
      </c>
      <c r="K954" s="6">
        <f t="shared" si="144"/>
        <v>1</v>
      </c>
      <c r="L954" s="6">
        <v>1</v>
      </c>
      <c r="M954" s="6" t="str">
        <f t="shared" si="145"/>
        <v>Partly cloudy</v>
      </c>
      <c r="N954" s="8">
        <v>0.12</v>
      </c>
      <c r="O954" s="8">
        <v>0.1515</v>
      </c>
      <c r="P954" s="8">
        <v>0.8</v>
      </c>
      <c r="Q954" s="8">
        <v>0.1045</v>
      </c>
      <c r="R954" s="6">
        <v>2</v>
      </c>
      <c r="S954" s="6">
        <v>9</v>
      </c>
      <c r="T954" s="6">
        <v>11</v>
      </c>
      <c r="U954" s="8">
        <f t="shared" si="146"/>
        <v>-0.38213483633622569</v>
      </c>
      <c r="V954" s="8" t="str">
        <f t="shared" si="147"/>
        <v>Normal</v>
      </c>
      <c r="W954" s="8">
        <f t="shared" si="148"/>
        <v>-0.92669290352846156</v>
      </c>
      <c r="X954" s="8" t="str">
        <f t="shared" si="149"/>
        <v>Normal</v>
      </c>
    </row>
    <row r="955" spans="1:24" x14ac:dyDescent="0.25">
      <c r="A955" s="6">
        <v>954</v>
      </c>
      <c r="B955" s="7">
        <v>40586</v>
      </c>
      <c r="C955" s="6">
        <v>2</v>
      </c>
      <c r="D955" s="6" t="str">
        <f t="shared" si="140"/>
        <v>february</v>
      </c>
      <c r="E955" s="6">
        <v>8</v>
      </c>
      <c r="F955" s="6" t="str">
        <f t="shared" si="141"/>
        <v>Morning</v>
      </c>
      <c r="G955" s="6" t="b">
        <v>0</v>
      </c>
      <c r="H955" s="6">
        <f t="shared" si="142"/>
        <v>0</v>
      </c>
      <c r="I955" s="6">
        <v>6</v>
      </c>
      <c r="J955" s="6" t="str">
        <f t="shared" si="143"/>
        <v>Saturday</v>
      </c>
      <c r="K955" s="6">
        <f t="shared" si="144"/>
        <v>1</v>
      </c>
      <c r="L955" s="6">
        <v>1</v>
      </c>
      <c r="M955" s="6" t="str">
        <f t="shared" si="145"/>
        <v>Partly cloudy</v>
      </c>
      <c r="N955" s="8">
        <v>0.14000000000000001</v>
      </c>
      <c r="O955" s="8">
        <v>0.1515</v>
      </c>
      <c r="P955" s="8">
        <v>0.86</v>
      </c>
      <c r="Q955" s="8">
        <v>0.1343</v>
      </c>
      <c r="R955" s="6">
        <v>2</v>
      </c>
      <c r="S955" s="6">
        <v>28</v>
      </c>
      <c r="T955" s="6">
        <v>30</v>
      </c>
      <c r="U955" s="8">
        <f t="shared" si="146"/>
        <v>-0.38213483633622569</v>
      </c>
      <c r="V955" s="8" t="str">
        <f t="shared" si="147"/>
        <v>Normal</v>
      </c>
      <c r="W955" s="8">
        <f t="shared" si="148"/>
        <v>-0.52998323615490028</v>
      </c>
      <c r="X955" s="8" t="str">
        <f t="shared" si="149"/>
        <v>Normal</v>
      </c>
    </row>
    <row r="956" spans="1:24" x14ac:dyDescent="0.25">
      <c r="A956" s="6">
        <v>955</v>
      </c>
      <c r="B956" s="7">
        <v>40586</v>
      </c>
      <c r="C956" s="6">
        <v>2</v>
      </c>
      <c r="D956" s="6" t="str">
        <f t="shared" si="140"/>
        <v>february</v>
      </c>
      <c r="E956" s="6">
        <v>9</v>
      </c>
      <c r="F956" s="6" t="str">
        <f t="shared" si="141"/>
        <v>Morning</v>
      </c>
      <c r="G956" s="6" t="b">
        <v>0</v>
      </c>
      <c r="H956" s="6">
        <f t="shared" si="142"/>
        <v>0</v>
      </c>
      <c r="I956" s="6">
        <v>6</v>
      </c>
      <c r="J956" s="6" t="str">
        <f t="shared" si="143"/>
        <v>Saturday</v>
      </c>
      <c r="K956" s="6">
        <f t="shared" si="144"/>
        <v>1</v>
      </c>
      <c r="L956" s="6">
        <v>1</v>
      </c>
      <c r="M956" s="6" t="str">
        <f t="shared" si="145"/>
        <v>Partly cloudy</v>
      </c>
      <c r="N956" s="8">
        <v>0.16</v>
      </c>
      <c r="O956" s="8">
        <v>0.18179999999999999</v>
      </c>
      <c r="P956" s="8">
        <v>0.64</v>
      </c>
      <c r="Q956" s="8">
        <v>0.1343</v>
      </c>
      <c r="R956" s="6">
        <v>5</v>
      </c>
      <c r="S956" s="6">
        <v>38</v>
      </c>
      <c r="T956" s="6">
        <v>43</v>
      </c>
      <c r="U956" s="8">
        <f t="shared" si="146"/>
        <v>1.0335040078932463E-2</v>
      </c>
      <c r="V956" s="8" t="str">
        <f t="shared" si="147"/>
        <v>Normal</v>
      </c>
      <c r="W956" s="8">
        <f t="shared" si="148"/>
        <v>-0.32118867437934173</v>
      </c>
      <c r="X956" s="8" t="str">
        <f t="shared" si="149"/>
        <v>Normal</v>
      </c>
    </row>
    <row r="957" spans="1:24" x14ac:dyDescent="0.25">
      <c r="A957" s="6">
        <v>956</v>
      </c>
      <c r="B957" s="7">
        <v>40586</v>
      </c>
      <c r="C957" s="6">
        <v>2</v>
      </c>
      <c r="D957" s="6" t="str">
        <f t="shared" si="140"/>
        <v>february</v>
      </c>
      <c r="E957" s="6">
        <v>10</v>
      </c>
      <c r="F957" s="6" t="str">
        <f t="shared" si="141"/>
        <v>Morning</v>
      </c>
      <c r="G957" s="6" t="b">
        <v>0</v>
      </c>
      <c r="H957" s="6">
        <f t="shared" si="142"/>
        <v>0</v>
      </c>
      <c r="I957" s="6">
        <v>6</v>
      </c>
      <c r="J957" s="6" t="str">
        <f t="shared" si="143"/>
        <v>Saturday</v>
      </c>
      <c r="K957" s="6">
        <f t="shared" si="144"/>
        <v>1</v>
      </c>
      <c r="L957" s="6">
        <v>1</v>
      </c>
      <c r="M957" s="6" t="str">
        <f t="shared" si="145"/>
        <v>Partly cloudy</v>
      </c>
      <c r="N957" s="8">
        <v>0.22</v>
      </c>
      <c r="O957" s="8">
        <v>0.21210000000000001</v>
      </c>
      <c r="P957" s="8">
        <v>0.41</v>
      </c>
      <c r="Q957" s="8">
        <v>0.25369999999999998</v>
      </c>
      <c r="R957" s="6">
        <v>13</v>
      </c>
      <c r="S957" s="6">
        <v>71</v>
      </c>
      <c r="T957" s="6">
        <v>84</v>
      </c>
      <c r="U957" s="8">
        <f t="shared" si="146"/>
        <v>1.0569213771860211</v>
      </c>
      <c r="V957" s="8" t="str">
        <f t="shared" si="147"/>
        <v>Normal</v>
      </c>
      <c r="W957" s="8">
        <f t="shared" si="148"/>
        <v>0.36783337948000144</v>
      </c>
      <c r="X957" s="8" t="str">
        <f t="shared" si="149"/>
        <v>Normal</v>
      </c>
    </row>
    <row r="958" spans="1:24" x14ac:dyDescent="0.25">
      <c r="A958" s="6">
        <v>957</v>
      </c>
      <c r="B958" s="7">
        <v>40586</v>
      </c>
      <c r="C958" s="6">
        <v>2</v>
      </c>
      <c r="D958" s="6" t="str">
        <f t="shared" si="140"/>
        <v>february</v>
      </c>
      <c r="E958" s="6">
        <v>11</v>
      </c>
      <c r="F958" s="6" t="str">
        <f t="shared" si="141"/>
        <v>Morning</v>
      </c>
      <c r="G958" s="6" t="b">
        <v>0</v>
      </c>
      <c r="H958" s="6">
        <f t="shared" si="142"/>
        <v>0</v>
      </c>
      <c r="I958" s="6">
        <v>6</v>
      </c>
      <c r="J958" s="6" t="str">
        <f t="shared" si="143"/>
        <v>Saturday</v>
      </c>
      <c r="K958" s="6">
        <f t="shared" si="144"/>
        <v>1</v>
      </c>
      <c r="L958" s="6">
        <v>1</v>
      </c>
      <c r="M958" s="6" t="str">
        <f t="shared" si="145"/>
        <v>Partly cloudy</v>
      </c>
      <c r="N958" s="8">
        <v>0.3</v>
      </c>
      <c r="O958" s="8">
        <v>0.2727</v>
      </c>
      <c r="P958" s="8">
        <v>0.28000000000000003</v>
      </c>
      <c r="Q958" s="8">
        <v>0.32840000000000003</v>
      </c>
      <c r="R958" s="6">
        <v>30</v>
      </c>
      <c r="S958" s="6">
        <v>84</v>
      </c>
      <c r="T958" s="6">
        <v>114</v>
      </c>
      <c r="U958" s="8">
        <f t="shared" si="146"/>
        <v>3.2809173435385839</v>
      </c>
      <c r="V958" s="8" t="str">
        <f t="shared" si="147"/>
        <v>Peak</v>
      </c>
      <c r="W958" s="8">
        <f t="shared" si="148"/>
        <v>0.63926630978822752</v>
      </c>
      <c r="X958" s="8" t="str">
        <f t="shared" si="149"/>
        <v>Normal</v>
      </c>
    </row>
    <row r="959" spans="1:24" x14ac:dyDescent="0.25">
      <c r="A959" s="6">
        <v>958</v>
      </c>
      <c r="B959" s="7">
        <v>40586</v>
      </c>
      <c r="C959" s="6">
        <v>2</v>
      </c>
      <c r="D959" s="6" t="str">
        <f t="shared" si="140"/>
        <v>february</v>
      </c>
      <c r="E959" s="6">
        <v>12</v>
      </c>
      <c r="F959" s="6" t="str">
        <f t="shared" si="141"/>
        <v>Afternoon</v>
      </c>
      <c r="G959" s="6" t="b">
        <v>0</v>
      </c>
      <c r="H959" s="6">
        <f t="shared" si="142"/>
        <v>0</v>
      </c>
      <c r="I959" s="6">
        <v>6</v>
      </c>
      <c r="J959" s="6" t="str">
        <f t="shared" si="143"/>
        <v>Saturday</v>
      </c>
      <c r="K959" s="6">
        <f t="shared" si="144"/>
        <v>1</v>
      </c>
      <c r="L959" s="6">
        <v>1</v>
      </c>
      <c r="M959" s="6" t="str">
        <f t="shared" si="145"/>
        <v>Partly cloudy</v>
      </c>
      <c r="N959" s="8">
        <v>0.3</v>
      </c>
      <c r="O959" s="8">
        <v>0.2727</v>
      </c>
      <c r="P959" s="8">
        <v>0.39</v>
      </c>
      <c r="Q959" s="8">
        <v>0.4627</v>
      </c>
      <c r="R959" s="6">
        <v>27</v>
      </c>
      <c r="S959" s="6">
        <v>93</v>
      </c>
      <c r="T959" s="6">
        <v>120</v>
      </c>
      <c r="U959" s="8">
        <f t="shared" si="146"/>
        <v>2.8884474671234259</v>
      </c>
      <c r="V959" s="8" t="str">
        <f t="shared" si="147"/>
        <v>Peak</v>
      </c>
      <c r="W959" s="8">
        <f t="shared" si="148"/>
        <v>0.82718141538623025</v>
      </c>
      <c r="X959" s="8" t="str">
        <f t="shared" si="149"/>
        <v>Normal</v>
      </c>
    </row>
    <row r="960" spans="1:24" x14ac:dyDescent="0.25">
      <c r="A960" s="6">
        <v>959</v>
      </c>
      <c r="B960" s="7">
        <v>40586</v>
      </c>
      <c r="C960" s="6">
        <v>2</v>
      </c>
      <c r="D960" s="6" t="str">
        <f t="shared" si="140"/>
        <v>february</v>
      </c>
      <c r="E960" s="6">
        <v>13</v>
      </c>
      <c r="F960" s="6" t="str">
        <f t="shared" si="141"/>
        <v>Afternoon</v>
      </c>
      <c r="G960" s="6" t="b">
        <v>0</v>
      </c>
      <c r="H960" s="6">
        <f t="shared" si="142"/>
        <v>0</v>
      </c>
      <c r="I960" s="6">
        <v>6</v>
      </c>
      <c r="J960" s="6" t="str">
        <f t="shared" si="143"/>
        <v>Saturday</v>
      </c>
      <c r="K960" s="6">
        <f t="shared" si="144"/>
        <v>1</v>
      </c>
      <c r="L960" s="6">
        <v>1</v>
      </c>
      <c r="M960" s="6" t="str">
        <f t="shared" si="145"/>
        <v>Partly cloudy</v>
      </c>
      <c r="N960" s="8">
        <v>0.3</v>
      </c>
      <c r="O960" s="8">
        <v>0.2727</v>
      </c>
      <c r="P960" s="8">
        <v>0.39</v>
      </c>
      <c r="Q960" s="8">
        <v>0.41789999999999999</v>
      </c>
      <c r="R960" s="6">
        <v>32</v>
      </c>
      <c r="S960" s="6">
        <v>103</v>
      </c>
      <c r="T960" s="6">
        <v>135</v>
      </c>
      <c r="U960" s="8">
        <f t="shared" si="146"/>
        <v>3.542563927815356</v>
      </c>
      <c r="V960" s="8" t="str">
        <f t="shared" si="147"/>
        <v>Peak</v>
      </c>
      <c r="W960" s="8">
        <f t="shared" si="148"/>
        <v>1.0359759771617887</v>
      </c>
      <c r="X960" s="8" t="str">
        <f t="shared" si="149"/>
        <v>Normal</v>
      </c>
    </row>
    <row r="961" spans="1:24" x14ac:dyDescent="0.25">
      <c r="A961" s="6">
        <v>960</v>
      </c>
      <c r="B961" s="7">
        <v>40586</v>
      </c>
      <c r="C961" s="6">
        <v>2</v>
      </c>
      <c r="D961" s="6" t="str">
        <f t="shared" si="140"/>
        <v>february</v>
      </c>
      <c r="E961" s="6">
        <v>14</v>
      </c>
      <c r="F961" s="6" t="str">
        <f t="shared" si="141"/>
        <v>Afternoon</v>
      </c>
      <c r="G961" s="6" t="b">
        <v>0</v>
      </c>
      <c r="H961" s="6">
        <f t="shared" si="142"/>
        <v>0</v>
      </c>
      <c r="I961" s="6">
        <v>6</v>
      </c>
      <c r="J961" s="6" t="str">
        <f t="shared" si="143"/>
        <v>Saturday</v>
      </c>
      <c r="K961" s="6">
        <f t="shared" si="144"/>
        <v>1</v>
      </c>
      <c r="L961" s="6">
        <v>1</v>
      </c>
      <c r="M961" s="6" t="str">
        <f t="shared" si="145"/>
        <v>Partly cloudy</v>
      </c>
      <c r="N961" s="8">
        <v>0.34</v>
      </c>
      <c r="O961" s="8">
        <v>0.31819999999999998</v>
      </c>
      <c r="P961" s="8">
        <v>0.31</v>
      </c>
      <c r="Q961" s="8">
        <v>0.28360000000000002</v>
      </c>
      <c r="R961" s="6">
        <v>30</v>
      </c>
      <c r="S961" s="6">
        <v>90</v>
      </c>
      <c r="T961" s="6">
        <v>120</v>
      </c>
      <c r="U961" s="8">
        <f t="shared" si="146"/>
        <v>3.2809173435385839</v>
      </c>
      <c r="V961" s="8" t="str">
        <f t="shared" si="147"/>
        <v>Peak</v>
      </c>
      <c r="W961" s="8">
        <f t="shared" si="148"/>
        <v>0.76454304685356267</v>
      </c>
      <c r="X961" s="8" t="str">
        <f t="shared" si="149"/>
        <v>Normal</v>
      </c>
    </row>
    <row r="962" spans="1:24" x14ac:dyDescent="0.25">
      <c r="A962" s="6">
        <v>961</v>
      </c>
      <c r="B962" s="7">
        <v>40586</v>
      </c>
      <c r="C962" s="6">
        <v>2</v>
      </c>
      <c r="D962" s="6" t="str">
        <f t="shared" ref="D962:D1001" si="150">IF(C962=1,"january",IF(C962=2,"february"))</f>
        <v>february</v>
      </c>
      <c r="E962" s="6">
        <v>15</v>
      </c>
      <c r="F962" s="6" t="str">
        <f t="shared" ref="F962:F1001" si="151">IF(AND(E962&gt;=5,E962&lt;8),"Early Morning", IF(AND(E962&gt;=8,E962&lt;12),"Morning", IF(AND(E962&gt;=12,E962&lt;17),"Afternoon", IF(AND(E962&gt;=17,E962&lt;21),"Evening","Night"))))</f>
        <v>Afternoon</v>
      </c>
      <c r="G962" s="6" t="b">
        <v>0</v>
      </c>
      <c r="H962" s="6">
        <f t="shared" ref="H962:H1001" si="152">IF(G962=FALSE,0,IF(G962=TRUE,1))</f>
        <v>0</v>
      </c>
      <c r="I962" s="6">
        <v>6</v>
      </c>
      <c r="J962" s="6" t="str">
        <f t="shared" ref="J962:J1001" si="153">TEXT(B962,"dddd")</f>
        <v>Saturday</v>
      </c>
      <c r="K962" s="6">
        <f t="shared" ref="K962:K1001" si="154">IF(OR(J962="Saturday",J962="Sunday"),1,0)</f>
        <v>1</v>
      </c>
      <c r="L962" s="6">
        <v>1</v>
      </c>
      <c r="M962" s="6" t="str">
        <f t="shared" ref="M962:M1001" si="155">IF(L962=0,"clear sky",IF(L962=1,"Partly cloudy",IF(L962=2,"Cloudy",IF(L962=3,"Light rain",IF(L962=4,"Heavy rain")))))</f>
        <v>Partly cloudy</v>
      </c>
      <c r="N962" s="8">
        <v>0.34</v>
      </c>
      <c r="O962" s="8">
        <v>0.30299999999999999</v>
      </c>
      <c r="P962" s="8">
        <v>0.28999999999999998</v>
      </c>
      <c r="Q962" s="8">
        <v>0.41789999999999999</v>
      </c>
      <c r="R962" s="6">
        <v>47</v>
      </c>
      <c r="S962" s="6">
        <v>127</v>
      </c>
      <c r="T962" s="6">
        <v>174</v>
      </c>
      <c r="U962" s="8">
        <f t="shared" ref="U962:U1001" si="156">(R962-$AA$7)/$AA$9</f>
        <v>5.5049133098911467</v>
      </c>
      <c r="V962" s="8" t="str">
        <f t="shared" ref="V962:V1001" si="157">IF(ABS(U962)&gt;2,"Peak","Normal")</f>
        <v>Peak</v>
      </c>
      <c r="W962" s="8">
        <f t="shared" ref="W962:W1001" si="158">(S962-$AA$11)/$AA$13</f>
        <v>1.5370829254231291</v>
      </c>
      <c r="X962" s="8" t="str">
        <f t="shared" ref="X962:X1001" si="159">IF(ABS(W962)&gt;2,"Peak","Normal")</f>
        <v>Normal</v>
      </c>
    </row>
    <row r="963" spans="1:24" x14ac:dyDescent="0.25">
      <c r="A963" s="6">
        <v>962</v>
      </c>
      <c r="B963" s="7">
        <v>40586</v>
      </c>
      <c r="C963" s="6">
        <v>2</v>
      </c>
      <c r="D963" s="6" t="str">
        <f t="shared" si="150"/>
        <v>february</v>
      </c>
      <c r="E963" s="6">
        <v>16</v>
      </c>
      <c r="F963" s="6" t="str">
        <f t="shared" si="151"/>
        <v>Afternoon</v>
      </c>
      <c r="G963" s="6" t="b">
        <v>0</v>
      </c>
      <c r="H963" s="6">
        <f t="shared" si="152"/>
        <v>0</v>
      </c>
      <c r="I963" s="6">
        <v>6</v>
      </c>
      <c r="J963" s="6" t="str">
        <f t="shared" si="153"/>
        <v>Saturday</v>
      </c>
      <c r="K963" s="6">
        <f t="shared" si="154"/>
        <v>1</v>
      </c>
      <c r="L963" s="6">
        <v>1</v>
      </c>
      <c r="M963" s="6" t="str">
        <f t="shared" si="155"/>
        <v>Partly cloudy</v>
      </c>
      <c r="N963" s="8">
        <v>0.34</v>
      </c>
      <c r="O963" s="8">
        <v>0.30299999999999999</v>
      </c>
      <c r="P963" s="8">
        <v>0.28999999999999998</v>
      </c>
      <c r="Q963" s="8">
        <v>0.41789999999999999</v>
      </c>
      <c r="R963" s="6">
        <v>42</v>
      </c>
      <c r="S963" s="6">
        <v>103</v>
      </c>
      <c r="T963" s="6">
        <v>145</v>
      </c>
      <c r="U963" s="8">
        <f t="shared" si="156"/>
        <v>4.8507968491992166</v>
      </c>
      <c r="V963" s="8" t="str">
        <f t="shared" si="157"/>
        <v>Peak</v>
      </c>
      <c r="W963" s="8">
        <f t="shared" si="158"/>
        <v>1.0359759771617887</v>
      </c>
      <c r="X963" s="8" t="str">
        <f t="shared" si="159"/>
        <v>Normal</v>
      </c>
    </row>
    <row r="964" spans="1:24" x14ac:dyDescent="0.25">
      <c r="A964" s="6">
        <v>963</v>
      </c>
      <c r="B964" s="7">
        <v>40586</v>
      </c>
      <c r="C964" s="6">
        <v>2</v>
      </c>
      <c r="D964" s="6" t="str">
        <f t="shared" si="150"/>
        <v>february</v>
      </c>
      <c r="E964" s="6">
        <v>17</v>
      </c>
      <c r="F964" s="6" t="str">
        <f t="shared" si="151"/>
        <v>Evening</v>
      </c>
      <c r="G964" s="6" t="b">
        <v>0</v>
      </c>
      <c r="H964" s="6">
        <f t="shared" si="152"/>
        <v>0</v>
      </c>
      <c r="I964" s="6">
        <v>6</v>
      </c>
      <c r="J964" s="6" t="str">
        <f t="shared" si="153"/>
        <v>Saturday</v>
      </c>
      <c r="K964" s="6">
        <f t="shared" si="154"/>
        <v>1</v>
      </c>
      <c r="L964" s="6">
        <v>1</v>
      </c>
      <c r="M964" s="6" t="str">
        <f t="shared" si="155"/>
        <v>Partly cloudy</v>
      </c>
      <c r="N964" s="8">
        <v>0.32</v>
      </c>
      <c r="O964" s="8">
        <v>0.28789999999999999</v>
      </c>
      <c r="P964" s="8">
        <v>0.31</v>
      </c>
      <c r="Q964" s="8">
        <v>0.52239999999999998</v>
      </c>
      <c r="R964" s="6">
        <v>24</v>
      </c>
      <c r="S964" s="6">
        <v>113</v>
      </c>
      <c r="T964" s="6">
        <v>137</v>
      </c>
      <c r="U964" s="8">
        <f t="shared" si="156"/>
        <v>2.4959775907082675</v>
      </c>
      <c r="V964" s="8" t="str">
        <f t="shared" si="157"/>
        <v>Peak</v>
      </c>
      <c r="W964" s="8">
        <f t="shared" si="158"/>
        <v>1.2447705389373473</v>
      </c>
      <c r="X964" s="8" t="str">
        <f t="shared" si="159"/>
        <v>Normal</v>
      </c>
    </row>
    <row r="965" spans="1:24" x14ac:dyDescent="0.25">
      <c r="A965" s="6">
        <v>964</v>
      </c>
      <c r="B965" s="7">
        <v>40586</v>
      </c>
      <c r="C965" s="6">
        <v>2</v>
      </c>
      <c r="D965" s="6" t="str">
        <f t="shared" si="150"/>
        <v>february</v>
      </c>
      <c r="E965" s="6">
        <v>18</v>
      </c>
      <c r="F965" s="6" t="str">
        <f t="shared" si="151"/>
        <v>Evening</v>
      </c>
      <c r="G965" s="6" t="b">
        <v>0</v>
      </c>
      <c r="H965" s="6">
        <f t="shared" si="152"/>
        <v>0</v>
      </c>
      <c r="I965" s="6">
        <v>6</v>
      </c>
      <c r="J965" s="6" t="str">
        <f t="shared" si="153"/>
        <v>Saturday</v>
      </c>
      <c r="K965" s="6">
        <f t="shared" si="154"/>
        <v>1</v>
      </c>
      <c r="L965" s="6">
        <v>1</v>
      </c>
      <c r="M965" s="6" t="str">
        <f t="shared" si="155"/>
        <v>Partly cloudy</v>
      </c>
      <c r="N965" s="8">
        <v>0.28000000000000003</v>
      </c>
      <c r="O965" s="8">
        <v>0.2576</v>
      </c>
      <c r="P965" s="8">
        <v>0.38</v>
      </c>
      <c r="Q965" s="8">
        <v>0.32840000000000003</v>
      </c>
      <c r="R965" s="6">
        <v>4</v>
      </c>
      <c r="S965" s="6">
        <v>60</v>
      </c>
      <c r="T965" s="6">
        <v>64</v>
      </c>
      <c r="U965" s="8">
        <f t="shared" si="156"/>
        <v>-0.1204882520594536</v>
      </c>
      <c r="V965" s="8" t="str">
        <f t="shared" si="157"/>
        <v>Normal</v>
      </c>
      <c r="W965" s="8">
        <f t="shared" si="158"/>
        <v>0.13815936152688704</v>
      </c>
      <c r="X965" s="8" t="str">
        <f t="shared" si="159"/>
        <v>Normal</v>
      </c>
    </row>
    <row r="966" spans="1:24" x14ac:dyDescent="0.25">
      <c r="A966" s="6">
        <v>965</v>
      </c>
      <c r="B966" s="7">
        <v>40586</v>
      </c>
      <c r="C966" s="6">
        <v>2</v>
      </c>
      <c r="D966" s="6" t="str">
        <f t="shared" si="150"/>
        <v>february</v>
      </c>
      <c r="E966" s="6">
        <v>19</v>
      </c>
      <c r="F966" s="6" t="str">
        <f t="shared" si="151"/>
        <v>Evening</v>
      </c>
      <c r="G966" s="6" t="b">
        <v>0</v>
      </c>
      <c r="H966" s="6">
        <f t="shared" si="152"/>
        <v>0</v>
      </c>
      <c r="I966" s="6">
        <v>6</v>
      </c>
      <c r="J966" s="6" t="str">
        <f t="shared" si="153"/>
        <v>Saturday</v>
      </c>
      <c r="K966" s="6">
        <f t="shared" si="154"/>
        <v>1</v>
      </c>
      <c r="L966" s="6">
        <v>1</v>
      </c>
      <c r="M966" s="6" t="str">
        <f t="shared" si="155"/>
        <v>Partly cloudy</v>
      </c>
      <c r="N966" s="8">
        <v>0.28000000000000003</v>
      </c>
      <c r="O966" s="8">
        <v>0.2727</v>
      </c>
      <c r="P966" s="8">
        <v>0.38</v>
      </c>
      <c r="Q966" s="8">
        <v>0.16420000000000001</v>
      </c>
      <c r="R966" s="6">
        <v>2</v>
      </c>
      <c r="S966" s="6">
        <v>39</v>
      </c>
      <c r="T966" s="6">
        <v>41</v>
      </c>
      <c r="U966" s="8">
        <f t="shared" si="156"/>
        <v>-0.38213483633622569</v>
      </c>
      <c r="V966" s="8" t="str">
        <f t="shared" si="157"/>
        <v>Normal</v>
      </c>
      <c r="W966" s="8">
        <f t="shared" si="158"/>
        <v>-0.30030921820178591</v>
      </c>
      <c r="X966" s="8" t="str">
        <f t="shared" si="159"/>
        <v>Normal</v>
      </c>
    </row>
    <row r="967" spans="1:24" x14ac:dyDescent="0.25">
      <c r="A967" s="6">
        <v>966</v>
      </c>
      <c r="B967" s="7">
        <v>40586</v>
      </c>
      <c r="C967" s="6">
        <v>2</v>
      </c>
      <c r="D967" s="6" t="str">
        <f t="shared" si="150"/>
        <v>february</v>
      </c>
      <c r="E967" s="6">
        <v>20</v>
      </c>
      <c r="F967" s="6" t="str">
        <f t="shared" si="151"/>
        <v>Evening</v>
      </c>
      <c r="G967" s="6" t="b">
        <v>0</v>
      </c>
      <c r="H967" s="6">
        <f t="shared" si="152"/>
        <v>0</v>
      </c>
      <c r="I967" s="6">
        <v>6</v>
      </c>
      <c r="J967" s="6" t="str">
        <f t="shared" si="153"/>
        <v>Saturday</v>
      </c>
      <c r="K967" s="6">
        <f t="shared" si="154"/>
        <v>1</v>
      </c>
      <c r="L967" s="6">
        <v>1</v>
      </c>
      <c r="M967" s="6" t="str">
        <f t="shared" si="155"/>
        <v>Partly cloudy</v>
      </c>
      <c r="N967" s="8">
        <v>0.26</v>
      </c>
      <c r="O967" s="8">
        <v>0.2576</v>
      </c>
      <c r="P967" s="8">
        <v>0.41</v>
      </c>
      <c r="Q967" s="8">
        <v>0.22389999999999999</v>
      </c>
      <c r="R967" s="6">
        <v>1</v>
      </c>
      <c r="S967" s="6">
        <v>39</v>
      </c>
      <c r="T967" s="6">
        <v>40</v>
      </c>
      <c r="U967" s="8">
        <f t="shared" si="156"/>
        <v>-0.51295812847461175</v>
      </c>
      <c r="V967" s="8" t="str">
        <f t="shared" si="157"/>
        <v>Normal</v>
      </c>
      <c r="W967" s="8">
        <f t="shared" si="158"/>
        <v>-0.30030921820178591</v>
      </c>
      <c r="X967" s="8" t="str">
        <f t="shared" si="159"/>
        <v>Normal</v>
      </c>
    </row>
    <row r="968" spans="1:24" x14ac:dyDescent="0.25">
      <c r="A968" s="6">
        <v>967</v>
      </c>
      <c r="B968" s="7">
        <v>40586</v>
      </c>
      <c r="C968" s="6">
        <v>2</v>
      </c>
      <c r="D968" s="6" t="str">
        <f t="shared" si="150"/>
        <v>february</v>
      </c>
      <c r="E968" s="6">
        <v>21</v>
      </c>
      <c r="F968" s="6" t="str">
        <f t="shared" si="151"/>
        <v>Night</v>
      </c>
      <c r="G968" s="6" t="b">
        <v>0</v>
      </c>
      <c r="H968" s="6">
        <f t="shared" si="152"/>
        <v>0</v>
      </c>
      <c r="I968" s="6">
        <v>6</v>
      </c>
      <c r="J968" s="6" t="str">
        <f t="shared" si="153"/>
        <v>Saturday</v>
      </c>
      <c r="K968" s="6">
        <f t="shared" si="154"/>
        <v>1</v>
      </c>
      <c r="L968" s="6">
        <v>1</v>
      </c>
      <c r="M968" s="6" t="str">
        <f t="shared" si="155"/>
        <v>Partly cloudy</v>
      </c>
      <c r="N968" s="8">
        <v>0.26</v>
      </c>
      <c r="O968" s="8">
        <v>0.30299999999999999</v>
      </c>
      <c r="P968" s="8">
        <v>0.41</v>
      </c>
      <c r="Q968" s="8">
        <v>0</v>
      </c>
      <c r="R968" s="6">
        <v>9</v>
      </c>
      <c r="S968" s="6">
        <v>42</v>
      </c>
      <c r="T968" s="6">
        <v>51</v>
      </c>
      <c r="U968" s="8">
        <f t="shared" si="156"/>
        <v>0.53362820863247673</v>
      </c>
      <c r="V968" s="8" t="str">
        <f t="shared" si="157"/>
        <v>Normal</v>
      </c>
      <c r="W968" s="8">
        <f t="shared" si="158"/>
        <v>-0.23767084966911833</v>
      </c>
      <c r="X968" s="8" t="str">
        <f t="shared" si="159"/>
        <v>Normal</v>
      </c>
    </row>
    <row r="969" spans="1:24" x14ac:dyDescent="0.25">
      <c r="A969" s="6">
        <v>968</v>
      </c>
      <c r="B969" s="7">
        <v>40586</v>
      </c>
      <c r="C969" s="6">
        <v>2</v>
      </c>
      <c r="D969" s="6" t="str">
        <f t="shared" si="150"/>
        <v>february</v>
      </c>
      <c r="E969" s="6">
        <v>22</v>
      </c>
      <c r="F969" s="6" t="str">
        <f t="shared" si="151"/>
        <v>Night</v>
      </c>
      <c r="G969" s="6" t="b">
        <v>0</v>
      </c>
      <c r="H969" s="6">
        <f t="shared" si="152"/>
        <v>0</v>
      </c>
      <c r="I969" s="6">
        <v>6</v>
      </c>
      <c r="J969" s="6" t="str">
        <f t="shared" si="153"/>
        <v>Saturday</v>
      </c>
      <c r="K969" s="6">
        <f t="shared" si="154"/>
        <v>1</v>
      </c>
      <c r="L969" s="6">
        <v>1</v>
      </c>
      <c r="M969" s="6" t="str">
        <f t="shared" si="155"/>
        <v>Partly cloudy</v>
      </c>
      <c r="N969" s="8">
        <v>0.24</v>
      </c>
      <c r="O969" s="8">
        <v>0.2576</v>
      </c>
      <c r="P969" s="8">
        <v>0.44</v>
      </c>
      <c r="Q969" s="8">
        <v>8.9599999999999999E-2</v>
      </c>
      <c r="R969" s="6">
        <v>6</v>
      </c>
      <c r="S969" s="6">
        <v>39</v>
      </c>
      <c r="T969" s="6">
        <v>45</v>
      </c>
      <c r="U969" s="8">
        <f t="shared" si="156"/>
        <v>0.14115833221731852</v>
      </c>
      <c r="V969" s="8" t="str">
        <f t="shared" si="157"/>
        <v>Normal</v>
      </c>
      <c r="W969" s="8">
        <f t="shared" si="158"/>
        <v>-0.30030921820178591</v>
      </c>
      <c r="X969" s="8" t="str">
        <f t="shared" si="159"/>
        <v>Normal</v>
      </c>
    </row>
    <row r="970" spans="1:24" x14ac:dyDescent="0.25">
      <c r="A970" s="6">
        <v>969</v>
      </c>
      <c r="B970" s="7">
        <v>40586</v>
      </c>
      <c r="C970" s="6">
        <v>2</v>
      </c>
      <c r="D970" s="6" t="str">
        <f t="shared" si="150"/>
        <v>february</v>
      </c>
      <c r="E970" s="6">
        <v>23</v>
      </c>
      <c r="F970" s="6" t="str">
        <f t="shared" si="151"/>
        <v>Night</v>
      </c>
      <c r="G970" s="6" t="b">
        <v>0</v>
      </c>
      <c r="H970" s="6">
        <f t="shared" si="152"/>
        <v>0</v>
      </c>
      <c r="I970" s="6">
        <v>6</v>
      </c>
      <c r="J970" s="6" t="str">
        <f t="shared" si="153"/>
        <v>Saturday</v>
      </c>
      <c r="K970" s="6">
        <f t="shared" si="154"/>
        <v>1</v>
      </c>
      <c r="L970" s="6">
        <v>1</v>
      </c>
      <c r="M970" s="6" t="str">
        <f t="shared" si="155"/>
        <v>Partly cloudy</v>
      </c>
      <c r="N970" s="8">
        <v>0.22</v>
      </c>
      <c r="O970" s="8">
        <v>0.2273</v>
      </c>
      <c r="P970" s="8">
        <v>0.51</v>
      </c>
      <c r="Q970" s="8">
        <v>0.1343</v>
      </c>
      <c r="R970" s="6">
        <v>1</v>
      </c>
      <c r="S970" s="6">
        <v>31</v>
      </c>
      <c r="T970" s="6">
        <v>32</v>
      </c>
      <c r="U970" s="8">
        <f t="shared" si="156"/>
        <v>-0.51295812847461175</v>
      </c>
      <c r="V970" s="8" t="str">
        <f t="shared" si="157"/>
        <v>Normal</v>
      </c>
      <c r="W970" s="8">
        <f t="shared" si="158"/>
        <v>-0.46734486762223271</v>
      </c>
      <c r="X970" s="8" t="str">
        <f t="shared" si="159"/>
        <v>Normal</v>
      </c>
    </row>
    <row r="971" spans="1:24" x14ac:dyDescent="0.25">
      <c r="A971" s="6">
        <v>970</v>
      </c>
      <c r="B971" s="7">
        <v>40587</v>
      </c>
      <c r="C971" s="6">
        <v>2</v>
      </c>
      <c r="D971" s="6" t="str">
        <f t="shared" si="150"/>
        <v>february</v>
      </c>
      <c r="E971" s="6">
        <v>0</v>
      </c>
      <c r="F971" s="6" t="str">
        <f t="shared" si="151"/>
        <v>Night</v>
      </c>
      <c r="G971" s="6" t="b">
        <v>0</v>
      </c>
      <c r="H971" s="6">
        <f t="shared" si="152"/>
        <v>0</v>
      </c>
      <c r="I971" s="6">
        <v>0</v>
      </c>
      <c r="J971" s="6" t="str">
        <f t="shared" si="153"/>
        <v>Sunday</v>
      </c>
      <c r="K971" s="6">
        <f t="shared" si="154"/>
        <v>1</v>
      </c>
      <c r="L971" s="6">
        <v>1</v>
      </c>
      <c r="M971" s="6" t="str">
        <f t="shared" si="155"/>
        <v>Partly cloudy</v>
      </c>
      <c r="N971" s="8">
        <v>0.2</v>
      </c>
      <c r="O971" s="8">
        <v>0.2273</v>
      </c>
      <c r="P971" s="8">
        <v>0.64</v>
      </c>
      <c r="Q971" s="8">
        <v>0.1045</v>
      </c>
      <c r="R971" s="6">
        <v>5</v>
      </c>
      <c r="S971" s="6">
        <v>34</v>
      </c>
      <c r="T971" s="6">
        <v>39</v>
      </c>
      <c r="U971" s="8">
        <f t="shared" si="156"/>
        <v>1.0335040078932463E-2</v>
      </c>
      <c r="V971" s="8" t="str">
        <f t="shared" si="157"/>
        <v>Normal</v>
      </c>
      <c r="W971" s="8">
        <f t="shared" si="158"/>
        <v>-0.40470649908956519</v>
      </c>
      <c r="X971" s="8" t="str">
        <f t="shared" si="159"/>
        <v>Normal</v>
      </c>
    </row>
    <row r="972" spans="1:24" x14ac:dyDescent="0.25">
      <c r="A972" s="6">
        <v>971</v>
      </c>
      <c r="B972" s="7">
        <v>40587</v>
      </c>
      <c r="C972" s="6">
        <v>2</v>
      </c>
      <c r="D972" s="6" t="str">
        <f t="shared" si="150"/>
        <v>february</v>
      </c>
      <c r="E972" s="6">
        <v>1</v>
      </c>
      <c r="F972" s="6" t="str">
        <f t="shared" si="151"/>
        <v>Night</v>
      </c>
      <c r="G972" s="6" t="b">
        <v>0</v>
      </c>
      <c r="H972" s="6">
        <f t="shared" si="152"/>
        <v>0</v>
      </c>
      <c r="I972" s="6">
        <v>0</v>
      </c>
      <c r="J972" s="6" t="str">
        <f t="shared" si="153"/>
        <v>Sunday</v>
      </c>
      <c r="K972" s="6">
        <f t="shared" si="154"/>
        <v>1</v>
      </c>
      <c r="L972" s="6">
        <v>1</v>
      </c>
      <c r="M972" s="6" t="str">
        <f t="shared" si="155"/>
        <v>Partly cloudy</v>
      </c>
      <c r="N972" s="8">
        <v>0.2</v>
      </c>
      <c r="O972" s="8">
        <v>0.2273</v>
      </c>
      <c r="P972" s="8">
        <v>0.59</v>
      </c>
      <c r="Q972" s="8">
        <v>8.9599999999999999E-2</v>
      </c>
      <c r="R972" s="6">
        <v>1</v>
      </c>
      <c r="S972" s="6">
        <v>23</v>
      </c>
      <c r="T972" s="6">
        <v>24</v>
      </c>
      <c r="U972" s="8">
        <f t="shared" si="156"/>
        <v>-0.51295812847461175</v>
      </c>
      <c r="V972" s="8" t="str">
        <f t="shared" si="157"/>
        <v>Normal</v>
      </c>
      <c r="W972" s="8">
        <f t="shared" si="158"/>
        <v>-0.63438051704267961</v>
      </c>
      <c r="X972" s="8" t="str">
        <f t="shared" si="159"/>
        <v>Normal</v>
      </c>
    </row>
    <row r="973" spans="1:24" x14ac:dyDescent="0.25">
      <c r="A973" s="6">
        <v>972</v>
      </c>
      <c r="B973" s="7">
        <v>40587</v>
      </c>
      <c r="C973" s="6">
        <v>2</v>
      </c>
      <c r="D973" s="6" t="str">
        <f t="shared" si="150"/>
        <v>february</v>
      </c>
      <c r="E973" s="6">
        <v>2</v>
      </c>
      <c r="F973" s="6" t="str">
        <f t="shared" si="151"/>
        <v>Night</v>
      </c>
      <c r="G973" s="6" t="b">
        <v>0</v>
      </c>
      <c r="H973" s="6">
        <f t="shared" si="152"/>
        <v>0</v>
      </c>
      <c r="I973" s="6">
        <v>0</v>
      </c>
      <c r="J973" s="6" t="str">
        <f t="shared" si="153"/>
        <v>Sunday</v>
      </c>
      <c r="K973" s="6">
        <f t="shared" si="154"/>
        <v>1</v>
      </c>
      <c r="L973" s="6">
        <v>2</v>
      </c>
      <c r="M973" s="6" t="str">
        <f t="shared" si="155"/>
        <v>Cloudy</v>
      </c>
      <c r="N973" s="8">
        <v>0.2</v>
      </c>
      <c r="O973" s="8">
        <v>0.2273</v>
      </c>
      <c r="P973" s="8">
        <v>0.75</v>
      </c>
      <c r="Q973" s="8">
        <v>8.9599999999999999E-2</v>
      </c>
      <c r="R973" s="6">
        <v>1</v>
      </c>
      <c r="S973" s="6">
        <v>19</v>
      </c>
      <c r="T973" s="6">
        <v>20</v>
      </c>
      <c r="U973" s="8">
        <f t="shared" si="156"/>
        <v>-0.51295812847461175</v>
      </c>
      <c r="V973" s="8" t="str">
        <f t="shared" si="157"/>
        <v>Normal</v>
      </c>
      <c r="W973" s="8">
        <f t="shared" si="158"/>
        <v>-0.71789834175290301</v>
      </c>
      <c r="X973" s="8" t="str">
        <f t="shared" si="159"/>
        <v>Normal</v>
      </c>
    </row>
    <row r="974" spans="1:24" x14ac:dyDescent="0.25">
      <c r="A974" s="6">
        <v>973</v>
      </c>
      <c r="B974" s="7">
        <v>40587</v>
      </c>
      <c r="C974" s="6">
        <v>2</v>
      </c>
      <c r="D974" s="6" t="str">
        <f t="shared" si="150"/>
        <v>february</v>
      </c>
      <c r="E974" s="6">
        <v>3</v>
      </c>
      <c r="F974" s="6" t="str">
        <f t="shared" si="151"/>
        <v>Night</v>
      </c>
      <c r="G974" s="6" t="b">
        <v>0</v>
      </c>
      <c r="H974" s="6">
        <f t="shared" si="152"/>
        <v>0</v>
      </c>
      <c r="I974" s="6">
        <v>0</v>
      </c>
      <c r="J974" s="6" t="str">
        <f t="shared" si="153"/>
        <v>Sunday</v>
      </c>
      <c r="K974" s="6">
        <f t="shared" si="154"/>
        <v>1</v>
      </c>
      <c r="L974" s="6">
        <v>2</v>
      </c>
      <c r="M974" s="6" t="str">
        <f t="shared" si="155"/>
        <v>Cloudy</v>
      </c>
      <c r="N974" s="8">
        <v>0.2</v>
      </c>
      <c r="O974" s="8">
        <v>0.2273</v>
      </c>
      <c r="P974" s="8">
        <v>0.69</v>
      </c>
      <c r="Q974" s="8">
        <v>0.1045</v>
      </c>
      <c r="R974" s="6">
        <v>4</v>
      </c>
      <c r="S974" s="6">
        <v>8</v>
      </c>
      <c r="T974" s="6">
        <v>12</v>
      </c>
      <c r="U974" s="8">
        <f t="shared" si="156"/>
        <v>-0.1204882520594536</v>
      </c>
      <c r="V974" s="8" t="str">
        <f t="shared" si="157"/>
        <v>Normal</v>
      </c>
      <c r="W974" s="8">
        <f t="shared" si="158"/>
        <v>-0.94757235970601739</v>
      </c>
      <c r="X974" s="8" t="str">
        <f t="shared" si="159"/>
        <v>Normal</v>
      </c>
    </row>
    <row r="975" spans="1:24" x14ac:dyDescent="0.25">
      <c r="A975" s="6">
        <v>974</v>
      </c>
      <c r="B975" s="7">
        <v>40587</v>
      </c>
      <c r="C975" s="6">
        <v>2</v>
      </c>
      <c r="D975" s="6" t="str">
        <f t="shared" si="150"/>
        <v>february</v>
      </c>
      <c r="E975" s="6">
        <v>4</v>
      </c>
      <c r="F975" s="6" t="str">
        <f t="shared" si="151"/>
        <v>Night</v>
      </c>
      <c r="G975" s="6" t="b">
        <v>0</v>
      </c>
      <c r="H975" s="6">
        <f t="shared" si="152"/>
        <v>0</v>
      </c>
      <c r="I975" s="6">
        <v>0</v>
      </c>
      <c r="J975" s="6" t="str">
        <f t="shared" si="153"/>
        <v>Sunday</v>
      </c>
      <c r="K975" s="6">
        <f t="shared" si="154"/>
        <v>1</v>
      </c>
      <c r="L975" s="6">
        <v>2</v>
      </c>
      <c r="M975" s="6" t="str">
        <f t="shared" si="155"/>
        <v>Cloudy</v>
      </c>
      <c r="N975" s="8">
        <v>0.2</v>
      </c>
      <c r="O975" s="8">
        <v>0.21210000000000001</v>
      </c>
      <c r="P975" s="8">
        <v>0.69</v>
      </c>
      <c r="Q975" s="8">
        <v>0.16420000000000001</v>
      </c>
      <c r="R975" s="6">
        <v>0</v>
      </c>
      <c r="S975" s="6">
        <v>2</v>
      </c>
      <c r="T975" s="6">
        <v>2</v>
      </c>
      <c r="U975" s="8">
        <f t="shared" si="156"/>
        <v>-0.64378142061299781</v>
      </c>
      <c r="V975" s="8" t="str">
        <f t="shared" si="157"/>
        <v>Normal</v>
      </c>
      <c r="W975" s="8">
        <f t="shared" si="158"/>
        <v>-1.0728490967713524</v>
      </c>
      <c r="X975" s="8" t="str">
        <f t="shared" si="159"/>
        <v>Normal</v>
      </c>
    </row>
    <row r="976" spans="1:24" x14ac:dyDescent="0.25">
      <c r="A976" s="6">
        <v>975</v>
      </c>
      <c r="B976" s="7">
        <v>40587</v>
      </c>
      <c r="C976" s="6">
        <v>2</v>
      </c>
      <c r="D976" s="6" t="str">
        <f t="shared" si="150"/>
        <v>february</v>
      </c>
      <c r="E976" s="6">
        <v>6</v>
      </c>
      <c r="F976" s="6" t="str">
        <f t="shared" si="151"/>
        <v>Early Morning</v>
      </c>
      <c r="G976" s="6" t="b">
        <v>0</v>
      </c>
      <c r="H976" s="6">
        <f t="shared" si="152"/>
        <v>0</v>
      </c>
      <c r="I976" s="6">
        <v>0</v>
      </c>
      <c r="J976" s="6" t="str">
        <f t="shared" si="153"/>
        <v>Sunday</v>
      </c>
      <c r="K976" s="6">
        <f t="shared" si="154"/>
        <v>1</v>
      </c>
      <c r="L976" s="6">
        <v>2</v>
      </c>
      <c r="M976" s="6" t="str">
        <f t="shared" si="155"/>
        <v>Cloudy</v>
      </c>
      <c r="N976" s="8">
        <v>0.2</v>
      </c>
      <c r="O976" s="8">
        <v>0.21210000000000001</v>
      </c>
      <c r="P976" s="8">
        <v>0.69</v>
      </c>
      <c r="Q976" s="8">
        <v>0.1343</v>
      </c>
      <c r="R976" s="6">
        <v>2</v>
      </c>
      <c r="S976" s="6">
        <v>3</v>
      </c>
      <c r="T976" s="6">
        <v>5</v>
      </c>
      <c r="U976" s="8">
        <f t="shared" si="156"/>
        <v>-0.38213483633622569</v>
      </c>
      <c r="V976" s="8" t="str">
        <f t="shared" si="157"/>
        <v>Normal</v>
      </c>
      <c r="W976" s="8">
        <f t="shared" si="158"/>
        <v>-1.0519696405937966</v>
      </c>
      <c r="X976" s="8" t="str">
        <f t="shared" si="159"/>
        <v>Normal</v>
      </c>
    </row>
    <row r="977" spans="1:24" x14ac:dyDescent="0.25">
      <c r="A977" s="6">
        <v>976</v>
      </c>
      <c r="B977" s="7">
        <v>40587</v>
      </c>
      <c r="C977" s="6">
        <v>2</v>
      </c>
      <c r="D977" s="6" t="str">
        <f t="shared" si="150"/>
        <v>february</v>
      </c>
      <c r="E977" s="6">
        <v>7</v>
      </c>
      <c r="F977" s="6" t="str">
        <f t="shared" si="151"/>
        <v>Early Morning</v>
      </c>
      <c r="G977" s="6" t="b">
        <v>0</v>
      </c>
      <c r="H977" s="6">
        <f t="shared" si="152"/>
        <v>0</v>
      </c>
      <c r="I977" s="6">
        <v>0</v>
      </c>
      <c r="J977" s="6" t="str">
        <f t="shared" si="153"/>
        <v>Sunday</v>
      </c>
      <c r="K977" s="6">
        <f t="shared" si="154"/>
        <v>1</v>
      </c>
      <c r="L977" s="6">
        <v>2</v>
      </c>
      <c r="M977" s="6" t="str">
        <f t="shared" si="155"/>
        <v>Cloudy</v>
      </c>
      <c r="N977" s="8">
        <v>0.22</v>
      </c>
      <c r="O977" s="8">
        <v>0.2727</v>
      </c>
      <c r="P977" s="8">
        <v>0.55000000000000004</v>
      </c>
      <c r="Q977" s="8">
        <v>0</v>
      </c>
      <c r="R977" s="6">
        <v>0</v>
      </c>
      <c r="S977" s="6">
        <v>3</v>
      </c>
      <c r="T977" s="6">
        <v>3</v>
      </c>
      <c r="U977" s="8">
        <f t="shared" si="156"/>
        <v>-0.64378142061299781</v>
      </c>
      <c r="V977" s="8" t="str">
        <f t="shared" si="157"/>
        <v>Normal</v>
      </c>
      <c r="W977" s="8">
        <f t="shared" si="158"/>
        <v>-1.0519696405937966</v>
      </c>
      <c r="X977" s="8" t="str">
        <f t="shared" si="159"/>
        <v>Normal</v>
      </c>
    </row>
    <row r="978" spans="1:24" x14ac:dyDescent="0.25">
      <c r="A978" s="6">
        <v>977</v>
      </c>
      <c r="B978" s="7">
        <v>40587</v>
      </c>
      <c r="C978" s="6">
        <v>2</v>
      </c>
      <c r="D978" s="6" t="str">
        <f t="shared" si="150"/>
        <v>february</v>
      </c>
      <c r="E978" s="6">
        <v>8</v>
      </c>
      <c r="F978" s="6" t="str">
        <f t="shared" si="151"/>
        <v>Morning</v>
      </c>
      <c r="G978" s="6" t="b">
        <v>0</v>
      </c>
      <c r="H978" s="6">
        <f t="shared" si="152"/>
        <v>0</v>
      </c>
      <c r="I978" s="6">
        <v>0</v>
      </c>
      <c r="J978" s="6" t="str">
        <f t="shared" si="153"/>
        <v>Sunday</v>
      </c>
      <c r="K978" s="6">
        <f t="shared" si="154"/>
        <v>1</v>
      </c>
      <c r="L978" s="6">
        <v>2</v>
      </c>
      <c r="M978" s="6" t="str">
        <f t="shared" si="155"/>
        <v>Cloudy</v>
      </c>
      <c r="N978" s="8">
        <v>0.22</v>
      </c>
      <c r="O978" s="8">
        <v>0.2273</v>
      </c>
      <c r="P978" s="8">
        <v>0.64</v>
      </c>
      <c r="Q978" s="8">
        <v>0.19400000000000001</v>
      </c>
      <c r="R978" s="6">
        <v>1</v>
      </c>
      <c r="S978" s="6">
        <v>11</v>
      </c>
      <c r="T978" s="6">
        <v>12</v>
      </c>
      <c r="U978" s="8">
        <f t="shared" si="156"/>
        <v>-0.51295812847461175</v>
      </c>
      <c r="V978" s="8" t="str">
        <f t="shared" si="157"/>
        <v>Normal</v>
      </c>
      <c r="W978" s="8">
        <f t="shared" si="158"/>
        <v>-0.88493399117334981</v>
      </c>
      <c r="X978" s="8" t="str">
        <f t="shared" si="159"/>
        <v>Normal</v>
      </c>
    </row>
    <row r="979" spans="1:24" x14ac:dyDescent="0.25">
      <c r="A979" s="6">
        <v>978</v>
      </c>
      <c r="B979" s="7">
        <v>40587</v>
      </c>
      <c r="C979" s="6">
        <v>2</v>
      </c>
      <c r="D979" s="6" t="str">
        <f t="shared" si="150"/>
        <v>february</v>
      </c>
      <c r="E979" s="6">
        <v>9</v>
      </c>
      <c r="F979" s="6" t="str">
        <f t="shared" si="151"/>
        <v>Morning</v>
      </c>
      <c r="G979" s="6" t="b">
        <v>0</v>
      </c>
      <c r="H979" s="6">
        <f t="shared" si="152"/>
        <v>0</v>
      </c>
      <c r="I979" s="6">
        <v>0</v>
      </c>
      <c r="J979" s="6" t="str">
        <f t="shared" si="153"/>
        <v>Sunday</v>
      </c>
      <c r="K979" s="6">
        <f t="shared" si="154"/>
        <v>1</v>
      </c>
      <c r="L979" s="6">
        <v>2</v>
      </c>
      <c r="M979" s="6" t="str">
        <f t="shared" si="155"/>
        <v>Cloudy</v>
      </c>
      <c r="N979" s="8">
        <v>0.24</v>
      </c>
      <c r="O979" s="8">
        <v>0.2273</v>
      </c>
      <c r="P979" s="8">
        <v>0.6</v>
      </c>
      <c r="Q979" s="8">
        <v>0.22389999999999999</v>
      </c>
      <c r="R979" s="6">
        <v>12</v>
      </c>
      <c r="S979" s="6">
        <v>35</v>
      </c>
      <c r="T979" s="6">
        <v>47</v>
      </c>
      <c r="U979" s="8">
        <f t="shared" si="156"/>
        <v>0.92609808504763491</v>
      </c>
      <c r="V979" s="8" t="str">
        <f t="shared" si="157"/>
        <v>Normal</v>
      </c>
      <c r="W979" s="8">
        <f t="shared" si="158"/>
        <v>-0.38382704291200931</v>
      </c>
      <c r="X979" s="8" t="str">
        <f t="shared" si="159"/>
        <v>Normal</v>
      </c>
    </row>
    <row r="980" spans="1:24" x14ac:dyDescent="0.25">
      <c r="A980" s="6">
        <v>979</v>
      </c>
      <c r="B980" s="7">
        <v>40587</v>
      </c>
      <c r="C980" s="6">
        <v>2</v>
      </c>
      <c r="D980" s="6" t="str">
        <f t="shared" si="150"/>
        <v>february</v>
      </c>
      <c r="E980" s="6">
        <v>10</v>
      </c>
      <c r="F980" s="6" t="str">
        <f t="shared" si="151"/>
        <v>Morning</v>
      </c>
      <c r="G980" s="6" t="b">
        <v>0</v>
      </c>
      <c r="H980" s="6">
        <f t="shared" si="152"/>
        <v>0</v>
      </c>
      <c r="I980" s="6">
        <v>0</v>
      </c>
      <c r="J980" s="6" t="str">
        <f t="shared" si="153"/>
        <v>Sunday</v>
      </c>
      <c r="K980" s="6">
        <f t="shared" si="154"/>
        <v>1</v>
      </c>
      <c r="L980" s="6">
        <v>1</v>
      </c>
      <c r="M980" s="6" t="str">
        <f t="shared" si="155"/>
        <v>Partly cloudy</v>
      </c>
      <c r="N980" s="8">
        <v>0.3</v>
      </c>
      <c r="O980" s="8">
        <v>0.2727</v>
      </c>
      <c r="P980" s="8">
        <v>0.45</v>
      </c>
      <c r="Q980" s="8">
        <v>0.32840000000000003</v>
      </c>
      <c r="R980" s="6">
        <v>19</v>
      </c>
      <c r="S980" s="6">
        <v>86</v>
      </c>
      <c r="T980" s="6">
        <v>105</v>
      </c>
      <c r="U980" s="8">
        <f t="shared" si="156"/>
        <v>1.8418611300163374</v>
      </c>
      <c r="V980" s="8" t="str">
        <f t="shared" si="157"/>
        <v>Normal</v>
      </c>
      <c r="W980" s="8">
        <f t="shared" si="158"/>
        <v>0.68102522214333927</v>
      </c>
      <c r="X980" s="8" t="str">
        <f t="shared" si="159"/>
        <v>Normal</v>
      </c>
    </row>
    <row r="981" spans="1:24" x14ac:dyDescent="0.25">
      <c r="A981" s="6">
        <v>980</v>
      </c>
      <c r="B981" s="7">
        <v>40587</v>
      </c>
      <c r="C981" s="6">
        <v>2</v>
      </c>
      <c r="D981" s="6" t="str">
        <f t="shared" si="150"/>
        <v>february</v>
      </c>
      <c r="E981" s="6">
        <v>11</v>
      </c>
      <c r="F981" s="6" t="str">
        <f t="shared" si="151"/>
        <v>Morning</v>
      </c>
      <c r="G981" s="6" t="b">
        <v>0</v>
      </c>
      <c r="H981" s="6">
        <f t="shared" si="152"/>
        <v>0</v>
      </c>
      <c r="I981" s="6">
        <v>0</v>
      </c>
      <c r="J981" s="6" t="str">
        <f t="shared" si="153"/>
        <v>Sunday</v>
      </c>
      <c r="K981" s="6">
        <f t="shared" si="154"/>
        <v>1</v>
      </c>
      <c r="L981" s="6">
        <v>1</v>
      </c>
      <c r="M981" s="6" t="str">
        <f t="shared" si="155"/>
        <v>Partly cloudy</v>
      </c>
      <c r="N981" s="8">
        <v>0.32</v>
      </c>
      <c r="O981" s="8">
        <v>0.28789999999999999</v>
      </c>
      <c r="P981" s="8">
        <v>0.39</v>
      </c>
      <c r="Q981" s="8">
        <v>0.44779999999999998</v>
      </c>
      <c r="R981" s="6">
        <v>26</v>
      </c>
      <c r="S981" s="6">
        <v>86</v>
      </c>
      <c r="T981" s="6">
        <v>112</v>
      </c>
      <c r="U981" s="8">
        <f t="shared" si="156"/>
        <v>2.7576241749850396</v>
      </c>
      <c r="V981" s="8" t="str">
        <f t="shared" si="157"/>
        <v>Peak</v>
      </c>
      <c r="W981" s="8">
        <f t="shared" si="158"/>
        <v>0.68102522214333927</v>
      </c>
      <c r="X981" s="8" t="str">
        <f t="shared" si="159"/>
        <v>Normal</v>
      </c>
    </row>
    <row r="982" spans="1:24" x14ac:dyDescent="0.25">
      <c r="A982" s="6">
        <v>981</v>
      </c>
      <c r="B982" s="7">
        <v>40587</v>
      </c>
      <c r="C982" s="6">
        <v>2</v>
      </c>
      <c r="D982" s="6" t="str">
        <f t="shared" si="150"/>
        <v>february</v>
      </c>
      <c r="E982" s="6">
        <v>12</v>
      </c>
      <c r="F982" s="6" t="str">
        <f t="shared" si="151"/>
        <v>Afternoon</v>
      </c>
      <c r="G982" s="6" t="b">
        <v>0</v>
      </c>
      <c r="H982" s="6">
        <f t="shared" si="152"/>
        <v>0</v>
      </c>
      <c r="I982" s="6">
        <v>0</v>
      </c>
      <c r="J982" s="6" t="str">
        <f t="shared" si="153"/>
        <v>Sunday</v>
      </c>
      <c r="K982" s="6">
        <f t="shared" si="154"/>
        <v>1</v>
      </c>
      <c r="L982" s="6">
        <v>1</v>
      </c>
      <c r="M982" s="6" t="str">
        <f t="shared" si="155"/>
        <v>Partly cloudy</v>
      </c>
      <c r="N982" s="8">
        <v>0.36</v>
      </c>
      <c r="O982" s="8">
        <v>0.31819999999999998</v>
      </c>
      <c r="P982" s="8">
        <v>0.32</v>
      </c>
      <c r="Q982" s="8">
        <v>0.4627</v>
      </c>
      <c r="R982" s="6">
        <v>58</v>
      </c>
      <c r="S982" s="6">
        <v>94</v>
      </c>
      <c r="T982" s="6">
        <v>152</v>
      </c>
      <c r="U982" s="8">
        <f t="shared" si="156"/>
        <v>6.9439695234133936</v>
      </c>
      <c r="V982" s="8" t="str">
        <f t="shared" si="157"/>
        <v>Peak</v>
      </c>
      <c r="W982" s="8">
        <f t="shared" si="158"/>
        <v>0.84806087156378607</v>
      </c>
      <c r="X982" s="8" t="str">
        <f t="shared" si="159"/>
        <v>Normal</v>
      </c>
    </row>
    <row r="983" spans="1:24" x14ac:dyDescent="0.25">
      <c r="A983" s="6">
        <v>982</v>
      </c>
      <c r="B983" s="7">
        <v>40587</v>
      </c>
      <c r="C983" s="6">
        <v>2</v>
      </c>
      <c r="D983" s="6" t="str">
        <f t="shared" si="150"/>
        <v>february</v>
      </c>
      <c r="E983" s="6">
        <v>13</v>
      </c>
      <c r="F983" s="6" t="str">
        <f t="shared" si="151"/>
        <v>Afternoon</v>
      </c>
      <c r="G983" s="6" t="b">
        <v>0</v>
      </c>
      <c r="H983" s="6">
        <f t="shared" si="152"/>
        <v>0</v>
      </c>
      <c r="I983" s="6">
        <v>0</v>
      </c>
      <c r="J983" s="6" t="str">
        <f t="shared" si="153"/>
        <v>Sunday</v>
      </c>
      <c r="K983" s="6">
        <f t="shared" si="154"/>
        <v>1</v>
      </c>
      <c r="L983" s="6">
        <v>1</v>
      </c>
      <c r="M983" s="6" t="str">
        <f t="shared" si="155"/>
        <v>Partly cloudy</v>
      </c>
      <c r="N983" s="8">
        <v>0.38</v>
      </c>
      <c r="O983" s="8">
        <v>0.39389999999999997</v>
      </c>
      <c r="P983" s="8">
        <v>0.28999999999999998</v>
      </c>
      <c r="Q983" s="8">
        <v>0.35820000000000002</v>
      </c>
      <c r="R983" s="6">
        <v>62</v>
      </c>
      <c r="S983" s="6">
        <v>92</v>
      </c>
      <c r="T983" s="6">
        <v>154</v>
      </c>
      <c r="U983" s="8">
        <f t="shared" si="156"/>
        <v>7.4672626919669378</v>
      </c>
      <c r="V983" s="8" t="str">
        <f t="shared" si="157"/>
        <v>Peak</v>
      </c>
      <c r="W983" s="8">
        <f t="shared" si="158"/>
        <v>0.80630195920867431</v>
      </c>
      <c r="X983" s="8" t="str">
        <f t="shared" si="159"/>
        <v>Normal</v>
      </c>
    </row>
    <row r="984" spans="1:24" x14ac:dyDescent="0.25">
      <c r="A984" s="6">
        <v>983</v>
      </c>
      <c r="B984" s="7">
        <v>40587</v>
      </c>
      <c r="C984" s="6">
        <v>2</v>
      </c>
      <c r="D984" s="6" t="str">
        <f t="shared" si="150"/>
        <v>february</v>
      </c>
      <c r="E984" s="6">
        <v>14</v>
      </c>
      <c r="F984" s="6" t="str">
        <f t="shared" si="151"/>
        <v>Afternoon</v>
      </c>
      <c r="G984" s="6" t="b">
        <v>0</v>
      </c>
      <c r="H984" s="6">
        <f t="shared" si="152"/>
        <v>0</v>
      </c>
      <c r="I984" s="6">
        <v>0</v>
      </c>
      <c r="J984" s="6" t="str">
        <f t="shared" si="153"/>
        <v>Sunday</v>
      </c>
      <c r="K984" s="6">
        <f t="shared" si="154"/>
        <v>1</v>
      </c>
      <c r="L984" s="6">
        <v>2</v>
      </c>
      <c r="M984" s="6" t="str">
        <f t="shared" si="155"/>
        <v>Cloudy</v>
      </c>
      <c r="N984" s="8">
        <v>0.4</v>
      </c>
      <c r="O984" s="8">
        <v>0.40910000000000002</v>
      </c>
      <c r="P984" s="8">
        <v>0.3</v>
      </c>
      <c r="Q984" s="8">
        <v>0.41789999999999999</v>
      </c>
      <c r="R984" s="6">
        <v>51</v>
      </c>
      <c r="S984" s="6">
        <v>110</v>
      </c>
      <c r="T984" s="6">
        <v>161</v>
      </c>
      <c r="U984" s="8">
        <f t="shared" si="156"/>
        <v>6.0282064784446909</v>
      </c>
      <c r="V984" s="8" t="str">
        <f t="shared" si="157"/>
        <v>Peak</v>
      </c>
      <c r="W984" s="8">
        <f t="shared" si="158"/>
        <v>1.1821321704046797</v>
      </c>
      <c r="X984" s="8" t="str">
        <f t="shared" si="159"/>
        <v>Normal</v>
      </c>
    </row>
    <row r="985" spans="1:24" x14ac:dyDescent="0.25">
      <c r="A985" s="6">
        <v>984</v>
      </c>
      <c r="B985" s="7">
        <v>40587</v>
      </c>
      <c r="C985" s="6">
        <v>2</v>
      </c>
      <c r="D985" s="6" t="str">
        <f t="shared" si="150"/>
        <v>february</v>
      </c>
      <c r="E985" s="6">
        <v>15</v>
      </c>
      <c r="F985" s="6" t="str">
        <f t="shared" si="151"/>
        <v>Afternoon</v>
      </c>
      <c r="G985" s="6" t="b">
        <v>0</v>
      </c>
      <c r="H985" s="6">
        <f t="shared" si="152"/>
        <v>0</v>
      </c>
      <c r="I985" s="6">
        <v>0</v>
      </c>
      <c r="J985" s="6" t="str">
        <f t="shared" si="153"/>
        <v>Sunday</v>
      </c>
      <c r="K985" s="6">
        <f t="shared" si="154"/>
        <v>1</v>
      </c>
      <c r="L985" s="6">
        <v>2</v>
      </c>
      <c r="M985" s="6" t="str">
        <f t="shared" si="155"/>
        <v>Cloudy</v>
      </c>
      <c r="N985" s="8">
        <v>0.4</v>
      </c>
      <c r="O985" s="8">
        <v>0.40910000000000002</v>
      </c>
      <c r="P985" s="8">
        <v>0.3</v>
      </c>
      <c r="Q985" s="8">
        <v>0.29849999999999999</v>
      </c>
      <c r="R985" s="6">
        <v>40</v>
      </c>
      <c r="S985" s="6">
        <v>122</v>
      </c>
      <c r="T985" s="6">
        <v>162</v>
      </c>
      <c r="U985" s="8">
        <f t="shared" si="156"/>
        <v>4.5891502649224449</v>
      </c>
      <c r="V985" s="8" t="str">
        <f t="shared" si="157"/>
        <v>Peak</v>
      </c>
      <c r="W985" s="8">
        <f t="shared" si="158"/>
        <v>1.4326856445353497</v>
      </c>
      <c r="X985" s="8" t="str">
        <f t="shared" si="159"/>
        <v>Normal</v>
      </c>
    </row>
    <row r="986" spans="1:24" x14ac:dyDescent="0.25">
      <c r="A986" s="6">
        <v>985</v>
      </c>
      <c r="B986" s="7">
        <v>40587</v>
      </c>
      <c r="C986" s="6">
        <v>2</v>
      </c>
      <c r="D986" s="6" t="str">
        <f t="shared" si="150"/>
        <v>february</v>
      </c>
      <c r="E986" s="6">
        <v>16</v>
      </c>
      <c r="F986" s="6" t="str">
        <f t="shared" si="151"/>
        <v>Afternoon</v>
      </c>
      <c r="G986" s="6" t="b">
        <v>0</v>
      </c>
      <c r="H986" s="6">
        <f t="shared" si="152"/>
        <v>0</v>
      </c>
      <c r="I986" s="6">
        <v>0</v>
      </c>
      <c r="J986" s="6" t="str">
        <f t="shared" si="153"/>
        <v>Sunday</v>
      </c>
      <c r="K986" s="6">
        <f t="shared" si="154"/>
        <v>1</v>
      </c>
      <c r="L986" s="6">
        <v>2</v>
      </c>
      <c r="M986" s="6" t="str">
        <f t="shared" si="155"/>
        <v>Cloudy</v>
      </c>
      <c r="N986" s="8">
        <v>0.42</v>
      </c>
      <c r="O986" s="8">
        <v>0.42420000000000002</v>
      </c>
      <c r="P986" s="8">
        <v>0.28000000000000003</v>
      </c>
      <c r="Q986" s="8">
        <v>0.32840000000000003</v>
      </c>
      <c r="R986" s="6">
        <v>28</v>
      </c>
      <c r="S986" s="6">
        <v>106</v>
      </c>
      <c r="T986" s="6">
        <v>134</v>
      </c>
      <c r="U986" s="8">
        <f t="shared" si="156"/>
        <v>3.0192707592618118</v>
      </c>
      <c r="V986" s="8" t="str">
        <f t="shared" si="157"/>
        <v>Peak</v>
      </c>
      <c r="W986" s="8">
        <f t="shared" si="158"/>
        <v>1.0986143456944564</v>
      </c>
      <c r="X986" s="8" t="str">
        <f t="shared" si="159"/>
        <v>Normal</v>
      </c>
    </row>
    <row r="987" spans="1:24" x14ac:dyDescent="0.25">
      <c r="A987" s="6">
        <v>986</v>
      </c>
      <c r="B987" s="7">
        <v>40587</v>
      </c>
      <c r="C987" s="6">
        <v>2</v>
      </c>
      <c r="D987" s="6" t="str">
        <f t="shared" si="150"/>
        <v>february</v>
      </c>
      <c r="E987" s="6">
        <v>17</v>
      </c>
      <c r="F987" s="6" t="str">
        <f t="shared" si="151"/>
        <v>Evening</v>
      </c>
      <c r="G987" s="6" t="b">
        <v>0</v>
      </c>
      <c r="H987" s="6">
        <f t="shared" si="152"/>
        <v>0</v>
      </c>
      <c r="I987" s="6">
        <v>0</v>
      </c>
      <c r="J987" s="6" t="str">
        <f t="shared" si="153"/>
        <v>Sunday</v>
      </c>
      <c r="K987" s="6">
        <f t="shared" si="154"/>
        <v>1</v>
      </c>
      <c r="L987" s="6">
        <v>1</v>
      </c>
      <c r="M987" s="6" t="str">
        <f t="shared" si="155"/>
        <v>Partly cloudy</v>
      </c>
      <c r="N987" s="8">
        <v>0.42</v>
      </c>
      <c r="O987" s="8">
        <v>0.42420000000000002</v>
      </c>
      <c r="P987" s="8">
        <v>0.28000000000000003</v>
      </c>
      <c r="Q987" s="8">
        <v>0.32840000000000003</v>
      </c>
      <c r="R987" s="6">
        <v>30</v>
      </c>
      <c r="S987" s="6">
        <v>95</v>
      </c>
      <c r="T987" s="6">
        <v>125</v>
      </c>
      <c r="U987" s="8">
        <f t="shared" si="156"/>
        <v>3.2809173435385839</v>
      </c>
      <c r="V987" s="8" t="str">
        <f t="shared" si="157"/>
        <v>Peak</v>
      </c>
      <c r="W987" s="8">
        <f t="shared" si="158"/>
        <v>0.86894032774134189</v>
      </c>
      <c r="X987" s="8" t="str">
        <f t="shared" si="159"/>
        <v>Normal</v>
      </c>
    </row>
    <row r="988" spans="1:24" x14ac:dyDescent="0.25">
      <c r="A988" s="6">
        <v>987</v>
      </c>
      <c r="B988" s="7">
        <v>40587</v>
      </c>
      <c r="C988" s="6">
        <v>2</v>
      </c>
      <c r="D988" s="6" t="str">
        <f t="shared" si="150"/>
        <v>february</v>
      </c>
      <c r="E988" s="6">
        <v>18</v>
      </c>
      <c r="F988" s="6" t="str">
        <f t="shared" si="151"/>
        <v>Evening</v>
      </c>
      <c r="G988" s="6" t="b">
        <v>0</v>
      </c>
      <c r="H988" s="6">
        <f t="shared" si="152"/>
        <v>0</v>
      </c>
      <c r="I988" s="6">
        <v>0</v>
      </c>
      <c r="J988" s="6" t="str">
        <f t="shared" si="153"/>
        <v>Sunday</v>
      </c>
      <c r="K988" s="6">
        <f t="shared" si="154"/>
        <v>1</v>
      </c>
      <c r="L988" s="6">
        <v>1</v>
      </c>
      <c r="M988" s="6" t="str">
        <f t="shared" si="155"/>
        <v>Partly cloudy</v>
      </c>
      <c r="N988" s="8">
        <v>0.4</v>
      </c>
      <c r="O988" s="8">
        <v>0.40910000000000002</v>
      </c>
      <c r="P988" s="8">
        <v>0.32</v>
      </c>
      <c r="Q988" s="8">
        <v>0.29849999999999999</v>
      </c>
      <c r="R988" s="6">
        <v>17</v>
      </c>
      <c r="S988" s="6">
        <v>78</v>
      </c>
      <c r="T988" s="6">
        <v>95</v>
      </c>
      <c r="U988" s="8">
        <f t="shared" si="156"/>
        <v>1.5802145457395653</v>
      </c>
      <c r="V988" s="8" t="str">
        <f t="shared" si="157"/>
        <v>Normal</v>
      </c>
      <c r="W988" s="8">
        <f t="shared" si="158"/>
        <v>0.51398957272289236</v>
      </c>
      <c r="X988" s="8" t="str">
        <f t="shared" si="159"/>
        <v>Normal</v>
      </c>
    </row>
    <row r="989" spans="1:24" x14ac:dyDescent="0.25">
      <c r="A989" s="6">
        <v>988</v>
      </c>
      <c r="B989" s="7">
        <v>40587</v>
      </c>
      <c r="C989" s="6">
        <v>2</v>
      </c>
      <c r="D989" s="6" t="str">
        <f t="shared" si="150"/>
        <v>february</v>
      </c>
      <c r="E989" s="6">
        <v>19</v>
      </c>
      <c r="F989" s="6" t="str">
        <f t="shared" si="151"/>
        <v>Evening</v>
      </c>
      <c r="G989" s="6" t="b">
        <v>0</v>
      </c>
      <c r="H989" s="6">
        <f t="shared" si="152"/>
        <v>0</v>
      </c>
      <c r="I989" s="6">
        <v>0</v>
      </c>
      <c r="J989" s="6" t="str">
        <f t="shared" si="153"/>
        <v>Sunday</v>
      </c>
      <c r="K989" s="6">
        <f t="shared" si="154"/>
        <v>1</v>
      </c>
      <c r="L989" s="6">
        <v>1</v>
      </c>
      <c r="M989" s="6" t="str">
        <f t="shared" si="155"/>
        <v>Partly cloudy</v>
      </c>
      <c r="N989" s="8">
        <v>0.4</v>
      </c>
      <c r="O989" s="8">
        <v>0.40910000000000002</v>
      </c>
      <c r="P989" s="8">
        <v>0.35</v>
      </c>
      <c r="Q989" s="8">
        <v>0.28360000000000002</v>
      </c>
      <c r="R989" s="6">
        <v>11</v>
      </c>
      <c r="S989" s="6">
        <v>50</v>
      </c>
      <c r="T989" s="6">
        <v>61</v>
      </c>
      <c r="U989" s="8">
        <f t="shared" si="156"/>
        <v>0.79527479290924885</v>
      </c>
      <c r="V989" s="8" t="str">
        <f t="shared" si="157"/>
        <v>Normal</v>
      </c>
      <c r="W989" s="8">
        <f t="shared" si="158"/>
        <v>-7.0635200248671509E-2</v>
      </c>
      <c r="X989" s="8" t="str">
        <f t="shared" si="159"/>
        <v>Normal</v>
      </c>
    </row>
    <row r="990" spans="1:24" x14ac:dyDescent="0.25">
      <c r="A990" s="6">
        <v>989</v>
      </c>
      <c r="B990" s="7">
        <v>40587</v>
      </c>
      <c r="C990" s="6">
        <v>2</v>
      </c>
      <c r="D990" s="6" t="str">
        <f t="shared" si="150"/>
        <v>february</v>
      </c>
      <c r="E990" s="6">
        <v>20</v>
      </c>
      <c r="F990" s="6" t="str">
        <f t="shared" si="151"/>
        <v>Evening</v>
      </c>
      <c r="G990" s="6" t="b">
        <v>0</v>
      </c>
      <c r="H990" s="6">
        <f t="shared" si="152"/>
        <v>0</v>
      </c>
      <c r="I990" s="6">
        <v>0</v>
      </c>
      <c r="J990" s="6" t="str">
        <f t="shared" si="153"/>
        <v>Sunday</v>
      </c>
      <c r="K990" s="6">
        <f t="shared" si="154"/>
        <v>1</v>
      </c>
      <c r="L990" s="6">
        <v>1</v>
      </c>
      <c r="M990" s="6" t="str">
        <f t="shared" si="155"/>
        <v>Partly cloudy</v>
      </c>
      <c r="N990" s="8">
        <v>0.4</v>
      </c>
      <c r="O990" s="8">
        <v>0.40910000000000002</v>
      </c>
      <c r="P990" s="8">
        <v>0.35</v>
      </c>
      <c r="Q990" s="8">
        <v>0.32840000000000003</v>
      </c>
      <c r="R990" s="6">
        <v>15</v>
      </c>
      <c r="S990" s="6">
        <v>32</v>
      </c>
      <c r="T990" s="6">
        <v>47</v>
      </c>
      <c r="U990" s="8">
        <f t="shared" si="156"/>
        <v>1.3185679614627932</v>
      </c>
      <c r="V990" s="8" t="str">
        <f t="shared" si="157"/>
        <v>Normal</v>
      </c>
      <c r="W990" s="8">
        <f t="shared" si="158"/>
        <v>-0.44646541144467689</v>
      </c>
      <c r="X990" s="8" t="str">
        <f t="shared" si="159"/>
        <v>Normal</v>
      </c>
    </row>
    <row r="991" spans="1:24" x14ac:dyDescent="0.25">
      <c r="A991" s="6">
        <v>990</v>
      </c>
      <c r="B991" s="7">
        <v>40587</v>
      </c>
      <c r="C991" s="6">
        <v>2</v>
      </c>
      <c r="D991" s="6" t="str">
        <f t="shared" si="150"/>
        <v>february</v>
      </c>
      <c r="E991" s="6">
        <v>21</v>
      </c>
      <c r="F991" s="6" t="str">
        <f t="shared" si="151"/>
        <v>Night</v>
      </c>
      <c r="G991" s="6" t="b">
        <v>0</v>
      </c>
      <c r="H991" s="6">
        <f t="shared" si="152"/>
        <v>0</v>
      </c>
      <c r="I991" s="6">
        <v>0</v>
      </c>
      <c r="J991" s="6" t="str">
        <f t="shared" si="153"/>
        <v>Sunday</v>
      </c>
      <c r="K991" s="6">
        <f t="shared" si="154"/>
        <v>1</v>
      </c>
      <c r="L991" s="6">
        <v>1</v>
      </c>
      <c r="M991" s="6" t="str">
        <f t="shared" si="155"/>
        <v>Partly cloudy</v>
      </c>
      <c r="N991" s="8">
        <v>0.4</v>
      </c>
      <c r="O991" s="8">
        <v>0.40910000000000002</v>
      </c>
      <c r="P991" s="8">
        <v>0.35</v>
      </c>
      <c r="Q991" s="8">
        <v>0.35820000000000002</v>
      </c>
      <c r="R991" s="6">
        <v>6</v>
      </c>
      <c r="S991" s="6">
        <v>45</v>
      </c>
      <c r="T991" s="6">
        <v>51</v>
      </c>
      <c r="U991" s="8">
        <f t="shared" si="156"/>
        <v>0.14115833221731852</v>
      </c>
      <c r="V991" s="8" t="str">
        <f t="shared" si="157"/>
        <v>Normal</v>
      </c>
      <c r="W991" s="8">
        <f t="shared" si="158"/>
        <v>-0.17503248113645078</v>
      </c>
      <c r="X991" s="8" t="str">
        <f t="shared" si="159"/>
        <v>Normal</v>
      </c>
    </row>
    <row r="992" spans="1:24" x14ac:dyDescent="0.25">
      <c r="A992" s="6">
        <v>991</v>
      </c>
      <c r="B992" s="7">
        <v>40587</v>
      </c>
      <c r="C992" s="6">
        <v>2</v>
      </c>
      <c r="D992" s="6" t="str">
        <f t="shared" si="150"/>
        <v>february</v>
      </c>
      <c r="E992" s="6">
        <v>22</v>
      </c>
      <c r="F992" s="6" t="str">
        <f t="shared" si="151"/>
        <v>Night</v>
      </c>
      <c r="G992" s="6" t="b">
        <v>0</v>
      </c>
      <c r="H992" s="6">
        <f t="shared" si="152"/>
        <v>0</v>
      </c>
      <c r="I992" s="6">
        <v>0</v>
      </c>
      <c r="J992" s="6" t="str">
        <f t="shared" si="153"/>
        <v>Sunday</v>
      </c>
      <c r="K992" s="6">
        <f t="shared" si="154"/>
        <v>1</v>
      </c>
      <c r="L992" s="6">
        <v>1</v>
      </c>
      <c r="M992" s="6" t="str">
        <f t="shared" si="155"/>
        <v>Partly cloudy</v>
      </c>
      <c r="N992" s="8">
        <v>0.4</v>
      </c>
      <c r="O992" s="8">
        <v>0.40910000000000002</v>
      </c>
      <c r="P992" s="8">
        <v>0.35</v>
      </c>
      <c r="Q992" s="8">
        <v>0.29849999999999999</v>
      </c>
      <c r="R992" s="6">
        <v>5</v>
      </c>
      <c r="S992" s="6">
        <v>31</v>
      </c>
      <c r="T992" s="6">
        <v>36</v>
      </c>
      <c r="U992" s="8">
        <f t="shared" si="156"/>
        <v>1.0335040078932463E-2</v>
      </c>
      <c r="V992" s="8" t="str">
        <f t="shared" si="157"/>
        <v>Normal</v>
      </c>
      <c r="W992" s="8">
        <f t="shared" si="158"/>
        <v>-0.46734486762223271</v>
      </c>
      <c r="X992" s="8" t="str">
        <f t="shared" si="159"/>
        <v>Normal</v>
      </c>
    </row>
    <row r="993" spans="1:24" x14ac:dyDescent="0.25">
      <c r="A993" s="6">
        <v>992</v>
      </c>
      <c r="B993" s="7">
        <v>40587</v>
      </c>
      <c r="C993" s="6">
        <v>2</v>
      </c>
      <c r="D993" s="6" t="str">
        <f t="shared" si="150"/>
        <v>february</v>
      </c>
      <c r="E993" s="6">
        <v>23</v>
      </c>
      <c r="F993" s="6" t="str">
        <f t="shared" si="151"/>
        <v>Night</v>
      </c>
      <c r="G993" s="6" t="b">
        <v>0</v>
      </c>
      <c r="H993" s="6">
        <f t="shared" si="152"/>
        <v>0</v>
      </c>
      <c r="I993" s="6">
        <v>0</v>
      </c>
      <c r="J993" s="6" t="str">
        <f t="shared" si="153"/>
        <v>Sunday</v>
      </c>
      <c r="K993" s="6">
        <f t="shared" si="154"/>
        <v>1</v>
      </c>
      <c r="L993" s="6">
        <v>1</v>
      </c>
      <c r="M993" s="6" t="str">
        <f t="shared" si="155"/>
        <v>Partly cloudy</v>
      </c>
      <c r="N993" s="8">
        <v>0.4</v>
      </c>
      <c r="O993" s="8">
        <v>0.40910000000000002</v>
      </c>
      <c r="P993" s="8">
        <v>0.35</v>
      </c>
      <c r="Q993" s="8">
        <v>0.35820000000000002</v>
      </c>
      <c r="R993" s="6">
        <v>3</v>
      </c>
      <c r="S993" s="6">
        <v>27</v>
      </c>
      <c r="T993" s="6">
        <v>30</v>
      </c>
      <c r="U993" s="8">
        <f t="shared" si="156"/>
        <v>-0.25131154419783963</v>
      </c>
      <c r="V993" s="8" t="str">
        <f t="shared" si="157"/>
        <v>Normal</v>
      </c>
      <c r="W993" s="8">
        <f t="shared" si="158"/>
        <v>-0.55086269233245611</v>
      </c>
      <c r="X993" s="8" t="str">
        <f t="shared" si="159"/>
        <v>Normal</v>
      </c>
    </row>
    <row r="994" spans="1:24" x14ac:dyDescent="0.25">
      <c r="A994" s="6">
        <v>993</v>
      </c>
      <c r="B994" s="7">
        <v>40588</v>
      </c>
      <c r="C994" s="6">
        <v>2</v>
      </c>
      <c r="D994" s="6" t="str">
        <f t="shared" si="150"/>
        <v>february</v>
      </c>
      <c r="E994" s="6">
        <v>0</v>
      </c>
      <c r="F994" s="6" t="str">
        <f t="shared" si="151"/>
        <v>Night</v>
      </c>
      <c r="G994" s="6" t="b">
        <v>0</v>
      </c>
      <c r="H994" s="6">
        <f t="shared" si="152"/>
        <v>0</v>
      </c>
      <c r="I994" s="6">
        <v>1</v>
      </c>
      <c r="J994" s="6" t="str">
        <f t="shared" si="153"/>
        <v>Monday</v>
      </c>
      <c r="K994" s="6">
        <f t="shared" si="154"/>
        <v>0</v>
      </c>
      <c r="L994" s="6">
        <v>1</v>
      </c>
      <c r="M994" s="6" t="str">
        <f t="shared" si="155"/>
        <v>Partly cloudy</v>
      </c>
      <c r="N994" s="8">
        <v>0.38</v>
      </c>
      <c r="O994" s="8">
        <v>0.39389999999999997</v>
      </c>
      <c r="P994" s="8">
        <v>0.37</v>
      </c>
      <c r="Q994" s="8">
        <v>0.35820000000000002</v>
      </c>
      <c r="R994" s="6">
        <v>3</v>
      </c>
      <c r="S994" s="6">
        <v>8</v>
      </c>
      <c r="T994" s="6">
        <v>11</v>
      </c>
      <c r="U994" s="8">
        <f t="shared" si="156"/>
        <v>-0.25131154419783963</v>
      </c>
      <c r="V994" s="8" t="str">
        <f t="shared" si="157"/>
        <v>Normal</v>
      </c>
      <c r="W994" s="8">
        <f t="shared" si="158"/>
        <v>-0.94757235970601739</v>
      </c>
      <c r="X994" s="8" t="str">
        <f t="shared" si="159"/>
        <v>Normal</v>
      </c>
    </row>
    <row r="995" spans="1:24" x14ac:dyDescent="0.25">
      <c r="A995" s="6">
        <v>994</v>
      </c>
      <c r="B995" s="7">
        <v>40588</v>
      </c>
      <c r="C995" s="6">
        <v>2</v>
      </c>
      <c r="D995" s="6" t="str">
        <f t="shared" si="150"/>
        <v>february</v>
      </c>
      <c r="E995" s="6">
        <v>1</v>
      </c>
      <c r="F995" s="6" t="str">
        <f t="shared" si="151"/>
        <v>Night</v>
      </c>
      <c r="G995" s="6" t="b">
        <v>0</v>
      </c>
      <c r="H995" s="6">
        <f t="shared" si="152"/>
        <v>0</v>
      </c>
      <c r="I995" s="6">
        <v>1</v>
      </c>
      <c r="J995" s="6" t="str">
        <f t="shared" si="153"/>
        <v>Monday</v>
      </c>
      <c r="K995" s="6">
        <f t="shared" si="154"/>
        <v>0</v>
      </c>
      <c r="L995" s="6">
        <v>1</v>
      </c>
      <c r="M995" s="6" t="str">
        <f t="shared" si="155"/>
        <v>Partly cloudy</v>
      </c>
      <c r="N995" s="8">
        <v>0.38</v>
      </c>
      <c r="O995" s="8">
        <v>0.39389999999999997</v>
      </c>
      <c r="P995" s="8">
        <v>0.37</v>
      </c>
      <c r="Q995" s="8">
        <v>0.35820000000000002</v>
      </c>
      <c r="R995" s="6">
        <v>1</v>
      </c>
      <c r="S995" s="6">
        <v>6</v>
      </c>
      <c r="T995" s="6">
        <v>7</v>
      </c>
      <c r="U995" s="8">
        <f t="shared" si="156"/>
        <v>-0.51295812847461175</v>
      </c>
      <c r="V995" s="8" t="str">
        <f t="shared" si="157"/>
        <v>Normal</v>
      </c>
      <c r="W995" s="8">
        <f t="shared" si="158"/>
        <v>-0.98933127206112903</v>
      </c>
      <c r="X995" s="8" t="str">
        <f t="shared" si="159"/>
        <v>Normal</v>
      </c>
    </row>
    <row r="996" spans="1:24" x14ac:dyDescent="0.25">
      <c r="A996" s="6">
        <v>995</v>
      </c>
      <c r="B996" s="7">
        <v>40588</v>
      </c>
      <c r="C996" s="6">
        <v>2</v>
      </c>
      <c r="D996" s="6" t="str">
        <f t="shared" si="150"/>
        <v>february</v>
      </c>
      <c r="E996" s="6">
        <v>2</v>
      </c>
      <c r="F996" s="6" t="str">
        <f t="shared" si="151"/>
        <v>Night</v>
      </c>
      <c r="G996" s="6" t="b">
        <v>0</v>
      </c>
      <c r="H996" s="6">
        <f t="shared" si="152"/>
        <v>0</v>
      </c>
      <c r="I996" s="6">
        <v>1</v>
      </c>
      <c r="J996" s="6" t="str">
        <f t="shared" si="153"/>
        <v>Monday</v>
      </c>
      <c r="K996" s="6">
        <f t="shared" si="154"/>
        <v>0</v>
      </c>
      <c r="L996" s="6">
        <v>1</v>
      </c>
      <c r="M996" s="6" t="str">
        <f t="shared" si="155"/>
        <v>Partly cloudy</v>
      </c>
      <c r="N996" s="8">
        <v>0.36</v>
      </c>
      <c r="O996" s="8">
        <v>0.33329999999999999</v>
      </c>
      <c r="P996" s="8">
        <v>0.4</v>
      </c>
      <c r="Q996" s="8">
        <v>0.29849999999999999</v>
      </c>
      <c r="R996" s="6">
        <v>0</v>
      </c>
      <c r="S996" s="6">
        <v>2</v>
      </c>
      <c r="T996" s="6">
        <v>2</v>
      </c>
      <c r="U996" s="8">
        <f t="shared" si="156"/>
        <v>-0.64378142061299781</v>
      </c>
      <c r="V996" s="8" t="str">
        <f t="shared" si="157"/>
        <v>Normal</v>
      </c>
      <c r="W996" s="8">
        <f t="shared" si="158"/>
        <v>-1.0728490967713524</v>
      </c>
      <c r="X996" s="8" t="str">
        <f t="shared" si="159"/>
        <v>Normal</v>
      </c>
    </row>
    <row r="997" spans="1:24" x14ac:dyDescent="0.25">
      <c r="A997" s="6">
        <v>996</v>
      </c>
      <c r="B997" s="7">
        <v>40588</v>
      </c>
      <c r="C997" s="6">
        <v>2</v>
      </c>
      <c r="D997" s="6" t="str">
        <f t="shared" si="150"/>
        <v>february</v>
      </c>
      <c r="E997" s="6">
        <v>3</v>
      </c>
      <c r="F997" s="6" t="str">
        <f t="shared" si="151"/>
        <v>Night</v>
      </c>
      <c r="G997" s="6" t="b">
        <v>0</v>
      </c>
      <c r="H997" s="6">
        <f t="shared" si="152"/>
        <v>0</v>
      </c>
      <c r="I997" s="6">
        <v>1</v>
      </c>
      <c r="J997" s="6" t="str">
        <f t="shared" si="153"/>
        <v>Monday</v>
      </c>
      <c r="K997" s="6">
        <f t="shared" si="154"/>
        <v>0</v>
      </c>
      <c r="L997" s="6">
        <v>1</v>
      </c>
      <c r="M997" s="6" t="str">
        <f t="shared" si="155"/>
        <v>Partly cloudy</v>
      </c>
      <c r="N997" s="8">
        <v>0.34</v>
      </c>
      <c r="O997" s="8">
        <v>0.31819999999999998</v>
      </c>
      <c r="P997" s="8">
        <v>0.46</v>
      </c>
      <c r="Q997" s="8">
        <v>0.22389999999999999</v>
      </c>
      <c r="R997" s="6">
        <v>1</v>
      </c>
      <c r="S997" s="6">
        <v>1</v>
      </c>
      <c r="T997" s="6">
        <v>2</v>
      </c>
      <c r="U997" s="8">
        <f t="shared" si="156"/>
        <v>-0.51295812847461175</v>
      </c>
      <c r="V997" s="8" t="str">
        <f t="shared" si="157"/>
        <v>Normal</v>
      </c>
      <c r="W997" s="8">
        <f t="shared" si="158"/>
        <v>-1.0937285529489083</v>
      </c>
      <c r="X997" s="8" t="str">
        <f t="shared" si="159"/>
        <v>Normal</v>
      </c>
    </row>
    <row r="998" spans="1:24" x14ac:dyDescent="0.25">
      <c r="A998" s="6">
        <v>997</v>
      </c>
      <c r="B998" s="7">
        <v>40588</v>
      </c>
      <c r="C998" s="6">
        <v>2</v>
      </c>
      <c r="D998" s="6" t="str">
        <f t="shared" si="150"/>
        <v>february</v>
      </c>
      <c r="E998" s="6">
        <v>4</v>
      </c>
      <c r="F998" s="6" t="str">
        <f t="shared" si="151"/>
        <v>Night</v>
      </c>
      <c r="G998" s="6" t="b">
        <v>0</v>
      </c>
      <c r="H998" s="6">
        <f t="shared" si="152"/>
        <v>0</v>
      </c>
      <c r="I998" s="6">
        <v>1</v>
      </c>
      <c r="J998" s="6" t="str">
        <f t="shared" si="153"/>
        <v>Monday</v>
      </c>
      <c r="K998" s="6">
        <f t="shared" si="154"/>
        <v>0</v>
      </c>
      <c r="L998" s="6">
        <v>1</v>
      </c>
      <c r="M998" s="6" t="str">
        <f t="shared" si="155"/>
        <v>Partly cloudy</v>
      </c>
      <c r="N998" s="8">
        <v>0.32</v>
      </c>
      <c r="O998" s="8">
        <v>0.30299999999999999</v>
      </c>
      <c r="P998" s="8">
        <v>0.53</v>
      </c>
      <c r="Q998" s="8">
        <v>0.28360000000000002</v>
      </c>
      <c r="R998" s="6">
        <v>0</v>
      </c>
      <c r="S998" s="6">
        <v>2</v>
      </c>
      <c r="T998" s="6">
        <v>2</v>
      </c>
      <c r="U998" s="8">
        <f t="shared" si="156"/>
        <v>-0.64378142061299781</v>
      </c>
      <c r="V998" s="8" t="str">
        <f t="shared" si="157"/>
        <v>Normal</v>
      </c>
      <c r="W998" s="8">
        <f t="shared" si="158"/>
        <v>-1.0728490967713524</v>
      </c>
      <c r="X998" s="8" t="str">
        <f t="shared" si="159"/>
        <v>Normal</v>
      </c>
    </row>
    <row r="999" spans="1:24" x14ac:dyDescent="0.25">
      <c r="A999" s="6">
        <v>998</v>
      </c>
      <c r="B999" s="7">
        <v>40588</v>
      </c>
      <c r="C999" s="6">
        <v>2</v>
      </c>
      <c r="D999" s="6" t="str">
        <f t="shared" si="150"/>
        <v>february</v>
      </c>
      <c r="E999" s="6">
        <v>5</v>
      </c>
      <c r="F999" s="6" t="str">
        <f t="shared" si="151"/>
        <v>Early Morning</v>
      </c>
      <c r="G999" s="6" t="b">
        <v>0</v>
      </c>
      <c r="H999" s="6">
        <f t="shared" si="152"/>
        <v>0</v>
      </c>
      <c r="I999" s="6">
        <v>1</v>
      </c>
      <c r="J999" s="6" t="str">
        <f t="shared" si="153"/>
        <v>Monday</v>
      </c>
      <c r="K999" s="6">
        <f t="shared" si="154"/>
        <v>0</v>
      </c>
      <c r="L999" s="6">
        <v>1</v>
      </c>
      <c r="M999" s="6" t="str">
        <f t="shared" si="155"/>
        <v>Partly cloudy</v>
      </c>
      <c r="N999" s="8">
        <v>0.32</v>
      </c>
      <c r="O999" s="8">
        <v>0.30299999999999999</v>
      </c>
      <c r="P999" s="8">
        <v>0.53</v>
      </c>
      <c r="Q999" s="8">
        <v>0.28360000000000002</v>
      </c>
      <c r="R999" s="6">
        <v>0</v>
      </c>
      <c r="S999" s="6">
        <v>3</v>
      </c>
      <c r="T999" s="6">
        <v>3</v>
      </c>
      <c r="U999" s="8">
        <f t="shared" si="156"/>
        <v>-0.64378142061299781</v>
      </c>
      <c r="V999" s="8" t="str">
        <f t="shared" si="157"/>
        <v>Normal</v>
      </c>
      <c r="W999" s="8">
        <f t="shared" si="158"/>
        <v>-1.0519696405937966</v>
      </c>
      <c r="X999" s="8" t="str">
        <f t="shared" si="159"/>
        <v>Normal</v>
      </c>
    </row>
    <row r="1000" spans="1:24" x14ac:dyDescent="0.25">
      <c r="A1000" s="6">
        <v>999</v>
      </c>
      <c r="B1000" s="7">
        <v>40588</v>
      </c>
      <c r="C1000" s="6">
        <v>2</v>
      </c>
      <c r="D1000" s="6" t="str">
        <f t="shared" si="150"/>
        <v>february</v>
      </c>
      <c r="E1000" s="6">
        <v>6</v>
      </c>
      <c r="F1000" s="6" t="str">
        <f t="shared" si="151"/>
        <v>Early Morning</v>
      </c>
      <c r="G1000" s="6" t="b">
        <v>0</v>
      </c>
      <c r="H1000" s="6">
        <f t="shared" si="152"/>
        <v>0</v>
      </c>
      <c r="I1000" s="6">
        <v>1</v>
      </c>
      <c r="J1000" s="6" t="str">
        <f t="shared" si="153"/>
        <v>Monday</v>
      </c>
      <c r="K1000" s="6">
        <f t="shared" si="154"/>
        <v>0</v>
      </c>
      <c r="L1000" s="6">
        <v>1</v>
      </c>
      <c r="M1000" s="6" t="str">
        <f t="shared" si="155"/>
        <v>Partly cloudy</v>
      </c>
      <c r="N1000" s="8">
        <v>0.34</v>
      </c>
      <c r="O1000" s="8">
        <v>0.30299999999999999</v>
      </c>
      <c r="P1000" s="8">
        <v>0.46</v>
      </c>
      <c r="Q1000" s="8">
        <v>0.29849999999999999</v>
      </c>
      <c r="R1000" s="6">
        <v>1</v>
      </c>
      <c r="S1000" s="6">
        <v>25</v>
      </c>
      <c r="T1000" s="6">
        <v>26</v>
      </c>
      <c r="U1000" s="8">
        <f t="shared" si="156"/>
        <v>-0.51295812847461175</v>
      </c>
      <c r="V1000" s="8" t="str">
        <f t="shared" si="157"/>
        <v>Normal</v>
      </c>
      <c r="W1000" s="8">
        <f t="shared" si="158"/>
        <v>-0.59262160468756786</v>
      </c>
      <c r="X1000" s="8" t="str">
        <f t="shared" si="159"/>
        <v>Normal</v>
      </c>
    </row>
    <row r="1001" spans="1:24" x14ac:dyDescent="0.25">
      <c r="A1001" s="6">
        <v>1000</v>
      </c>
      <c r="B1001" s="7">
        <v>40588</v>
      </c>
      <c r="C1001" s="6">
        <v>2</v>
      </c>
      <c r="D1001" s="6" t="str">
        <f t="shared" si="150"/>
        <v>february</v>
      </c>
      <c r="E1001" s="6">
        <v>7</v>
      </c>
      <c r="F1001" s="6" t="str">
        <f t="shared" si="151"/>
        <v>Early Morning</v>
      </c>
      <c r="G1001" s="6" t="b">
        <v>0</v>
      </c>
      <c r="H1001" s="6">
        <f t="shared" si="152"/>
        <v>0</v>
      </c>
      <c r="I1001" s="6">
        <v>1</v>
      </c>
      <c r="J1001" s="6" t="str">
        <f t="shared" si="153"/>
        <v>Monday</v>
      </c>
      <c r="K1001" s="6">
        <f t="shared" si="154"/>
        <v>0</v>
      </c>
      <c r="L1001" s="6">
        <v>1</v>
      </c>
      <c r="M1001" s="6" t="str">
        <f t="shared" si="155"/>
        <v>Partly cloudy</v>
      </c>
      <c r="N1001" s="8">
        <v>0.34</v>
      </c>
      <c r="O1001" s="8">
        <v>0.30299999999999999</v>
      </c>
      <c r="P1001" s="8">
        <v>0.46</v>
      </c>
      <c r="Q1001" s="8">
        <v>0.29849999999999999</v>
      </c>
      <c r="R1001" s="6">
        <v>2</v>
      </c>
      <c r="S1001" s="6">
        <v>96</v>
      </c>
      <c r="T1001" s="6">
        <v>98</v>
      </c>
      <c r="U1001" s="8">
        <f t="shared" si="156"/>
        <v>-0.38213483633622569</v>
      </c>
      <c r="V1001" s="8" t="str">
        <f t="shared" si="157"/>
        <v>Normal</v>
      </c>
      <c r="W1001" s="8">
        <f t="shared" si="158"/>
        <v>0.88981978391889782</v>
      </c>
      <c r="X1001" s="8" t="str">
        <f t="shared" si="159"/>
        <v>Normal</v>
      </c>
    </row>
  </sheetData>
  <conditionalFormatting sqref="R2:R1001">
    <cfRule type="cellIs" dxfId="6" priority="4" operator="greaterThan">
      <formula>31</formula>
    </cfRule>
  </conditionalFormatting>
  <conditionalFormatting sqref="S1:S1048576">
    <cfRule type="cellIs" dxfId="5" priority="3" operator="greaterThan">
      <formula>123.5</formula>
    </cfRule>
  </conditionalFormatting>
  <conditionalFormatting sqref="V1:V1048576">
    <cfRule type="containsText" dxfId="4" priority="2" operator="containsText" text="Peak">
      <formula>NOT(ISERROR(SEARCH("Peak",V1)))</formula>
    </cfRule>
  </conditionalFormatting>
  <conditionalFormatting sqref="V2:V1001">
    <cfRule type="containsText" dxfId="3" priority="7" operator="containsText" text="Anomaly">
      <formula>NOT(ISERROR(SEARCH("Anomaly",V2)))</formula>
    </cfRule>
    <cfRule type="containsText" dxfId="2" priority="9" operator="containsText" text="Anomaly">
      <formula>NOT(ISERROR(SEARCH("Anomaly",V2)))</formula>
    </cfRule>
  </conditionalFormatting>
  <conditionalFormatting sqref="X1:X1048576">
    <cfRule type="containsText" dxfId="1" priority="1" operator="containsText" text="Peak">
      <formula>NOT(ISERROR(SEARCH("Peak",X1)))</formula>
    </cfRule>
  </conditionalFormatting>
  <conditionalFormatting sqref="Y18">
    <cfRule type="containsText" dxfId="0" priority="11" operator="containsText" text="Anomaly">
      <formula>NOT(ISERROR(SEARCH("Anomaly",Y18)))</formula>
    </cfRule>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B7DB0-0436-4421-AEC3-6E1630AFBD6F}">
  <sheetPr>
    <tabColor theme="4" tint="0.39997558519241921"/>
  </sheetPr>
  <dimension ref="A2:M72"/>
  <sheetViews>
    <sheetView topLeftCell="A28" workbookViewId="0">
      <selection activeCell="D59" sqref="D59"/>
    </sheetView>
  </sheetViews>
  <sheetFormatPr defaultRowHeight="12.5" x14ac:dyDescent="0.25"/>
  <cols>
    <col min="1" max="1" width="11" customWidth="1"/>
    <col min="2" max="2" width="33.36328125" customWidth="1"/>
    <col min="3" max="3" width="34.54296875" customWidth="1"/>
    <col min="4" max="4" width="34.453125" customWidth="1"/>
    <col min="6" max="6" width="13.54296875" bestFit="1" customWidth="1"/>
    <col min="8" max="8" width="8.90625" bestFit="1" customWidth="1"/>
    <col min="9" max="9" width="19.81640625" bestFit="1" customWidth="1"/>
    <col min="10" max="10" width="34.36328125" bestFit="1" customWidth="1"/>
    <col min="11" max="11" width="34.26953125" bestFit="1" customWidth="1"/>
    <col min="12" max="12" width="17.1796875" customWidth="1"/>
    <col min="13" max="13" width="31.36328125" customWidth="1"/>
    <col min="14" max="14" width="31.26953125" customWidth="1"/>
  </cols>
  <sheetData>
    <row r="2" spans="1:13" x14ac:dyDescent="0.25">
      <c r="A2" s="37" t="s">
        <v>93</v>
      </c>
      <c r="B2" s="37"/>
      <c r="H2" s="38" t="s">
        <v>94</v>
      </c>
      <c r="I2" s="38"/>
    </row>
    <row r="3" spans="1:13" ht="13" x14ac:dyDescent="0.3">
      <c r="A3" s="6" t="s">
        <v>1</v>
      </c>
      <c r="B3" s="5" t="s">
        <v>84</v>
      </c>
      <c r="C3" s="5" t="s">
        <v>85</v>
      </c>
      <c r="D3" s="5" t="s">
        <v>86</v>
      </c>
      <c r="E3" t="s">
        <v>87</v>
      </c>
      <c r="F3" t="s">
        <v>91</v>
      </c>
      <c r="H3" s="19" t="s">
        <v>1</v>
      </c>
      <c r="I3" s="22" t="s">
        <v>81</v>
      </c>
      <c r="J3" s="22" t="s">
        <v>82</v>
      </c>
      <c r="K3" s="23" t="s">
        <v>83</v>
      </c>
      <c r="L3" s="21" t="s">
        <v>87</v>
      </c>
      <c r="M3" s="21" t="s">
        <v>92</v>
      </c>
    </row>
    <row r="4" spans="1:13" x14ac:dyDescent="0.25">
      <c r="A4" s="7">
        <v>40589</v>
      </c>
      <c r="B4" s="5">
        <v>62.263210337816645</v>
      </c>
      <c r="C4" s="5">
        <v>39.903506226854297</v>
      </c>
      <c r="D4" s="5">
        <v>84.622914448778999</v>
      </c>
      <c r="E4" s="5">
        <f t="shared" ref="E4:E17" si="0">D4-C4</f>
        <v>44.719408221924702</v>
      </c>
      <c r="F4" s="5" t="str">
        <f>IF(Table24[[#This Row],[Range]]&gt;40,"High",IF(Table24[[#This Row],[Range]]&gt;20,"Moderate","Low"))</f>
        <v>High</v>
      </c>
      <c r="H4" s="15">
        <v>40589</v>
      </c>
      <c r="I4" s="8">
        <v>4.8565291352862721</v>
      </c>
      <c r="J4" s="8">
        <v>-1.9648029938527323</v>
      </c>
      <c r="K4" s="8">
        <v>11.677861264425276</v>
      </c>
      <c r="L4" s="8">
        <f t="shared" ref="L4:L17" si="1">K4-J4</f>
        <v>13.642664258278009</v>
      </c>
      <c r="M4" s="8" t="str">
        <f>IF(Table26[[#This Row],[Range]]&gt;40,"High",IF(Table26[[#This Row],[Range]]&gt;20,"Moderate","Low"))</f>
        <v>Low</v>
      </c>
    </row>
    <row r="5" spans="1:13" x14ac:dyDescent="0.25">
      <c r="A5" s="7">
        <v>40590</v>
      </c>
      <c r="B5" s="5">
        <v>65.743016796662502</v>
      </c>
      <c r="C5" s="5">
        <v>43.20371414134226</v>
      </c>
      <c r="D5" s="5">
        <v>88.282319451982744</v>
      </c>
      <c r="E5" s="5">
        <f t="shared" si="0"/>
        <v>45.078605310640484</v>
      </c>
      <c r="F5" s="5" t="str">
        <f>IF(Table24[[#This Row],[Range]]&gt;40,"High",IF(Table24[[#This Row],[Range]]&gt;20,"Moderate","Low"))</f>
        <v>High</v>
      </c>
      <c r="H5" s="15">
        <v>40590</v>
      </c>
      <c r="I5" s="8">
        <v>4.9858122840924839</v>
      </c>
      <c r="J5" s="8">
        <v>-2.6467798238581421</v>
      </c>
      <c r="K5" s="8">
        <v>12.618404392043111</v>
      </c>
      <c r="L5" s="8">
        <f t="shared" si="1"/>
        <v>15.265184215901254</v>
      </c>
      <c r="M5" s="8" t="str">
        <f>IF(Table26[[#This Row],[Range]]&gt;40,"High",IF(Table26[[#This Row],[Range]]&gt;20,"Moderate","Low"))</f>
        <v>Low</v>
      </c>
    </row>
    <row r="6" spans="1:13" x14ac:dyDescent="0.25">
      <c r="A6" s="7">
        <v>40591</v>
      </c>
      <c r="B6" s="5">
        <v>70.334537753982971</v>
      </c>
      <c r="C6" s="5">
        <v>47.614250578854936</v>
      </c>
      <c r="D6" s="5">
        <v>93.054824929111007</v>
      </c>
      <c r="E6" s="5">
        <f t="shared" si="0"/>
        <v>45.440574350256071</v>
      </c>
      <c r="F6" s="5" t="str">
        <f>IF(Table24[[#This Row],[Range]]&gt;40,"High",IF(Table24[[#This Row],[Range]]&gt;20,"Moderate","Low"))</f>
        <v>High</v>
      </c>
      <c r="H6" s="15">
        <v>40591</v>
      </c>
      <c r="I6" s="8">
        <v>5.2999640566995723</v>
      </c>
      <c r="J6" s="8">
        <v>-3.0683760284996673</v>
      </c>
      <c r="K6" s="8">
        <v>13.668304141898812</v>
      </c>
      <c r="L6" s="8">
        <f t="shared" si="1"/>
        <v>16.736680170398479</v>
      </c>
      <c r="M6" s="8" t="str">
        <f>IF(Table26[[#This Row],[Range]]&gt;40,"High",IF(Table26[[#This Row],[Range]]&gt;20,"Moderate","Low"))</f>
        <v>Low</v>
      </c>
    </row>
    <row r="7" spans="1:13" x14ac:dyDescent="0.25">
      <c r="A7" s="7">
        <v>40592</v>
      </c>
      <c r="B7" s="5">
        <v>63.50128361457493</v>
      </c>
      <c r="C7" s="5">
        <v>40.598636971904845</v>
      </c>
      <c r="D7" s="5">
        <v>86.403930257245008</v>
      </c>
      <c r="E7" s="5">
        <f t="shared" si="0"/>
        <v>45.805293285340163</v>
      </c>
      <c r="F7" s="5" t="str">
        <f>IF(Table24[[#This Row],[Range]]&gt;40,"High",IF(Table24[[#This Row],[Range]]&gt;20,"Moderate","Low"))</f>
        <v>High</v>
      </c>
      <c r="H7" s="15">
        <v>40592</v>
      </c>
      <c r="I7" s="8">
        <v>6.2511965261380391</v>
      </c>
      <c r="J7" s="8">
        <v>-2.7958264959822641</v>
      </c>
      <c r="K7" s="8">
        <v>15.298219548258341</v>
      </c>
      <c r="L7" s="8">
        <f t="shared" si="1"/>
        <v>18.094046044240606</v>
      </c>
      <c r="M7" s="8" t="str">
        <f>IF(Table26[[#This Row],[Range]]&gt;40,"High",IF(Table26[[#This Row],[Range]]&gt;20,"Moderate","Low"))</f>
        <v>Low</v>
      </c>
    </row>
    <row r="8" spans="1:13" x14ac:dyDescent="0.25">
      <c r="A8" s="7">
        <v>40593</v>
      </c>
      <c r="B8" s="5">
        <v>43.905158501825994</v>
      </c>
      <c r="C8" s="5">
        <v>20.818788370143952</v>
      </c>
      <c r="D8" s="5">
        <v>66.99152863350804</v>
      </c>
      <c r="E8" s="5">
        <f t="shared" si="0"/>
        <v>46.172740263364091</v>
      </c>
      <c r="F8" s="5" t="str">
        <f>IF(Table24[[#This Row],[Range]]&gt;40,"High",IF(Table24[[#This Row],[Range]]&gt;20,"Moderate","Low"))</f>
        <v>High</v>
      </c>
      <c r="H8" s="15">
        <v>40593</v>
      </c>
      <c r="I8" s="8">
        <v>7.6676802572171017</v>
      </c>
      <c r="J8" s="8">
        <v>-2.0129749216001525</v>
      </c>
      <c r="K8" s="8">
        <v>17.348335436034354</v>
      </c>
      <c r="L8" s="8">
        <f t="shared" si="1"/>
        <v>19.361310357634508</v>
      </c>
      <c r="M8" s="8" t="str">
        <f>IF(Table26[[#This Row],[Range]]&gt;40,"High",IF(Table26[[#This Row],[Range]]&gt;20,"Moderate","Low"))</f>
        <v>Low</v>
      </c>
    </row>
    <row r="9" spans="1:13" x14ac:dyDescent="0.25">
      <c r="A9" s="7">
        <v>40594</v>
      </c>
      <c r="B9" s="5">
        <v>40.807977773729228</v>
      </c>
      <c r="C9" s="5">
        <v>17.536530953923123</v>
      </c>
      <c r="D9" s="5">
        <v>64.079424593535336</v>
      </c>
      <c r="E9" s="5">
        <f t="shared" si="0"/>
        <v>46.542893639612217</v>
      </c>
      <c r="F9" s="5" t="str">
        <f>IF(Table24[[#This Row],[Range]]&gt;40,"High",IF(Table24[[#This Row],[Range]]&gt;20,"Moderate","Low"))</f>
        <v>High</v>
      </c>
      <c r="H9" s="15">
        <v>40594</v>
      </c>
      <c r="I9" s="8">
        <v>8.7400881986367693</v>
      </c>
      <c r="J9" s="8">
        <v>-1.5374886669408383</v>
      </c>
      <c r="K9" s="8">
        <v>19.017665064214377</v>
      </c>
      <c r="L9" s="8">
        <f t="shared" si="1"/>
        <v>20.555153731155215</v>
      </c>
      <c r="M9" s="8" t="str">
        <f>IF(Table26[[#This Row],[Range]]&gt;40,"High",IF(Table26[[#This Row],[Range]]&gt;20,"Moderate","Low"))</f>
        <v>Moderate</v>
      </c>
    </row>
    <row r="10" spans="1:13" x14ac:dyDescent="0.25">
      <c r="A10" s="7">
        <v>40595</v>
      </c>
      <c r="B10" s="5">
        <v>54.228588031677255</v>
      </c>
      <c r="C10" s="5">
        <v>30.770722040887037</v>
      </c>
      <c r="D10" s="5">
        <v>77.686454022467473</v>
      </c>
      <c r="E10" s="5">
        <f t="shared" si="0"/>
        <v>46.915731981580436</v>
      </c>
      <c r="F10" s="5" t="str">
        <f>IF(Table24[[#This Row],[Range]]&gt;40,"High",IF(Table24[[#This Row],[Range]]&gt;20,"Moderate","Low"))</f>
        <v>High</v>
      </c>
      <c r="H10" s="15">
        <v>40595</v>
      </c>
      <c r="I10" s="8">
        <v>6.3030619770642149</v>
      </c>
      <c r="J10" s="8">
        <v>-4.5407944971797614</v>
      </c>
      <c r="K10" s="8">
        <v>17.146918451308192</v>
      </c>
      <c r="L10" s="8">
        <f t="shared" si="1"/>
        <v>21.687712948487953</v>
      </c>
      <c r="M10" s="8" t="str">
        <f>IF(Table26[[#This Row],[Range]]&gt;40,"High",IF(Table26[[#This Row],[Range]]&gt;20,"Moderate","Low"))</f>
        <v>Moderate</v>
      </c>
    </row>
    <row r="11" spans="1:13" x14ac:dyDescent="0.25">
      <c r="A11" s="7">
        <v>40596</v>
      </c>
      <c r="B11" s="5">
        <v>63.668219565596708</v>
      </c>
      <c r="C11" s="5">
        <v>40.019780010640453</v>
      </c>
      <c r="D11" s="5">
        <v>87.31665912055297</v>
      </c>
      <c r="E11" s="5">
        <f t="shared" si="0"/>
        <v>47.296879109912517</v>
      </c>
      <c r="F11" s="5" t="str">
        <f>IF(Table24[[#This Row],[Range]]&gt;40,"High",IF(Table24[[#This Row],[Range]]&gt;20,"Moderate","Low"))</f>
        <v>High</v>
      </c>
      <c r="H11" s="15">
        <v>40596</v>
      </c>
      <c r="I11" s="8">
        <v>4.9656241862848125</v>
      </c>
      <c r="J11" s="8">
        <v>-6.4205257496016168</v>
      </c>
      <c r="K11" s="8">
        <v>16.351774122171243</v>
      </c>
      <c r="L11" s="8">
        <f t="shared" si="1"/>
        <v>22.772299871772859</v>
      </c>
      <c r="M11" s="8" t="str">
        <f>IF(Table26[[#This Row],[Range]]&gt;40,"High",IF(Table26[[#This Row],[Range]]&gt;20,"Moderate","Low"))</f>
        <v>Moderate</v>
      </c>
    </row>
    <row r="12" spans="1:13" x14ac:dyDescent="0.25">
      <c r="A12" s="7">
        <v>40597</v>
      </c>
      <c r="B12" s="5">
        <v>67.148026024442558</v>
      </c>
      <c r="C12" s="5">
        <v>43.310536434996131</v>
      </c>
      <c r="D12" s="5">
        <v>90.985515613888992</v>
      </c>
      <c r="E12" s="5">
        <f t="shared" si="0"/>
        <v>47.674979178892862</v>
      </c>
      <c r="F12" s="5" t="str">
        <f>IF(Table24[[#This Row],[Range]]&gt;40,"High",IF(Table24[[#This Row],[Range]]&gt;20,"Moderate","Low"))</f>
        <v>High</v>
      </c>
      <c r="H12" s="15">
        <v>40597</v>
      </c>
      <c r="I12" s="8">
        <v>5.0949073350910226</v>
      </c>
      <c r="J12" s="8">
        <v>-6.8088566700869233</v>
      </c>
      <c r="K12" s="8">
        <v>16.99867134026897</v>
      </c>
      <c r="L12" s="8">
        <f t="shared" si="1"/>
        <v>23.807528010355895</v>
      </c>
      <c r="M12" s="8" t="str">
        <f>IF(Table26[[#This Row],[Range]]&gt;40,"High",IF(Table26[[#This Row],[Range]]&gt;20,"Moderate","Low"))</f>
        <v>Moderate</v>
      </c>
    </row>
    <row r="13" spans="1:13" x14ac:dyDescent="0.25">
      <c r="A13" s="7">
        <v>40598</v>
      </c>
      <c r="B13" s="5">
        <v>71.739546981763027</v>
      </c>
      <c r="C13" s="5">
        <v>47.711696167916045</v>
      </c>
      <c r="D13" s="5">
        <v>95.767397795610009</v>
      </c>
      <c r="E13" s="5">
        <f t="shared" si="0"/>
        <v>48.055701627693963</v>
      </c>
      <c r="F13" s="5" t="str">
        <f>IF(Table24[[#This Row],[Range]]&gt;40,"High",IF(Table24[[#This Row],[Range]]&gt;20,"Moderate","Low"))</f>
        <v>High</v>
      </c>
      <c r="H13" s="15">
        <v>40598</v>
      </c>
      <c r="I13" s="8">
        <v>5.4090591076981127</v>
      </c>
      <c r="J13" s="8">
        <v>-6.9926423591304587</v>
      </c>
      <c r="K13" s="8">
        <v>17.810760574526682</v>
      </c>
      <c r="L13" s="8">
        <f t="shared" si="1"/>
        <v>24.803402933657139</v>
      </c>
      <c r="M13" s="8" t="str">
        <f>IF(Table26[[#This Row],[Range]]&gt;40,"High",IF(Table26[[#This Row],[Range]]&gt;20,"Moderate","Low"))</f>
        <v>Moderate</v>
      </c>
    </row>
    <row r="14" spans="1:13" x14ac:dyDescent="0.25">
      <c r="A14" s="7">
        <v>40599</v>
      </c>
      <c r="B14" s="5">
        <v>64.906292842354986</v>
      </c>
      <c r="C14" s="5">
        <v>40.686779888669967</v>
      </c>
      <c r="D14" s="5">
        <v>89.125805796039998</v>
      </c>
      <c r="E14" s="5">
        <f t="shared" si="0"/>
        <v>48.439025907370031</v>
      </c>
      <c r="F14" s="5" t="str">
        <f>IF(Table24[[#This Row],[Range]]&gt;40,"High",IF(Table24[[#This Row],[Range]]&gt;20,"Moderate","Low"))</f>
        <v>High</v>
      </c>
      <c r="H14" s="15">
        <v>40599</v>
      </c>
      <c r="I14" s="8">
        <v>6.3602915771365787</v>
      </c>
      <c r="J14" s="8">
        <v>-6.5219562378891105</v>
      </c>
      <c r="K14" s="8">
        <v>19.242539392162268</v>
      </c>
      <c r="L14" s="8">
        <f t="shared" si="1"/>
        <v>25.764495630051378</v>
      </c>
      <c r="M14" s="8" t="str">
        <f>IF(Table26[[#This Row],[Range]]&gt;40,"High",IF(Table26[[#This Row],[Range]]&gt;20,"Moderate","Low"))</f>
        <v>Moderate</v>
      </c>
    </row>
    <row r="15" spans="1:13" x14ac:dyDescent="0.25">
      <c r="A15" s="7">
        <v>40600</v>
      </c>
      <c r="B15" s="5">
        <v>45.31016772960605</v>
      </c>
      <c r="C15" s="5">
        <v>20.897701881531816</v>
      </c>
      <c r="D15" s="5">
        <v>69.722633577680284</v>
      </c>
      <c r="E15" s="5">
        <f t="shared" si="0"/>
        <v>48.824931696148468</v>
      </c>
      <c r="F15" s="5" t="str">
        <f>IF(Table24[[#This Row],[Range]]&gt;40,"High",IF(Table24[[#This Row],[Range]]&gt;20,"Moderate","Low"))</f>
        <v>High</v>
      </c>
      <c r="H15" s="15">
        <v>40600</v>
      </c>
      <c r="I15" s="8">
        <v>7.7767753082156421</v>
      </c>
      <c r="J15" s="8">
        <v>-5.5705097729648294</v>
      </c>
      <c r="K15" s="8">
        <v>21.124060389396114</v>
      </c>
      <c r="L15" s="8">
        <f t="shared" si="1"/>
        <v>26.694570162360943</v>
      </c>
      <c r="M15" s="8" t="str">
        <f>IF(Table26[[#This Row],[Range]]&gt;40,"High",IF(Table26[[#This Row],[Range]]&gt;20,"Moderate","Low"))</f>
        <v>Moderate</v>
      </c>
    </row>
    <row r="16" spans="1:13" x14ac:dyDescent="0.25">
      <c r="A16" s="7">
        <v>40601</v>
      </c>
      <c r="B16" s="5">
        <v>42.212987001509291</v>
      </c>
      <c r="C16" s="5">
        <v>17.606287550866881</v>
      </c>
      <c r="D16" s="5">
        <v>66.8196864521517</v>
      </c>
      <c r="E16" s="5">
        <f t="shared" si="0"/>
        <v>49.213398901284819</v>
      </c>
      <c r="F16" s="5" t="str">
        <f>IF(Table24[[#This Row],[Range]]&gt;40,"High",IF(Table24[[#This Row],[Range]]&gt;20,"Moderate","Low"))</f>
        <v>High</v>
      </c>
      <c r="H16" s="15">
        <v>40601</v>
      </c>
      <c r="I16" s="8">
        <v>8.849183249635308</v>
      </c>
      <c r="J16" s="8">
        <v>-4.9492015524053947</v>
      </c>
      <c r="K16" s="8">
        <v>22.647568051676011</v>
      </c>
      <c r="L16" s="8">
        <f t="shared" si="1"/>
        <v>27.596769604081405</v>
      </c>
      <c r="M16" s="8" t="str">
        <f>IF(Table26[[#This Row],[Range]]&gt;40,"High",IF(Table26[[#This Row],[Range]]&gt;20,"Moderate","Low"))</f>
        <v>Moderate</v>
      </c>
    </row>
    <row r="17" spans="1:13" x14ac:dyDescent="0.25">
      <c r="A17" s="7">
        <v>40602</v>
      </c>
      <c r="B17" s="5">
        <v>55.633597259457318</v>
      </c>
      <c r="C17" s="5">
        <v>30.831393429172053</v>
      </c>
      <c r="D17" s="5">
        <v>80.435801089742583</v>
      </c>
      <c r="E17" s="5">
        <f t="shared" si="0"/>
        <v>49.60440766057053</v>
      </c>
      <c r="F17" s="5" t="str">
        <f>IF(Table24[[#This Row],[Range]]&gt;40,"High",IF(Table24[[#This Row],[Range]]&gt;20,"Moderate","Low"))</f>
        <v>High</v>
      </c>
      <c r="H17" s="15">
        <v>40602</v>
      </c>
      <c r="I17" s="8">
        <v>6.4121570280627553</v>
      </c>
      <c r="J17" s="8">
        <v>-7.8247181259003957</v>
      </c>
      <c r="K17" s="8">
        <v>20.649032182025906</v>
      </c>
      <c r="L17" s="8">
        <f t="shared" si="1"/>
        <v>28.473750307926302</v>
      </c>
      <c r="M17" s="8" t="str">
        <f>IF(Table26[[#This Row],[Range]]&gt;40,"High",IF(Table26[[#This Row],[Range]]&gt;20,"Moderate","Low"))</f>
        <v>Moderate</v>
      </c>
    </row>
    <row r="19" spans="1:13" x14ac:dyDescent="0.25">
      <c r="A19" s="38" t="s">
        <v>95</v>
      </c>
      <c r="B19" s="38"/>
    </row>
    <row r="20" spans="1:13" x14ac:dyDescent="0.25">
      <c r="A20" t="s">
        <v>1</v>
      </c>
      <c r="B20" s="6" t="s">
        <v>88</v>
      </c>
      <c r="C20" s="6" t="s">
        <v>89</v>
      </c>
      <c r="D20" s="6" t="s">
        <v>90</v>
      </c>
      <c r="E20" t="s">
        <v>87</v>
      </c>
      <c r="F20" t="s">
        <v>92</v>
      </c>
    </row>
    <row r="21" spans="1:13" x14ac:dyDescent="0.25">
      <c r="A21" s="15">
        <v>40589</v>
      </c>
      <c r="B21" s="8">
        <v>61.270134143024279</v>
      </c>
      <c r="C21" s="8">
        <v>31.858655883675784</v>
      </c>
      <c r="D21" s="8">
        <v>90.681612402372778</v>
      </c>
      <c r="E21" s="8">
        <f t="shared" ref="E21:E34" si="2">D4-C4</f>
        <v>44.719408221924702</v>
      </c>
      <c r="F21" s="8" t="str">
        <f>IF(Table25[[#This Row],[Range]]&gt;40,"High",IF(Table25[[#This Row],[Range]]&gt;20,"Moderate","Low"))</f>
        <v>High</v>
      </c>
    </row>
    <row r="22" spans="1:13" x14ac:dyDescent="0.25">
      <c r="A22" s="15">
        <v>40590</v>
      </c>
      <c r="B22" s="8">
        <v>61.525827765725516</v>
      </c>
      <c r="C22" s="8">
        <v>31.878109408718345</v>
      </c>
      <c r="D22" s="8">
        <v>91.173546122732688</v>
      </c>
      <c r="E22" s="8">
        <f t="shared" si="2"/>
        <v>45.078605310640484</v>
      </c>
      <c r="F22" s="8" t="str">
        <f>IF(Table25[[#This Row],[Range]]&gt;40,"High",IF(Table25[[#This Row],[Range]]&gt;20,"Moderate","Low"))</f>
        <v>High</v>
      </c>
    </row>
    <row r="23" spans="1:13" x14ac:dyDescent="0.25">
      <c r="A23" s="15">
        <v>40591</v>
      </c>
      <c r="B23" s="8">
        <v>61.781521388426746</v>
      </c>
      <c r="C23" s="8">
        <v>31.895739851191895</v>
      </c>
      <c r="D23" s="8">
        <v>91.667302925661602</v>
      </c>
      <c r="E23" s="8">
        <f t="shared" si="2"/>
        <v>45.440574350256071</v>
      </c>
      <c r="F23" s="8" t="str">
        <f>IF(Table25[[#This Row],[Range]]&gt;40,"High",IF(Table25[[#This Row],[Range]]&gt;20,"Moderate","Low"))</f>
        <v>High</v>
      </c>
    </row>
    <row r="24" spans="1:13" x14ac:dyDescent="0.25">
      <c r="A24" s="15">
        <v>40592</v>
      </c>
      <c r="B24" s="8">
        <v>62.037215011127984</v>
      </c>
      <c r="C24" s="8">
        <v>31.911561716718598</v>
      </c>
      <c r="D24" s="8">
        <v>92.162868305537373</v>
      </c>
      <c r="E24" s="8">
        <f t="shared" si="2"/>
        <v>45.805293285340163</v>
      </c>
      <c r="F24" s="8" t="str">
        <f>IF(Table25[[#This Row],[Range]]&gt;40,"High",IF(Table25[[#This Row],[Range]]&gt;20,"Moderate","Low"))</f>
        <v>High</v>
      </c>
    </row>
    <row r="25" spans="1:13" x14ac:dyDescent="0.25">
      <c r="A25" s="15">
        <v>40593</v>
      </c>
      <c r="B25" s="8">
        <v>62.292908633829221</v>
      </c>
      <c r="C25" s="8">
        <v>31.925589377473688</v>
      </c>
      <c r="D25" s="8">
        <v>92.660227890184757</v>
      </c>
      <c r="E25" s="8">
        <f t="shared" si="2"/>
        <v>46.172740263364091</v>
      </c>
      <c r="F25" s="8" t="str">
        <f>IF(Table25[[#This Row],[Range]]&gt;40,"High",IF(Table25[[#This Row],[Range]]&gt;20,"Moderate","Low"))</f>
        <v>High</v>
      </c>
    </row>
    <row r="26" spans="1:13" x14ac:dyDescent="0.25">
      <c r="A26" s="15">
        <v>40594</v>
      </c>
      <c r="B26" s="8">
        <v>62.548602256530458</v>
      </c>
      <c r="C26" s="8">
        <v>31.937837068955986</v>
      </c>
      <c r="D26" s="8">
        <v>93.15936744410493</v>
      </c>
      <c r="E26" s="8">
        <f t="shared" si="2"/>
        <v>46.542893639612217</v>
      </c>
      <c r="F26" s="8" t="str">
        <f>IF(Table25[[#This Row],[Range]]&gt;40,"High",IF(Table25[[#This Row],[Range]]&gt;20,"Moderate","Low"))</f>
        <v>High</v>
      </c>
    </row>
    <row r="27" spans="1:13" x14ac:dyDescent="0.25">
      <c r="A27" s="15">
        <v>40595</v>
      </c>
      <c r="B27" s="8">
        <v>62.804295879231688</v>
      </c>
      <c r="C27" s="8">
        <v>31.948318887095059</v>
      </c>
      <c r="D27" s="8">
        <v>93.660272871368321</v>
      </c>
      <c r="E27" s="8">
        <f t="shared" si="2"/>
        <v>46.915731981580436</v>
      </c>
      <c r="F27" s="8" t="str">
        <f>IF(Table25[[#This Row],[Range]]&gt;40,"High",IF(Table25[[#This Row],[Range]]&gt;20,"Moderate","Low"))</f>
        <v>High</v>
      </c>
    </row>
    <row r="28" spans="1:13" x14ac:dyDescent="0.25">
      <c r="A28" s="15">
        <v>40596</v>
      </c>
      <c r="B28" s="8">
        <v>63.059989501932925</v>
      </c>
      <c r="C28" s="8">
        <v>31.95704878567814</v>
      </c>
      <c r="D28" s="8">
        <v>94.162930218187711</v>
      </c>
      <c r="E28" s="8">
        <f t="shared" si="2"/>
        <v>47.296879109912517</v>
      </c>
      <c r="F28" s="8" t="str">
        <f>IF(Table25[[#This Row],[Range]]&gt;40,"High",IF(Table25[[#This Row],[Range]]&gt;20,"Moderate","Low"))</f>
        <v>High</v>
      </c>
    </row>
    <row r="29" spans="1:13" x14ac:dyDescent="0.25">
      <c r="A29" s="15">
        <v>40597</v>
      </c>
      <c r="B29" s="8">
        <v>63.315683124634162</v>
      </c>
      <c r="C29" s="8">
        <v>31.964040574080091</v>
      </c>
      <c r="D29" s="8">
        <v>94.667325675188238</v>
      </c>
      <c r="E29" s="8">
        <f t="shared" si="2"/>
        <v>47.674979178892862</v>
      </c>
      <c r="F29" s="8" t="str">
        <f>IF(Table25[[#This Row],[Range]]&gt;40,"High",IF(Table25[[#This Row],[Range]]&gt;20,"Moderate","Low"))</f>
        <v>High</v>
      </c>
    </row>
    <row r="30" spans="1:13" x14ac:dyDescent="0.25">
      <c r="A30" s="15">
        <v>40598</v>
      </c>
      <c r="B30" s="8">
        <v>63.5713767473354</v>
      </c>
      <c r="C30" s="8">
        <v>31.969307915280588</v>
      </c>
      <c r="D30" s="8">
        <v>95.173445579390204</v>
      </c>
      <c r="E30" s="8">
        <f t="shared" si="2"/>
        <v>48.055701627693963</v>
      </c>
      <c r="F30" s="8" t="str">
        <f>IF(Table25[[#This Row],[Range]]&gt;40,"High",IF(Table25[[#This Row],[Range]]&gt;20,"Moderate","Low"))</f>
        <v>High</v>
      </c>
    </row>
    <row r="31" spans="1:13" x14ac:dyDescent="0.25">
      <c r="A31" s="15">
        <v>40599</v>
      </c>
      <c r="B31" s="8">
        <v>63.827070370036637</v>
      </c>
      <c r="C31" s="8">
        <v>31.972864324152855</v>
      </c>
      <c r="D31" s="8">
        <v>95.681276415920422</v>
      </c>
      <c r="E31" s="8">
        <f t="shared" si="2"/>
        <v>48.439025907370031</v>
      </c>
      <c r="F31" s="8" t="str">
        <f>IF(Table25[[#This Row],[Range]]&gt;40,"High",IF(Table25[[#This Row],[Range]]&gt;20,"Moderate","Low"))</f>
        <v>High</v>
      </c>
    </row>
    <row r="32" spans="1:13" x14ac:dyDescent="0.25">
      <c r="A32" s="15">
        <v>40600</v>
      </c>
      <c r="B32" s="8">
        <v>64.082763992737867</v>
      </c>
      <c r="C32" s="8">
        <v>31.974723166009028</v>
      </c>
      <c r="D32" s="8">
        <v>96.190804819466706</v>
      </c>
      <c r="E32" s="8">
        <f t="shared" si="2"/>
        <v>48.824931696148468</v>
      </c>
      <c r="F32" s="8" t="str">
        <f>IF(Table25[[#This Row],[Range]]&gt;40,"High",IF(Table25[[#This Row],[Range]]&gt;20,"Moderate","Low"))</f>
        <v>High</v>
      </c>
    </row>
    <row r="33" spans="1:6" x14ac:dyDescent="0.25">
      <c r="A33" s="15">
        <v>40601</v>
      </c>
      <c r="B33" s="8">
        <v>64.338457615439111</v>
      </c>
      <c r="C33" s="8">
        <v>31.974897655387771</v>
      </c>
      <c r="D33" s="8">
        <v>96.702017575490459</v>
      </c>
      <c r="E33" s="8">
        <f t="shared" si="2"/>
        <v>49.213398901284819</v>
      </c>
      <c r="F33" s="8" t="str">
        <f>IF(Table25[[#This Row],[Range]]&gt;40,"High",IF(Table25[[#This Row],[Range]]&gt;20,"Moderate","Low"))</f>
        <v>High</v>
      </c>
    </row>
    <row r="34" spans="1:6" x14ac:dyDescent="0.25">
      <c r="A34" s="15">
        <v>40602</v>
      </c>
      <c r="B34" s="8">
        <v>64.594151238140341</v>
      </c>
      <c r="C34" s="8">
        <v>31.973400855070025</v>
      </c>
      <c r="D34" s="8">
        <v>97.214901621210657</v>
      </c>
      <c r="E34" s="8">
        <f t="shared" si="2"/>
        <v>49.60440766057053</v>
      </c>
      <c r="F34" s="8" t="str">
        <f>IF(Table25[[#This Row],[Range]]&gt;40,"High",IF(Table25[[#This Row],[Range]]&gt;20,"Moderate","Low"))</f>
        <v>High</v>
      </c>
    </row>
    <row r="36" spans="1:6" x14ac:dyDescent="0.25">
      <c r="A36" s="38" t="s">
        <v>98</v>
      </c>
      <c r="B36" s="38"/>
      <c r="C36" s="38"/>
    </row>
    <row r="38" spans="1:6" ht="13" x14ac:dyDescent="0.3">
      <c r="A38" s="20" t="s">
        <v>1</v>
      </c>
      <c r="B38" s="24" t="s">
        <v>84</v>
      </c>
      <c r="C38" s="22" t="s">
        <v>81</v>
      </c>
      <c r="D38" s="21" t="s">
        <v>88</v>
      </c>
    </row>
    <row r="39" spans="1:6" x14ac:dyDescent="0.25">
      <c r="A39" s="18">
        <v>40589</v>
      </c>
      <c r="B39" s="25">
        <v>62.263210337816645</v>
      </c>
      <c r="C39" s="17">
        <v>4.8565291352862721</v>
      </c>
      <c r="D39" s="17">
        <v>61.270134143024279</v>
      </c>
    </row>
    <row r="40" spans="1:6" x14ac:dyDescent="0.25">
      <c r="A40" s="27">
        <v>40590</v>
      </c>
      <c r="B40" s="26">
        <v>65.743016796662502</v>
      </c>
      <c r="C40" s="16">
        <v>4.9858122840924839</v>
      </c>
      <c r="D40" s="16">
        <v>61.525827765725516</v>
      </c>
    </row>
    <row r="41" spans="1:6" x14ac:dyDescent="0.25">
      <c r="A41" s="18">
        <v>40591</v>
      </c>
      <c r="B41" s="25">
        <v>70.334537753982971</v>
      </c>
      <c r="C41" s="17">
        <v>5.2999640566995723</v>
      </c>
      <c r="D41" s="17">
        <v>61.781521388426746</v>
      </c>
    </row>
    <row r="42" spans="1:6" x14ac:dyDescent="0.25">
      <c r="A42" s="27">
        <v>40592</v>
      </c>
      <c r="B42" s="26">
        <v>63.50128361457493</v>
      </c>
      <c r="C42" s="16">
        <v>6.2511965261380391</v>
      </c>
      <c r="D42" s="16">
        <v>62.037215011127984</v>
      </c>
    </row>
    <row r="43" spans="1:6" x14ac:dyDescent="0.25">
      <c r="A43" s="18">
        <v>40593</v>
      </c>
      <c r="B43" s="25">
        <v>43.905158501825994</v>
      </c>
      <c r="C43" s="17">
        <v>7.6676802572171017</v>
      </c>
      <c r="D43" s="17">
        <v>62.292908633829221</v>
      </c>
    </row>
    <row r="44" spans="1:6" x14ac:dyDescent="0.25">
      <c r="A44" s="27">
        <v>40594</v>
      </c>
      <c r="B44" s="26">
        <v>40.807977773729228</v>
      </c>
      <c r="C44" s="16">
        <v>8.7400881986367693</v>
      </c>
      <c r="D44" s="16">
        <v>62.548602256530458</v>
      </c>
    </row>
    <row r="45" spans="1:6" x14ac:dyDescent="0.25">
      <c r="A45" s="18">
        <v>40595</v>
      </c>
      <c r="B45" s="25">
        <v>54.228588031677255</v>
      </c>
      <c r="C45" s="17">
        <v>6.3030619770642149</v>
      </c>
      <c r="D45" s="17">
        <v>62.804295879231688</v>
      </c>
    </row>
    <row r="46" spans="1:6" x14ac:dyDescent="0.25">
      <c r="A46" s="27">
        <v>40596</v>
      </c>
      <c r="B46" s="26">
        <v>63.668219565596708</v>
      </c>
      <c r="C46" s="16">
        <v>4.9656241862848125</v>
      </c>
      <c r="D46" s="16">
        <v>63.059989501932925</v>
      </c>
    </row>
    <row r="47" spans="1:6" x14ac:dyDescent="0.25">
      <c r="A47" s="18">
        <v>40597</v>
      </c>
      <c r="B47" s="25">
        <v>67.148026024442558</v>
      </c>
      <c r="C47" s="17">
        <v>5.0949073350910226</v>
      </c>
      <c r="D47" s="17">
        <v>63.315683124634162</v>
      </c>
    </row>
    <row r="48" spans="1:6" x14ac:dyDescent="0.25">
      <c r="A48" s="27">
        <v>40598</v>
      </c>
      <c r="B48" s="26">
        <v>71.739546981763027</v>
      </c>
      <c r="C48" s="16">
        <v>5.4090591076981127</v>
      </c>
      <c r="D48" s="16">
        <v>63.5713767473354</v>
      </c>
    </row>
    <row r="49" spans="1:4" x14ac:dyDescent="0.25">
      <c r="A49" s="18">
        <v>40599</v>
      </c>
      <c r="B49" s="25">
        <v>64.906292842354986</v>
      </c>
      <c r="C49" s="17">
        <v>6.3602915771365787</v>
      </c>
      <c r="D49" s="17">
        <v>63.827070370036637</v>
      </c>
    </row>
    <row r="50" spans="1:4" x14ac:dyDescent="0.25">
      <c r="A50" s="27">
        <v>40600</v>
      </c>
      <c r="B50" s="26">
        <v>45.31016772960605</v>
      </c>
      <c r="C50" s="16">
        <v>7.7767753082156421</v>
      </c>
      <c r="D50" s="16">
        <v>64.082763992737867</v>
      </c>
    </row>
    <row r="51" spans="1:4" x14ac:dyDescent="0.25">
      <c r="A51" s="18">
        <v>40601</v>
      </c>
      <c r="B51" s="25">
        <v>42.212987001509291</v>
      </c>
      <c r="C51" s="17">
        <v>8.849183249635308</v>
      </c>
      <c r="D51" s="17">
        <v>64.338457615439111</v>
      </c>
    </row>
    <row r="52" spans="1:4" x14ac:dyDescent="0.25">
      <c r="A52" s="28">
        <v>40602</v>
      </c>
      <c r="B52" s="29">
        <v>55.633597259457318</v>
      </c>
      <c r="C52" s="30">
        <v>6.4121570280627553</v>
      </c>
      <c r="D52" s="30">
        <v>64.594151238140341</v>
      </c>
    </row>
    <row r="54" spans="1:4" x14ac:dyDescent="0.25">
      <c r="A54" s="6"/>
      <c r="B54" s="6"/>
      <c r="C54" s="6"/>
      <c r="D54" s="6"/>
    </row>
    <row r="55" spans="1:4" ht="17.5" x14ac:dyDescent="0.25">
      <c r="A55" s="45" t="s">
        <v>108</v>
      </c>
      <c r="B55" s="45"/>
      <c r="C55" s="45"/>
      <c r="D55" s="6"/>
    </row>
    <row r="56" spans="1:4" x14ac:dyDescent="0.25">
      <c r="A56" s="39"/>
      <c r="C56" s="6"/>
      <c r="D56" s="6"/>
    </row>
    <row r="57" spans="1:4" ht="13" x14ac:dyDescent="0.25">
      <c r="A57" s="40" t="s">
        <v>109</v>
      </c>
      <c r="B57" s="40" t="s">
        <v>110</v>
      </c>
      <c r="C57" s="43"/>
      <c r="D57" s="6"/>
    </row>
    <row r="58" spans="1:4" ht="26" x14ac:dyDescent="0.25">
      <c r="A58" s="44" t="s">
        <v>111</v>
      </c>
      <c r="B58" s="42" t="s">
        <v>112</v>
      </c>
      <c r="C58" s="43"/>
      <c r="D58" s="6"/>
    </row>
    <row r="59" spans="1:4" ht="26" x14ac:dyDescent="0.25">
      <c r="A59" s="44" t="s">
        <v>113</v>
      </c>
      <c r="B59" s="42" t="s">
        <v>114</v>
      </c>
      <c r="C59" s="43"/>
      <c r="D59" s="6"/>
    </row>
    <row r="60" spans="1:4" ht="26" x14ac:dyDescent="0.25">
      <c r="A60" s="44" t="s">
        <v>115</v>
      </c>
      <c r="B60" s="42" t="s">
        <v>116</v>
      </c>
      <c r="C60" s="43"/>
      <c r="D60" s="6"/>
    </row>
    <row r="61" spans="1:4" x14ac:dyDescent="0.25">
      <c r="A61" s="6"/>
      <c r="B61" s="6"/>
      <c r="C61" s="6"/>
      <c r="D61" s="6"/>
    </row>
    <row r="62" spans="1:4" x14ac:dyDescent="0.25">
      <c r="A62" s="6"/>
      <c r="B62" s="6"/>
      <c r="C62" s="6"/>
      <c r="D62" s="6"/>
    </row>
    <row r="63" spans="1:4" x14ac:dyDescent="0.25">
      <c r="A63" s="6"/>
      <c r="B63" s="6"/>
      <c r="C63" s="6"/>
      <c r="D63" s="6"/>
    </row>
    <row r="64" spans="1:4" x14ac:dyDescent="0.25">
      <c r="A64" s="6"/>
      <c r="B64" s="6"/>
      <c r="C64" s="6"/>
      <c r="D64" s="6"/>
    </row>
    <row r="65" spans="1:4" x14ac:dyDescent="0.25">
      <c r="A65" s="6"/>
      <c r="B65" s="6"/>
      <c r="C65" s="6"/>
      <c r="D65" s="6"/>
    </row>
    <row r="66" spans="1:4" x14ac:dyDescent="0.25">
      <c r="A66" s="6"/>
      <c r="B66" s="6"/>
      <c r="C66" s="6"/>
      <c r="D66" s="6"/>
    </row>
    <row r="67" spans="1:4" x14ac:dyDescent="0.25">
      <c r="A67" s="6"/>
      <c r="B67" s="6"/>
      <c r="C67" s="6"/>
      <c r="D67" s="6"/>
    </row>
    <row r="68" spans="1:4" x14ac:dyDescent="0.25">
      <c r="A68" s="6"/>
      <c r="B68" s="6"/>
      <c r="C68" s="6"/>
      <c r="D68" s="6"/>
    </row>
    <row r="69" spans="1:4" x14ac:dyDescent="0.25">
      <c r="A69" s="6"/>
      <c r="B69" s="6"/>
      <c r="C69" s="6"/>
      <c r="D69" s="6"/>
    </row>
    <row r="70" spans="1:4" x14ac:dyDescent="0.25">
      <c r="A70" s="6"/>
      <c r="B70" s="6"/>
      <c r="C70" s="6"/>
      <c r="D70" s="6"/>
    </row>
    <row r="71" spans="1:4" x14ac:dyDescent="0.25">
      <c r="A71" s="6"/>
      <c r="B71" s="6"/>
      <c r="C71" s="6"/>
      <c r="D71" s="6"/>
    </row>
    <row r="72" spans="1:4" x14ac:dyDescent="0.25">
      <c r="A72" s="6"/>
      <c r="B72" s="6"/>
      <c r="C72" s="6"/>
      <c r="D72" s="6"/>
    </row>
  </sheetData>
  <mergeCells count="5">
    <mergeCell ref="A2:B2"/>
    <mergeCell ref="H2:I2"/>
    <mergeCell ref="A19:B19"/>
    <mergeCell ref="A36:C36"/>
    <mergeCell ref="A55:C55"/>
  </mergeCells>
  <conditionalFormatting sqref="F4:F17">
    <cfRule type="colorScale" priority="2">
      <colorScale>
        <cfvo type="min"/>
        <cfvo type="percentile" val="50"/>
        <cfvo type="max"/>
        <color rgb="FFF8696B"/>
        <color rgb="FFFCFCFF"/>
        <color rgb="FF5A8AC6"/>
      </colorScale>
    </cfRule>
  </conditionalFormatting>
  <conditionalFormatting sqref="M4:M17">
    <cfRule type="colorScale" priority="1">
      <colorScale>
        <cfvo type="min"/>
        <cfvo type="percentile" val="50"/>
        <cfvo type="max"/>
        <color rgb="FFF8696B"/>
        <color rgb="FFFFEB84"/>
        <color rgb="FF63BE7B"/>
      </colorScale>
    </cfRule>
  </conditionalFormatting>
  <pageMargins left="0.7" right="0.7" top="0.75" bottom="0.75" header="0.3" footer="0.3"/>
  <tableParts count="4">
    <tablePart r:id="rId1"/>
    <tablePart r:id="rId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7C4CD-6881-40D6-A65F-757AF2AA7F5A}">
  <sheetPr>
    <tabColor theme="7" tint="0.39997558519241921"/>
  </sheetPr>
  <dimension ref="A1:F20"/>
  <sheetViews>
    <sheetView workbookViewId="0">
      <selection activeCell="D5" sqref="D5:F9"/>
    </sheetView>
  </sheetViews>
  <sheetFormatPr defaultRowHeight="12.5" x14ac:dyDescent="0.25"/>
  <cols>
    <col min="1" max="1" width="17.7265625" customWidth="1"/>
    <col min="2" max="2" width="17.6328125" customWidth="1"/>
    <col min="3" max="3" width="24.08984375" customWidth="1"/>
    <col min="4" max="4" width="24.453125" bestFit="1" customWidth="1"/>
    <col min="5" max="5" width="22.453125" customWidth="1"/>
    <col min="6" max="6" width="66.1796875" bestFit="1" customWidth="1"/>
  </cols>
  <sheetData>
    <row r="1" spans="1:6" x14ac:dyDescent="0.25">
      <c r="A1" s="35" t="s">
        <v>96</v>
      </c>
    </row>
    <row r="2" spans="1:6" x14ac:dyDescent="0.25">
      <c r="A2" s="11"/>
      <c r="B2" s="11"/>
    </row>
    <row r="3" spans="1:6" x14ac:dyDescent="0.25">
      <c r="A3" s="32" t="s">
        <v>21</v>
      </c>
      <c r="B3" s="33">
        <f>AVERAGE(Append1[casual])</f>
        <v>4.9210000000000003</v>
      </c>
    </row>
    <row r="4" spans="1:6" x14ac:dyDescent="0.25">
      <c r="A4" s="32" t="s">
        <v>22</v>
      </c>
      <c r="B4" s="33">
        <f>_xlfn.STDEV.S(Append1[casual])</f>
        <v>7.6438987557520797</v>
      </c>
    </row>
    <row r="5" spans="1:6" x14ac:dyDescent="0.25">
      <c r="B5" s="5"/>
      <c r="D5" s="35" t="s">
        <v>99</v>
      </c>
    </row>
    <row r="6" spans="1:6" ht="13" x14ac:dyDescent="0.25">
      <c r="A6" s="32" t="s">
        <v>23</v>
      </c>
      <c r="B6" s="33">
        <f>AVERAGE(Append1[registered])</f>
        <v>53.383000000000003</v>
      </c>
      <c r="D6" s="9" t="s">
        <v>37</v>
      </c>
      <c r="E6" s="9" t="s">
        <v>38</v>
      </c>
      <c r="F6" s="9" t="s">
        <v>39</v>
      </c>
    </row>
    <row r="7" spans="1:6" ht="13" x14ac:dyDescent="0.25">
      <c r="A7" s="32" t="s">
        <v>24</v>
      </c>
      <c r="B7" s="33">
        <f>_xlfn.STDEV.S(Append1[registered])</f>
        <v>47.893967711426278</v>
      </c>
      <c r="D7" s="9" t="s">
        <v>40</v>
      </c>
      <c r="E7" s="9">
        <v>0.47</v>
      </c>
      <c r="F7" s="10" t="s">
        <v>41</v>
      </c>
    </row>
    <row r="8" spans="1:6" ht="13" x14ac:dyDescent="0.25">
      <c r="D8" s="31" t="s">
        <v>42</v>
      </c>
      <c r="E8" s="9">
        <v>0.17</v>
      </c>
      <c r="F8" s="10" t="s">
        <v>43</v>
      </c>
    </row>
    <row r="9" spans="1:6" ht="13" x14ac:dyDescent="0.25">
      <c r="D9" s="9" t="s">
        <v>44</v>
      </c>
      <c r="E9" s="9">
        <v>0.34</v>
      </c>
      <c r="F9" s="10" t="s">
        <v>45</v>
      </c>
    </row>
    <row r="10" spans="1:6" x14ac:dyDescent="0.25">
      <c r="A10" s="35" t="s">
        <v>97</v>
      </c>
    </row>
    <row r="11" spans="1:6" x14ac:dyDescent="0.25">
      <c r="A11" s="32" t="s">
        <v>34</v>
      </c>
      <c r="B11" s="33">
        <f>CORREL(Append1[temp],Append1[casual])</f>
        <v>0.47022073160199324</v>
      </c>
    </row>
    <row r="12" spans="1:6" x14ac:dyDescent="0.25">
      <c r="A12" s="32" t="s">
        <v>35</v>
      </c>
      <c r="B12" s="33">
        <f>CORREL(Append1[temp],Append1[registered])</f>
        <v>0.16904504909761614</v>
      </c>
    </row>
    <row r="13" spans="1:6" x14ac:dyDescent="0.25">
      <c r="A13" s="32" t="s">
        <v>36</v>
      </c>
      <c r="B13" s="33">
        <f>CORREL(Append1[casual],Append1[registered])</f>
        <v>0.33770561189314974</v>
      </c>
    </row>
    <row r="16" spans="1:6" x14ac:dyDescent="0.25">
      <c r="A16" s="34" t="s">
        <v>47</v>
      </c>
      <c r="B16" s="32">
        <f>MIN(Correl!Q4:Q1003)</f>
        <v>0</v>
      </c>
    </row>
    <row r="17" spans="1:2" x14ac:dyDescent="0.25">
      <c r="A17" s="34" t="s">
        <v>46</v>
      </c>
      <c r="B17" s="32">
        <f>MAX(Append1[casual])</f>
        <v>62</v>
      </c>
    </row>
    <row r="19" spans="1:2" x14ac:dyDescent="0.25">
      <c r="A19" s="34" t="s">
        <v>48</v>
      </c>
      <c r="B19" s="32">
        <f>MIN(Append1[registered])</f>
        <v>0</v>
      </c>
    </row>
    <row r="20" spans="1:2" x14ac:dyDescent="0.25">
      <c r="A20" s="34" t="s">
        <v>49</v>
      </c>
      <c r="B20" s="32">
        <f>MAX(Append1[registered])</f>
        <v>247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4925E-A5C2-41BE-9C55-4DC2928563D4}">
  <sheetPr>
    <tabColor theme="9" tint="-0.499984740745262"/>
  </sheetPr>
  <dimension ref="A1:AG117"/>
  <sheetViews>
    <sheetView topLeftCell="A82" zoomScale="98" zoomScaleNormal="98" workbookViewId="0">
      <selection activeCell="H14" sqref="H14"/>
    </sheetView>
  </sheetViews>
  <sheetFormatPr defaultRowHeight="12.5" x14ac:dyDescent="0.25"/>
  <cols>
    <col min="1" max="1" width="20" bestFit="1" customWidth="1"/>
    <col min="2" max="2" width="12.7265625" bestFit="1" customWidth="1"/>
    <col min="3" max="3" width="15.81640625" bestFit="1" customWidth="1"/>
    <col min="4" max="4" width="15.453125" bestFit="1" customWidth="1"/>
    <col min="5" max="5" width="10.36328125" customWidth="1"/>
    <col min="6" max="6" width="13.26953125" bestFit="1" customWidth="1"/>
    <col min="7" max="7" width="13.7265625" bestFit="1" customWidth="1"/>
    <col min="8" max="8" width="21.81640625" customWidth="1"/>
    <col min="9" max="9" width="13.7265625" bestFit="1" customWidth="1"/>
    <col min="10" max="10" width="16.26953125" bestFit="1" customWidth="1"/>
    <col min="11" max="11" width="5.453125" bestFit="1" customWidth="1"/>
    <col min="12" max="15" width="4.453125" bestFit="1" customWidth="1"/>
    <col min="16" max="17" width="5.453125" bestFit="1" customWidth="1"/>
    <col min="18" max="18" width="6.453125" bestFit="1" customWidth="1"/>
    <col min="19" max="26" width="5.453125" bestFit="1" customWidth="1"/>
    <col min="27" max="28" width="6.453125" bestFit="1" customWidth="1"/>
    <col min="29" max="33" width="5.453125" bestFit="1" customWidth="1"/>
  </cols>
  <sheetData>
    <row r="1" spans="1:33" ht="18" x14ac:dyDescent="0.4">
      <c r="A1" s="53" t="s">
        <v>102</v>
      </c>
      <c r="B1" s="53"/>
      <c r="C1" s="50"/>
      <c r="F1" s="48" t="s">
        <v>117</v>
      </c>
      <c r="G1" s="48"/>
      <c r="H1" s="47"/>
    </row>
    <row r="2" spans="1:33" ht="18" x14ac:dyDescent="0.4">
      <c r="F2" s="39"/>
      <c r="I2" s="53" t="s">
        <v>76</v>
      </c>
      <c r="J2" s="53"/>
      <c r="K2" s="53"/>
      <c r="L2" s="47"/>
    </row>
    <row r="3" spans="1:33" ht="13" x14ac:dyDescent="0.25">
      <c r="A3" s="12" t="s">
        <v>52</v>
      </c>
      <c r="B3" t="s">
        <v>50</v>
      </c>
      <c r="C3" t="s">
        <v>51</v>
      </c>
      <c r="F3" s="40" t="s">
        <v>118</v>
      </c>
      <c r="G3" s="49" t="s">
        <v>119</v>
      </c>
      <c r="H3" s="46"/>
    </row>
    <row r="4" spans="1:33" ht="25" x14ac:dyDescent="0.25">
      <c r="A4" s="13" t="s">
        <v>59</v>
      </c>
      <c r="B4" s="69">
        <v>1538</v>
      </c>
      <c r="C4" s="69">
        <v>16568</v>
      </c>
      <c r="F4" s="41" t="s">
        <v>57</v>
      </c>
      <c r="G4" s="42" t="s">
        <v>120</v>
      </c>
      <c r="H4" s="46"/>
      <c r="I4" s="12" t="s">
        <v>74</v>
      </c>
      <c r="J4" s="12" t="s">
        <v>75</v>
      </c>
    </row>
    <row r="5" spans="1:33" ht="25" x14ac:dyDescent="0.25">
      <c r="A5" s="13" t="s">
        <v>70</v>
      </c>
      <c r="B5" s="69">
        <v>1</v>
      </c>
      <c r="C5" s="69">
        <v>35</v>
      </c>
      <c r="F5" s="41" t="s">
        <v>59</v>
      </c>
      <c r="G5" s="42" t="s">
        <v>121</v>
      </c>
      <c r="H5" s="46"/>
      <c r="I5" s="12" t="s">
        <v>52</v>
      </c>
      <c r="J5">
        <v>0</v>
      </c>
      <c r="K5">
        <v>1</v>
      </c>
      <c r="L5">
        <v>2</v>
      </c>
      <c r="M5">
        <v>3</v>
      </c>
      <c r="N5">
        <v>4</v>
      </c>
      <c r="O5">
        <v>5</v>
      </c>
      <c r="P5">
        <v>6</v>
      </c>
      <c r="Q5">
        <v>7</v>
      </c>
      <c r="R5">
        <v>8</v>
      </c>
      <c r="S5">
        <v>9</v>
      </c>
      <c r="T5">
        <v>10</v>
      </c>
      <c r="U5">
        <v>11</v>
      </c>
      <c r="V5">
        <v>12</v>
      </c>
      <c r="W5">
        <v>13</v>
      </c>
      <c r="X5">
        <v>14</v>
      </c>
      <c r="Y5">
        <v>15</v>
      </c>
      <c r="Z5">
        <v>16</v>
      </c>
      <c r="AA5">
        <v>17</v>
      </c>
      <c r="AB5">
        <v>18</v>
      </c>
      <c r="AC5">
        <v>19</v>
      </c>
      <c r="AD5">
        <v>20</v>
      </c>
      <c r="AE5">
        <v>21</v>
      </c>
      <c r="AF5">
        <v>22</v>
      </c>
      <c r="AG5">
        <v>23</v>
      </c>
    </row>
    <row r="6" spans="1:33" ht="13" x14ac:dyDescent="0.25">
      <c r="A6" s="13" t="s">
        <v>63</v>
      </c>
      <c r="B6" s="69">
        <v>171</v>
      </c>
      <c r="C6" s="69">
        <v>2618</v>
      </c>
      <c r="F6" s="41" t="s">
        <v>63</v>
      </c>
      <c r="G6" s="42" t="s">
        <v>122</v>
      </c>
      <c r="H6" s="46"/>
      <c r="I6" s="13" t="s">
        <v>64</v>
      </c>
      <c r="J6" s="14">
        <v>30.571428571428573</v>
      </c>
      <c r="K6" s="14">
        <v>23.142857142857142</v>
      </c>
      <c r="L6" s="14">
        <v>15</v>
      </c>
      <c r="M6" s="14">
        <v>9</v>
      </c>
      <c r="N6" s="14">
        <v>1.6666666666666667</v>
      </c>
      <c r="O6" s="14">
        <v>2</v>
      </c>
      <c r="P6" s="14">
        <v>1.8333333333333333</v>
      </c>
      <c r="Q6" s="14">
        <v>3.7142857142857144</v>
      </c>
      <c r="R6" s="14">
        <v>14.571428571428571</v>
      </c>
      <c r="S6" s="14">
        <v>32.714285714285715</v>
      </c>
      <c r="T6" s="14">
        <v>71</v>
      </c>
      <c r="U6" s="14">
        <v>85.571428571428569</v>
      </c>
      <c r="V6" s="14">
        <v>117</v>
      </c>
      <c r="W6" s="14">
        <v>110.71428571428571</v>
      </c>
      <c r="X6" s="14">
        <v>110.85714285714286</v>
      </c>
      <c r="Y6" s="14">
        <v>114.14285714285714</v>
      </c>
      <c r="Z6" s="14">
        <v>106.57142857142857</v>
      </c>
      <c r="AA6" s="14">
        <v>87.142857142857139</v>
      </c>
      <c r="AB6" s="14">
        <v>65</v>
      </c>
      <c r="AC6" s="14">
        <v>45.571428571428569</v>
      </c>
      <c r="AD6" s="14">
        <v>36.857142857142854</v>
      </c>
      <c r="AE6" s="14">
        <v>30</v>
      </c>
      <c r="AF6" s="14">
        <v>27.428571428571427</v>
      </c>
      <c r="AG6" s="14">
        <v>19.142857142857142</v>
      </c>
    </row>
    <row r="7" spans="1:33" ht="25" x14ac:dyDescent="0.25">
      <c r="A7" s="13" t="s">
        <v>57</v>
      </c>
      <c r="B7" s="69">
        <v>3211</v>
      </c>
      <c r="C7" s="69">
        <v>34162</v>
      </c>
      <c r="F7" s="41" t="s">
        <v>70</v>
      </c>
      <c r="G7" s="42" t="s">
        <v>123</v>
      </c>
      <c r="H7" s="46"/>
      <c r="I7" s="13" t="s">
        <v>65</v>
      </c>
      <c r="J7" s="14">
        <v>9.5714285714285712</v>
      </c>
      <c r="K7" s="14">
        <v>5.5714285714285712</v>
      </c>
      <c r="L7" s="14">
        <v>3.4</v>
      </c>
      <c r="M7" s="14">
        <v>1.5</v>
      </c>
      <c r="N7" s="14">
        <v>2</v>
      </c>
      <c r="O7" s="14">
        <v>4.7142857142857144</v>
      </c>
      <c r="P7" s="14">
        <v>24.857142857142858</v>
      </c>
      <c r="Q7" s="14">
        <v>71.857142857142861</v>
      </c>
      <c r="R7" s="14">
        <v>161.16666666666666</v>
      </c>
      <c r="S7" s="14">
        <v>93.5</v>
      </c>
      <c r="T7" s="14">
        <v>49.333333333333336</v>
      </c>
      <c r="U7" s="14">
        <v>47.666666666666664</v>
      </c>
      <c r="V7" s="14">
        <v>65</v>
      </c>
      <c r="W7" s="14">
        <v>64.333333333333329</v>
      </c>
      <c r="X7" s="14">
        <v>66.833333333333329</v>
      </c>
      <c r="Y7" s="14">
        <v>60.166666666666664</v>
      </c>
      <c r="Z7" s="14">
        <v>83.666666666666671</v>
      </c>
      <c r="AA7" s="14">
        <v>161.16666666666666</v>
      </c>
      <c r="AB7" s="14">
        <v>148</v>
      </c>
      <c r="AC7" s="14">
        <v>101.66666666666667</v>
      </c>
      <c r="AD7" s="14">
        <v>67.666666666666671</v>
      </c>
      <c r="AE7" s="14">
        <v>51.666666666666664</v>
      </c>
      <c r="AF7" s="14">
        <v>27.166666666666668</v>
      </c>
      <c r="AG7" s="14">
        <v>16.666666666666668</v>
      </c>
    </row>
    <row r="8" spans="1:33" x14ac:dyDescent="0.25">
      <c r="A8" s="13" t="s">
        <v>53</v>
      </c>
      <c r="B8" s="69">
        <v>4921</v>
      </c>
      <c r="C8" s="69">
        <v>53383</v>
      </c>
      <c r="I8" s="13" t="s">
        <v>66</v>
      </c>
      <c r="J8" s="14">
        <v>8.8000000000000007</v>
      </c>
      <c r="K8" s="14">
        <v>3.4</v>
      </c>
      <c r="L8" s="14">
        <v>2</v>
      </c>
      <c r="M8" s="14">
        <v>1.5</v>
      </c>
      <c r="N8" s="14">
        <v>2</v>
      </c>
      <c r="O8" s="14">
        <v>4.8</v>
      </c>
      <c r="P8" s="14">
        <v>32</v>
      </c>
      <c r="Q8" s="14">
        <v>90.6</v>
      </c>
      <c r="R8" s="14">
        <v>202.4</v>
      </c>
      <c r="S8" s="14">
        <v>125</v>
      </c>
      <c r="T8" s="14">
        <v>49.2</v>
      </c>
      <c r="U8" s="14">
        <v>50.8</v>
      </c>
      <c r="V8" s="14">
        <v>60.666666666666664</v>
      </c>
      <c r="W8" s="14">
        <v>61</v>
      </c>
      <c r="X8" s="14">
        <v>56.666666666666664</v>
      </c>
      <c r="Y8" s="14">
        <v>55.666666666666664</v>
      </c>
      <c r="Z8" s="14">
        <v>80.5</v>
      </c>
      <c r="AA8" s="14">
        <v>174.5</v>
      </c>
      <c r="AB8" s="14">
        <v>159.16666666666666</v>
      </c>
      <c r="AC8" s="14">
        <v>102.83333333333333</v>
      </c>
      <c r="AD8" s="14">
        <v>69.666666666666671</v>
      </c>
      <c r="AE8" s="14">
        <v>45.333333333333336</v>
      </c>
      <c r="AF8" s="14">
        <v>35.833333333333336</v>
      </c>
      <c r="AG8" s="14">
        <v>19.666666666666668</v>
      </c>
    </row>
    <row r="9" spans="1:33" x14ac:dyDescent="0.25">
      <c r="I9" s="13" t="s">
        <v>67</v>
      </c>
      <c r="J9" s="14">
        <v>8.6666666666666661</v>
      </c>
      <c r="K9" s="14">
        <v>5.666666666666667</v>
      </c>
      <c r="L9" s="14">
        <v>3.8333333333333335</v>
      </c>
      <c r="M9" s="14">
        <v>1.5</v>
      </c>
      <c r="N9" s="14">
        <v>1.6666666666666667</v>
      </c>
      <c r="O9" s="14">
        <v>4.333333333333333</v>
      </c>
      <c r="P9" s="14">
        <v>25</v>
      </c>
      <c r="Q9" s="14">
        <v>68.333333333333329</v>
      </c>
      <c r="R9" s="14">
        <v>157.66666666666666</v>
      </c>
      <c r="S9" s="14">
        <v>101.5</v>
      </c>
      <c r="T9" s="14">
        <v>48.5</v>
      </c>
      <c r="U9" s="14">
        <v>44.5</v>
      </c>
      <c r="V9" s="14">
        <v>62.833333333333336</v>
      </c>
      <c r="W9" s="14">
        <v>64.833333333333329</v>
      </c>
      <c r="X9" s="14">
        <v>56.333333333333336</v>
      </c>
      <c r="Y9" s="14">
        <v>62.666666666666664</v>
      </c>
      <c r="Z9" s="14">
        <v>79.833333333333329</v>
      </c>
      <c r="AA9" s="14">
        <v>151.33333333333334</v>
      </c>
      <c r="AB9" s="14">
        <v>163.80000000000001</v>
      </c>
      <c r="AC9" s="14">
        <v>101.2</v>
      </c>
      <c r="AD9" s="14">
        <v>76</v>
      </c>
      <c r="AE9" s="14">
        <v>61</v>
      </c>
      <c r="AF9" s="14">
        <v>44</v>
      </c>
      <c r="AG9" s="14">
        <v>27.2</v>
      </c>
    </row>
    <row r="10" spans="1:33" ht="20.5" customHeight="1" x14ac:dyDescent="0.4">
      <c r="A10" s="53" t="s">
        <v>105</v>
      </c>
      <c r="B10" s="53"/>
      <c r="C10" s="52"/>
      <c r="F10" s="56" t="s">
        <v>124</v>
      </c>
      <c r="G10" s="56"/>
      <c r="H10" s="56"/>
      <c r="I10" s="13" t="s">
        <v>68</v>
      </c>
      <c r="J10" s="14">
        <v>11.8</v>
      </c>
      <c r="K10" s="14">
        <v>4.5999999999999996</v>
      </c>
      <c r="L10" s="14">
        <v>2.2000000000000002</v>
      </c>
      <c r="M10" s="14">
        <v>1.6666666666666667</v>
      </c>
      <c r="N10" s="14">
        <v>1.75</v>
      </c>
      <c r="O10" s="14">
        <v>4.2</v>
      </c>
      <c r="P10" s="14">
        <v>32.799999999999997</v>
      </c>
      <c r="Q10" s="14">
        <v>90.8</v>
      </c>
      <c r="R10" s="14">
        <v>207.2</v>
      </c>
      <c r="S10" s="14">
        <v>131.80000000000001</v>
      </c>
      <c r="T10" s="14">
        <v>45.4</v>
      </c>
      <c r="U10" s="14">
        <v>54.6</v>
      </c>
      <c r="V10" s="14">
        <v>71.599999999999994</v>
      </c>
      <c r="W10" s="14">
        <v>72.2</v>
      </c>
      <c r="X10" s="14">
        <v>57.6</v>
      </c>
      <c r="Y10" s="14">
        <v>60.4</v>
      </c>
      <c r="Z10" s="14">
        <v>72.833333333333329</v>
      </c>
      <c r="AA10" s="14">
        <v>162.16666666666666</v>
      </c>
      <c r="AB10" s="14">
        <v>150.5</v>
      </c>
      <c r="AC10" s="14">
        <v>108.33333333333333</v>
      </c>
      <c r="AD10" s="14">
        <v>87.333333333333329</v>
      </c>
      <c r="AE10" s="14">
        <v>51.5</v>
      </c>
      <c r="AF10" s="14">
        <v>42.833333333333336</v>
      </c>
      <c r="AG10" s="14">
        <v>26.166666666666668</v>
      </c>
    </row>
    <row r="11" spans="1:33" x14ac:dyDescent="0.25">
      <c r="F11" s="39"/>
      <c r="I11" s="13" t="s">
        <v>69</v>
      </c>
      <c r="J11" s="14">
        <v>14.666666666666666</v>
      </c>
      <c r="K11" s="14">
        <v>5.833333333333333</v>
      </c>
      <c r="L11" s="14">
        <v>1.6666666666666667</v>
      </c>
      <c r="M11" s="14">
        <v>1</v>
      </c>
      <c r="N11" s="14">
        <v>1</v>
      </c>
      <c r="O11" s="14">
        <v>5.5</v>
      </c>
      <c r="P11" s="14">
        <v>24.333333333333332</v>
      </c>
      <c r="Q11" s="14">
        <v>73.833333333333329</v>
      </c>
      <c r="R11" s="14">
        <v>196.33333333333334</v>
      </c>
      <c r="S11" s="14">
        <v>130.83333333333334</v>
      </c>
      <c r="T11" s="14">
        <v>52.333333333333336</v>
      </c>
      <c r="U11" s="14">
        <v>56.166666666666664</v>
      </c>
      <c r="V11" s="14">
        <v>64</v>
      </c>
      <c r="W11" s="14">
        <v>74.333333333333329</v>
      </c>
      <c r="X11" s="14">
        <v>64.833333333333329</v>
      </c>
      <c r="Y11" s="14">
        <v>68.333333333333329</v>
      </c>
      <c r="Z11" s="14">
        <v>96.333333333333329</v>
      </c>
      <c r="AA11" s="14">
        <v>178.66666666666666</v>
      </c>
      <c r="AB11" s="14">
        <v>136.66666666666666</v>
      </c>
      <c r="AC11" s="14">
        <v>96</v>
      </c>
      <c r="AD11" s="14">
        <v>61.333333333333336</v>
      </c>
      <c r="AE11" s="14">
        <v>46.666666666666664</v>
      </c>
      <c r="AF11" s="14">
        <v>36.833333333333336</v>
      </c>
      <c r="AG11" s="14">
        <v>29.333333333333332</v>
      </c>
    </row>
    <row r="12" spans="1:33" ht="18" customHeight="1" x14ac:dyDescent="0.25">
      <c r="A12" s="12" t="s">
        <v>52</v>
      </c>
      <c r="B12" t="s">
        <v>72</v>
      </c>
      <c r="F12" s="58" t="s">
        <v>125</v>
      </c>
      <c r="G12" s="58" t="s">
        <v>126</v>
      </c>
      <c r="I12" s="13" t="s">
        <v>56</v>
      </c>
      <c r="J12" s="14">
        <v>25.571428571428573</v>
      </c>
      <c r="K12" s="14">
        <v>21.428571428571427</v>
      </c>
      <c r="L12" s="14">
        <v>16.857142857142858</v>
      </c>
      <c r="M12" s="14">
        <v>9.1428571428571423</v>
      </c>
      <c r="N12" s="14">
        <v>3.5714285714285716</v>
      </c>
      <c r="O12" s="14">
        <v>3.4</v>
      </c>
      <c r="P12" s="14">
        <v>2.4285714285714284</v>
      </c>
      <c r="Q12" s="14">
        <v>7.1428571428571432</v>
      </c>
      <c r="R12" s="14">
        <v>21</v>
      </c>
      <c r="S12" s="14">
        <v>29.142857142857142</v>
      </c>
      <c r="T12" s="14">
        <v>54.571428571428569</v>
      </c>
      <c r="U12" s="14">
        <v>68.285714285714292</v>
      </c>
      <c r="V12" s="14">
        <v>84.428571428571431</v>
      </c>
      <c r="W12" s="14">
        <v>93.285714285714292</v>
      </c>
      <c r="X12" s="14">
        <v>95.428571428571431</v>
      </c>
      <c r="Y12" s="14">
        <v>110</v>
      </c>
      <c r="Z12" s="14">
        <v>100.42857142857143</v>
      </c>
      <c r="AA12" s="14">
        <v>84.571428571428569</v>
      </c>
      <c r="AB12" s="14">
        <v>63.285714285714285</v>
      </c>
      <c r="AC12" s="14">
        <v>54.714285714285715</v>
      </c>
      <c r="AD12" s="14">
        <v>43.142857142857146</v>
      </c>
      <c r="AE12" s="14">
        <v>44.285714285714285</v>
      </c>
      <c r="AF12" s="14">
        <v>34.285714285714285</v>
      </c>
      <c r="AG12" s="14">
        <v>37.428571428571431</v>
      </c>
    </row>
    <row r="13" spans="1:33" ht="25" customHeight="1" x14ac:dyDescent="0.25">
      <c r="A13" s="13" t="s">
        <v>54</v>
      </c>
      <c r="B13" s="69">
        <v>38189</v>
      </c>
      <c r="F13" s="59" t="s">
        <v>127</v>
      </c>
      <c r="G13" s="60" t="s">
        <v>128</v>
      </c>
      <c r="I13" s="13" t="s">
        <v>53</v>
      </c>
      <c r="J13" s="5">
        <v>16.348837209302324</v>
      </c>
      <c r="K13" s="5">
        <v>10.697674418604651</v>
      </c>
      <c r="L13" s="5">
        <v>7.1707317073170733</v>
      </c>
      <c r="M13" s="5">
        <v>4.870967741935484</v>
      </c>
      <c r="N13" s="5">
        <v>2.15625</v>
      </c>
      <c r="O13" s="5">
        <v>4.2051282051282053</v>
      </c>
      <c r="P13" s="5">
        <v>19.571428571428573</v>
      </c>
      <c r="Q13" s="5">
        <v>54.395348837209305</v>
      </c>
      <c r="R13" s="5">
        <v>128.28571428571428</v>
      </c>
      <c r="S13" s="5">
        <v>87.428571428571431</v>
      </c>
      <c r="T13" s="5">
        <v>53.642857142857146</v>
      </c>
      <c r="U13" s="5">
        <v>59.38095238095238</v>
      </c>
      <c r="V13" s="5">
        <v>76.348837209302332</v>
      </c>
      <c r="W13" s="5">
        <v>78.511627906976742</v>
      </c>
      <c r="X13" s="5">
        <v>74.418604651162795</v>
      </c>
      <c r="Y13" s="5">
        <v>77.95348837209302</v>
      </c>
      <c r="Z13" s="5">
        <v>89.272727272727266</v>
      </c>
      <c r="AA13" s="5">
        <v>140.20454545454547</v>
      </c>
      <c r="AB13" s="5">
        <v>122.86046511627907</v>
      </c>
      <c r="AC13" s="5">
        <v>85.139534883720927</v>
      </c>
      <c r="AD13" s="5">
        <v>61.767441860465119</v>
      </c>
      <c r="AE13" s="5">
        <v>46.418604651162788</v>
      </c>
      <c r="AF13" s="5">
        <v>35.069767441860463</v>
      </c>
      <c r="AG13" s="5">
        <v>25.186046511627907</v>
      </c>
    </row>
    <row r="14" spans="1:33" ht="40.5" customHeight="1" x14ac:dyDescent="0.25">
      <c r="A14" s="13" t="s">
        <v>71</v>
      </c>
      <c r="B14" s="69">
        <v>20115</v>
      </c>
      <c r="F14" s="59" t="s">
        <v>129</v>
      </c>
      <c r="G14" s="60" t="s">
        <v>130</v>
      </c>
    </row>
    <row r="15" spans="1:33" ht="20" customHeight="1" x14ac:dyDescent="0.25">
      <c r="A15" s="13" t="s">
        <v>53</v>
      </c>
      <c r="B15" s="69">
        <v>58304</v>
      </c>
      <c r="L15" s="11"/>
    </row>
    <row r="17" spans="1:8" ht="26.5" customHeight="1" x14ac:dyDescent="0.25">
      <c r="A17" s="62" t="s">
        <v>100</v>
      </c>
      <c r="B17" s="62"/>
      <c r="C17" s="62"/>
      <c r="F17" s="56" t="s">
        <v>131</v>
      </c>
      <c r="G17" s="56"/>
      <c r="H17" s="56"/>
    </row>
    <row r="18" spans="1:8" x14ac:dyDescent="0.25">
      <c r="A18" s="11"/>
      <c r="F18" s="39"/>
    </row>
    <row r="19" spans="1:8" ht="13" x14ac:dyDescent="0.25">
      <c r="A19" s="12" t="s">
        <v>52</v>
      </c>
      <c r="B19" t="s">
        <v>50</v>
      </c>
      <c r="C19" t="s">
        <v>51</v>
      </c>
      <c r="F19" s="58" t="s">
        <v>132</v>
      </c>
      <c r="G19" s="58" t="s">
        <v>133</v>
      </c>
    </row>
    <row r="20" spans="1:8" ht="25" x14ac:dyDescent="0.25">
      <c r="A20" s="13" t="s">
        <v>61</v>
      </c>
      <c r="B20" s="69">
        <v>2490</v>
      </c>
      <c r="C20" s="69">
        <v>14649</v>
      </c>
      <c r="F20" s="61" t="s">
        <v>61</v>
      </c>
      <c r="G20" s="60" t="s">
        <v>134</v>
      </c>
    </row>
    <row r="21" spans="1:8" ht="25" x14ac:dyDescent="0.25">
      <c r="A21" s="13" t="s">
        <v>58</v>
      </c>
      <c r="B21" s="69">
        <v>88</v>
      </c>
      <c r="C21" s="69">
        <v>3237</v>
      </c>
      <c r="F21" s="61" t="s">
        <v>60</v>
      </c>
      <c r="G21" s="60" t="s">
        <v>135</v>
      </c>
    </row>
    <row r="22" spans="1:8" ht="37.5" x14ac:dyDescent="0.25">
      <c r="A22" s="13" t="s">
        <v>62</v>
      </c>
      <c r="B22" s="69">
        <v>944</v>
      </c>
      <c r="C22" s="69">
        <v>16825</v>
      </c>
      <c r="F22" s="61" t="s">
        <v>62</v>
      </c>
      <c r="G22" s="60" t="s">
        <v>136</v>
      </c>
    </row>
    <row r="23" spans="1:8" ht="25" x14ac:dyDescent="0.25">
      <c r="A23" s="13" t="s">
        <v>60</v>
      </c>
      <c r="B23" s="69">
        <v>882</v>
      </c>
      <c r="C23" s="69">
        <v>12925</v>
      </c>
      <c r="F23" s="61" t="s">
        <v>58</v>
      </c>
      <c r="G23" s="60" t="s">
        <v>137</v>
      </c>
    </row>
    <row r="24" spans="1:8" ht="25" x14ac:dyDescent="0.25">
      <c r="A24" s="13" t="s">
        <v>55</v>
      </c>
      <c r="B24" s="69">
        <v>517</v>
      </c>
      <c r="C24" s="69">
        <v>5747</v>
      </c>
      <c r="F24" s="61" t="s">
        <v>55</v>
      </c>
      <c r="G24" s="60" t="s">
        <v>138</v>
      </c>
    </row>
    <row r="25" spans="1:8" x14ac:dyDescent="0.25">
      <c r="A25" s="13" t="s">
        <v>53</v>
      </c>
      <c r="B25" s="69">
        <v>4921</v>
      </c>
      <c r="C25" s="69">
        <v>53383</v>
      </c>
    </row>
    <row r="28" spans="1:8" ht="18" x14ac:dyDescent="0.4">
      <c r="A28" s="63" t="s">
        <v>101</v>
      </c>
      <c r="B28" s="63"/>
      <c r="C28" s="63"/>
      <c r="F28" s="53" t="s">
        <v>139</v>
      </c>
      <c r="G28" s="53"/>
      <c r="H28" s="47"/>
    </row>
    <row r="29" spans="1:8" x14ac:dyDescent="0.25">
      <c r="A29" s="11"/>
    </row>
    <row r="30" spans="1:8" ht="13" x14ac:dyDescent="0.25">
      <c r="A30" s="12" t="s">
        <v>52</v>
      </c>
      <c r="B30" t="s">
        <v>50</v>
      </c>
      <c r="C30" t="s">
        <v>51</v>
      </c>
      <c r="F30" s="58" t="s">
        <v>140</v>
      </c>
      <c r="G30" s="58" t="s">
        <v>133</v>
      </c>
    </row>
    <row r="31" spans="1:8" ht="25" x14ac:dyDescent="0.25">
      <c r="A31" s="13" t="s">
        <v>64</v>
      </c>
      <c r="B31" s="69">
        <v>1477</v>
      </c>
      <c r="C31" s="69">
        <v>6644</v>
      </c>
      <c r="F31" s="61" t="s">
        <v>64</v>
      </c>
      <c r="G31" s="60" t="s">
        <v>141</v>
      </c>
    </row>
    <row r="32" spans="1:8" ht="37.5" x14ac:dyDescent="0.25">
      <c r="A32" s="13" t="s">
        <v>65</v>
      </c>
      <c r="B32" s="69">
        <v>534</v>
      </c>
      <c r="C32" s="69">
        <v>7916</v>
      </c>
      <c r="F32" s="61" t="s">
        <v>142</v>
      </c>
      <c r="G32" s="60" t="s">
        <v>143</v>
      </c>
    </row>
    <row r="33" spans="1:8" ht="25" x14ac:dyDescent="0.25">
      <c r="A33" s="13" t="s">
        <v>66</v>
      </c>
      <c r="B33" s="69">
        <v>457</v>
      </c>
      <c r="C33" s="69">
        <v>7926</v>
      </c>
      <c r="F33" s="61" t="s">
        <v>69</v>
      </c>
      <c r="G33" s="60" t="s">
        <v>144</v>
      </c>
    </row>
    <row r="34" spans="1:8" ht="25" x14ac:dyDescent="0.25">
      <c r="A34" s="13" t="s">
        <v>67</v>
      </c>
      <c r="B34" s="69">
        <v>344</v>
      </c>
      <c r="C34" s="69">
        <v>7705</v>
      </c>
      <c r="F34" s="61" t="s">
        <v>56</v>
      </c>
      <c r="G34" s="60" t="s">
        <v>145</v>
      </c>
    </row>
    <row r="35" spans="1:8" x14ac:dyDescent="0.25">
      <c r="A35" s="13" t="s">
        <v>68</v>
      </c>
      <c r="B35" s="69">
        <v>332</v>
      </c>
      <c r="C35" s="69">
        <v>8126</v>
      </c>
    </row>
    <row r="36" spans="1:8" x14ac:dyDescent="0.25">
      <c r="A36" s="13" t="s">
        <v>69</v>
      </c>
      <c r="B36" s="69">
        <v>552</v>
      </c>
      <c r="C36" s="69">
        <v>8543</v>
      </c>
    </row>
    <row r="37" spans="1:8" x14ac:dyDescent="0.25">
      <c r="A37" s="13" t="s">
        <v>56</v>
      </c>
      <c r="B37" s="69">
        <v>1225</v>
      </c>
      <c r="C37" s="69">
        <v>6523</v>
      </c>
    </row>
    <row r="38" spans="1:8" x14ac:dyDescent="0.25">
      <c r="A38" s="13" t="s">
        <v>53</v>
      </c>
      <c r="B38" s="69">
        <v>4921</v>
      </c>
      <c r="C38" s="69">
        <v>53383</v>
      </c>
    </row>
    <row r="40" spans="1:8" ht="19.5" customHeight="1" x14ac:dyDescent="0.25">
      <c r="A40" s="65" t="s">
        <v>103</v>
      </c>
      <c r="B40" s="65"/>
      <c r="C40" s="65"/>
      <c r="F40" s="56" t="s">
        <v>147</v>
      </c>
      <c r="G40" s="56"/>
      <c r="H40" s="56"/>
    </row>
    <row r="41" spans="1:8" x14ac:dyDescent="0.25">
      <c r="F41" s="39"/>
    </row>
    <row r="42" spans="1:8" ht="18" x14ac:dyDescent="0.4">
      <c r="A42" s="64" t="s">
        <v>146</v>
      </c>
      <c r="B42" s="64"/>
      <c r="C42" s="64"/>
      <c r="H42" s="55"/>
    </row>
    <row r="43" spans="1:8" ht="13" x14ac:dyDescent="0.25">
      <c r="F43" s="58" t="s">
        <v>148</v>
      </c>
      <c r="G43" s="58" t="s">
        <v>126</v>
      </c>
      <c r="H43" s="57"/>
    </row>
    <row r="44" spans="1:8" ht="25" x14ac:dyDescent="0.25">
      <c r="A44" s="12" t="s">
        <v>52</v>
      </c>
      <c r="B44" t="s">
        <v>50</v>
      </c>
      <c r="C44" t="s">
        <v>51</v>
      </c>
      <c r="F44" s="61" t="s">
        <v>149</v>
      </c>
      <c r="G44" s="60" t="s">
        <v>150</v>
      </c>
      <c r="H44" s="54"/>
    </row>
    <row r="45" spans="1:8" ht="25" x14ac:dyDescent="0.25">
      <c r="A45" s="13">
        <v>0</v>
      </c>
      <c r="B45" s="69">
        <v>4804</v>
      </c>
      <c r="C45" s="69">
        <v>52500</v>
      </c>
      <c r="F45" s="61" t="s">
        <v>151</v>
      </c>
      <c r="G45" s="60" t="s">
        <v>152</v>
      </c>
    </row>
    <row r="46" spans="1:8" x14ac:dyDescent="0.25">
      <c r="A46" s="13">
        <v>1</v>
      </c>
      <c r="B46" s="69">
        <v>117</v>
      </c>
      <c r="C46" s="69">
        <v>883</v>
      </c>
    </row>
    <row r="47" spans="1:8" x14ac:dyDescent="0.25">
      <c r="A47" s="13" t="s">
        <v>53</v>
      </c>
      <c r="B47" s="69">
        <v>4921</v>
      </c>
      <c r="C47" s="69">
        <v>53383</v>
      </c>
    </row>
    <row r="49" spans="1:8" ht="35" customHeight="1" x14ac:dyDescent="0.25">
      <c r="A49" s="65" t="s">
        <v>104</v>
      </c>
      <c r="B49" s="65"/>
      <c r="C49" s="65"/>
      <c r="F49" s="56" t="s">
        <v>154</v>
      </c>
      <c r="G49" s="56"/>
      <c r="H49" s="56"/>
    </row>
    <row r="50" spans="1:8" x14ac:dyDescent="0.25">
      <c r="F50" s="39"/>
    </row>
    <row r="51" spans="1:8" ht="18" x14ac:dyDescent="0.4">
      <c r="A51" s="64" t="s">
        <v>153</v>
      </c>
      <c r="B51" s="64"/>
      <c r="C51" s="64"/>
    </row>
    <row r="53" spans="1:8" ht="13" x14ac:dyDescent="0.25">
      <c r="A53" s="12" t="s">
        <v>52</v>
      </c>
      <c r="B53" t="s">
        <v>50</v>
      </c>
      <c r="C53" t="s">
        <v>51</v>
      </c>
      <c r="D53" t="s">
        <v>80</v>
      </c>
      <c r="F53" s="58" t="s">
        <v>148</v>
      </c>
      <c r="G53" s="58" t="s">
        <v>126</v>
      </c>
    </row>
    <row r="54" spans="1:8" ht="25" x14ac:dyDescent="0.25">
      <c r="A54" s="13">
        <v>0</v>
      </c>
      <c r="B54" s="69">
        <v>2219</v>
      </c>
      <c r="C54" s="69">
        <v>40216</v>
      </c>
      <c r="D54" s="5">
        <v>18.12347904461469</v>
      </c>
      <c r="E54" s="5"/>
      <c r="F54" s="61" t="s">
        <v>19</v>
      </c>
      <c r="G54" s="60" t="s">
        <v>155</v>
      </c>
    </row>
    <row r="55" spans="1:8" ht="25" x14ac:dyDescent="0.25">
      <c r="A55" s="13">
        <v>1</v>
      </c>
      <c r="B55" s="69">
        <v>2702</v>
      </c>
      <c r="C55" s="69">
        <v>13167</v>
      </c>
      <c r="D55" s="5">
        <v>4.8730569948186533</v>
      </c>
      <c r="E55" s="5"/>
      <c r="F55" s="61" t="s">
        <v>156</v>
      </c>
      <c r="G55" s="60" t="s">
        <v>157</v>
      </c>
    </row>
    <row r="56" spans="1:8" x14ac:dyDescent="0.25">
      <c r="A56" s="13" t="s">
        <v>53</v>
      </c>
      <c r="B56" s="69">
        <v>4921</v>
      </c>
      <c r="C56" s="69">
        <v>53383</v>
      </c>
      <c r="D56" s="5">
        <v>10.847998374314164</v>
      </c>
      <c r="E56" s="5"/>
    </row>
    <row r="59" spans="1:8" ht="22" customHeight="1" x14ac:dyDescent="0.25">
      <c r="A59" s="65" t="s">
        <v>107</v>
      </c>
      <c r="B59" s="65"/>
      <c r="C59" s="65"/>
      <c r="F59" s="56" t="s">
        <v>158</v>
      </c>
      <c r="G59" s="56"/>
      <c r="H59" s="56"/>
    </row>
    <row r="60" spans="1:8" x14ac:dyDescent="0.25">
      <c r="A60" s="12" t="s">
        <v>52</v>
      </c>
      <c r="B60" t="s">
        <v>50</v>
      </c>
      <c r="C60" t="s">
        <v>51</v>
      </c>
      <c r="F60" s="39"/>
    </row>
    <row r="61" spans="1:8" ht="13" x14ac:dyDescent="0.25">
      <c r="A61" s="13">
        <v>0</v>
      </c>
      <c r="B61" s="69">
        <v>74</v>
      </c>
      <c r="C61" s="69">
        <v>629</v>
      </c>
      <c r="F61" s="58" t="s">
        <v>159</v>
      </c>
      <c r="G61" s="58" t="s">
        <v>160</v>
      </c>
    </row>
    <row r="62" spans="1:8" ht="25" x14ac:dyDescent="0.25">
      <c r="A62" s="13">
        <v>1</v>
      </c>
      <c r="B62" s="69">
        <v>48</v>
      </c>
      <c r="C62" s="69">
        <v>412</v>
      </c>
      <c r="F62" s="61" t="s">
        <v>161</v>
      </c>
      <c r="G62" s="60" t="s">
        <v>162</v>
      </c>
    </row>
    <row r="63" spans="1:8" ht="25" x14ac:dyDescent="0.25">
      <c r="A63" s="13">
        <v>2</v>
      </c>
      <c r="B63" s="69">
        <v>33</v>
      </c>
      <c r="C63" s="69">
        <v>261</v>
      </c>
      <c r="F63" s="61" t="s">
        <v>163</v>
      </c>
      <c r="G63" s="60" t="s">
        <v>164</v>
      </c>
    </row>
    <row r="64" spans="1:8" ht="25" x14ac:dyDescent="0.25">
      <c r="A64" s="13">
        <v>3</v>
      </c>
      <c r="B64" s="69">
        <v>34</v>
      </c>
      <c r="C64" s="69">
        <v>117</v>
      </c>
      <c r="F64" s="61" t="s">
        <v>165</v>
      </c>
      <c r="G64" s="60" t="s">
        <v>166</v>
      </c>
    </row>
    <row r="65" spans="1:8" x14ac:dyDescent="0.25">
      <c r="A65" s="13">
        <v>4</v>
      </c>
      <c r="B65" s="69">
        <v>7</v>
      </c>
      <c r="C65" s="69">
        <v>62</v>
      </c>
    </row>
    <row r="66" spans="1:8" x14ac:dyDescent="0.25">
      <c r="A66" s="13">
        <v>5</v>
      </c>
      <c r="B66" s="69">
        <v>3</v>
      </c>
      <c r="C66" s="69">
        <v>161</v>
      </c>
    </row>
    <row r="67" spans="1:8" x14ac:dyDescent="0.25">
      <c r="A67" s="13">
        <v>6</v>
      </c>
      <c r="B67" s="69">
        <v>21</v>
      </c>
      <c r="C67" s="69">
        <v>801</v>
      </c>
      <c r="F67" s="51"/>
      <c r="G67" s="51"/>
      <c r="H67" s="51"/>
    </row>
    <row r="68" spans="1:8" ht="18" x14ac:dyDescent="0.25">
      <c r="A68" s="13">
        <v>7</v>
      </c>
      <c r="B68" s="69">
        <v>64</v>
      </c>
      <c r="C68" s="69">
        <v>2275</v>
      </c>
      <c r="F68" s="62" t="s">
        <v>168</v>
      </c>
      <c r="G68" s="62"/>
      <c r="H68" s="70"/>
    </row>
    <row r="69" spans="1:8" x14ac:dyDescent="0.25">
      <c r="A69" s="13">
        <v>8</v>
      </c>
      <c r="B69" s="69">
        <v>127</v>
      </c>
      <c r="C69" s="69">
        <v>5261</v>
      </c>
      <c r="F69" s="67" t="s">
        <v>52</v>
      </c>
      <c r="G69" s="10" t="s">
        <v>74</v>
      </c>
    </row>
    <row r="70" spans="1:8" x14ac:dyDescent="0.25">
      <c r="A70" s="13">
        <v>9</v>
      </c>
      <c r="B70" s="69">
        <v>172</v>
      </c>
      <c r="C70" s="69">
        <v>3500</v>
      </c>
      <c r="F70" s="10" t="s">
        <v>59</v>
      </c>
      <c r="G70" s="68">
        <v>58.595469255663431</v>
      </c>
    </row>
    <row r="71" spans="1:8" x14ac:dyDescent="0.25">
      <c r="A71" s="13">
        <v>10</v>
      </c>
      <c r="B71" s="69">
        <v>216</v>
      </c>
      <c r="C71" s="69">
        <v>2037</v>
      </c>
      <c r="F71" s="10" t="s">
        <v>70</v>
      </c>
      <c r="G71" s="68">
        <v>36</v>
      </c>
    </row>
    <row r="72" spans="1:8" x14ac:dyDescent="0.25">
      <c r="A72" s="13">
        <v>11</v>
      </c>
      <c r="B72" s="69">
        <v>367</v>
      </c>
      <c r="C72" s="69">
        <v>2127</v>
      </c>
      <c r="F72" s="10" t="s">
        <v>63</v>
      </c>
      <c r="G72" s="68">
        <v>33.202380952380949</v>
      </c>
    </row>
    <row r="73" spans="1:8" x14ac:dyDescent="0.25">
      <c r="A73" s="13">
        <v>12</v>
      </c>
      <c r="B73" s="69">
        <v>482</v>
      </c>
      <c r="C73" s="69">
        <v>2801</v>
      </c>
      <c r="F73" s="10" t="s">
        <v>57</v>
      </c>
      <c r="G73" s="68">
        <v>61.671617161716171</v>
      </c>
    </row>
    <row r="74" spans="1:8" x14ac:dyDescent="0.25">
      <c r="A74" s="13">
        <v>13</v>
      </c>
      <c r="B74" s="69">
        <v>513</v>
      </c>
      <c r="C74" s="69">
        <v>2863</v>
      </c>
      <c r="F74" s="10" t="s">
        <v>53</v>
      </c>
      <c r="G74" s="68">
        <v>58.304000000000002</v>
      </c>
    </row>
    <row r="75" spans="1:8" x14ac:dyDescent="0.25">
      <c r="A75" s="13">
        <v>14</v>
      </c>
      <c r="B75" s="69">
        <v>466</v>
      </c>
      <c r="C75" s="69">
        <v>2734</v>
      </c>
    </row>
    <row r="76" spans="1:8" x14ac:dyDescent="0.25">
      <c r="A76" s="13">
        <v>15</v>
      </c>
      <c r="B76" s="69">
        <v>536</v>
      </c>
      <c r="C76" s="69">
        <v>2816</v>
      </c>
    </row>
    <row r="77" spans="1:8" x14ac:dyDescent="0.25">
      <c r="A77" s="13">
        <v>16</v>
      </c>
      <c r="B77" s="69">
        <v>493</v>
      </c>
      <c r="C77" s="69">
        <v>3435</v>
      </c>
    </row>
    <row r="78" spans="1:8" ht="18" x14ac:dyDescent="0.4">
      <c r="A78" s="13">
        <v>17</v>
      </c>
      <c r="B78" s="69">
        <v>395</v>
      </c>
      <c r="C78" s="69">
        <v>5774</v>
      </c>
      <c r="F78" s="53" t="s">
        <v>106</v>
      </c>
      <c r="G78" s="53"/>
      <c r="H78" s="47"/>
    </row>
    <row r="79" spans="1:8" x14ac:dyDescent="0.25">
      <c r="A79" s="13">
        <v>18</v>
      </c>
      <c r="B79" s="69">
        <v>222</v>
      </c>
      <c r="C79" s="69">
        <v>5061</v>
      </c>
      <c r="F79" s="12" t="s">
        <v>52</v>
      </c>
      <c r="G79" t="s">
        <v>74</v>
      </c>
    </row>
    <row r="80" spans="1:8" x14ac:dyDescent="0.25">
      <c r="A80" s="13">
        <v>19</v>
      </c>
      <c r="B80" s="69">
        <v>187</v>
      </c>
      <c r="C80" s="69">
        <v>3474</v>
      </c>
      <c r="F80" s="13">
        <v>0</v>
      </c>
      <c r="G80" s="5">
        <v>16.348837209302324</v>
      </c>
    </row>
    <row r="81" spans="1:7" x14ac:dyDescent="0.25">
      <c r="A81" s="13">
        <v>20</v>
      </c>
      <c r="B81" s="69">
        <v>140</v>
      </c>
      <c r="C81" s="69">
        <v>2516</v>
      </c>
      <c r="F81" s="13">
        <v>1</v>
      </c>
      <c r="G81" s="5">
        <v>10.697674418604651</v>
      </c>
    </row>
    <row r="82" spans="1:7" x14ac:dyDescent="0.25">
      <c r="A82" s="13">
        <v>21</v>
      </c>
      <c r="B82" s="69">
        <v>117</v>
      </c>
      <c r="C82" s="69">
        <v>1879</v>
      </c>
      <c r="F82" s="13">
        <v>2</v>
      </c>
      <c r="G82" s="5">
        <v>7.1707317073170733</v>
      </c>
    </row>
    <row r="83" spans="1:7" x14ac:dyDescent="0.25">
      <c r="A83" s="13">
        <v>22</v>
      </c>
      <c r="B83" s="69">
        <v>103</v>
      </c>
      <c r="C83" s="69">
        <v>1405</v>
      </c>
      <c r="F83" s="13">
        <v>3</v>
      </c>
      <c r="G83" s="5">
        <v>4.870967741935484</v>
      </c>
    </row>
    <row r="84" spans="1:7" x14ac:dyDescent="0.25">
      <c r="A84" s="13">
        <v>23</v>
      </c>
      <c r="B84" s="69">
        <v>101</v>
      </c>
      <c r="C84" s="69">
        <v>982</v>
      </c>
      <c r="F84" s="13">
        <v>4</v>
      </c>
      <c r="G84" s="5">
        <v>2.15625</v>
      </c>
    </row>
    <row r="85" spans="1:7" x14ac:dyDescent="0.25">
      <c r="A85" s="13" t="s">
        <v>53</v>
      </c>
      <c r="B85" s="69">
        <v>4921</v>
      </c>
      <c r="C85" s="69">
        <v>53383</v>
      </c>
      <c r="F85" s="13">
        <v>5</v>
      </c>
      <c r="G85" s="5">
        <v>4.2051282051282053</v>
      </c>
    </row>
    <row r="86" spans="1:7" x14ac:dyDescent="0.25">
      <c r="F86" s="13">
        <v>6</v>
      </c>
      <c r="G86" s="5">
        <v>19.571428571428573</v>
      </c>
    </row>
    <row r="87" spans="1:7" x14ac:dyDescent="0.25">
      <c r="F87" s="13">
        <v>7</v>
      </c>
      <c r="G87" s="5">
        <v>54.395348837209305</v>
      </c>
    </row>
    <row r="88" spans="1:7" ht="18" x14ac:dyDescent="0.4">
      <c r="A88" s="63" t="s">
        <v>167</v>
      </c>
      <c r="B88" s="63"/>
      <c r="C88" s="63"/>
      <c r="D88" s="63"/>
      <c r="F88" s="13">
        <v>8</v>
      </c>
      <c r="G88" s="5">
        <v>128.28571428571428</v>
      </c>
    </row>
    <row r="89" spans="1:7" x14ac:dyDescent="0.25">
      <c r="A89" s="12" t="s">
        <v>33</v>
      </c>
      <c r="B89" t="s">
        <v>79</v>
      </c>
      <c r="F89" s="13">
        <v>9</v>
      </c>
      <c r="G89" s="5">
        <v>87.428571428571431</v>
      </c>
    </row>
    <row r="90" spans="1:7" x14ac:dyDescent="0.25">
      <c r="A90" s="12" t="s">
        <v>32</v>
      </c>
      <c r="B90" t="s">
        <v>79</v>
      </c>
      <c r="F90" s="13">
        <v>10</v>
      </c>
      <c r="G90" s="5">
        <v>53.642857142857146</v>
      </c>
    </row>
    <row r="91" spans="1:7" x14ac:dyDescent="0.25">
      <c r="F91" s="13">
        <v>11</v>
      </c>
      <c r="G91" s="5">
        <v>59.38095238095238</v>
      </c>
    </row>
    <row r="92" spans="1:7" ht="39" x14ac:dyDescent="0.3">
      <c r="A92" s="66" t="s">
        <v>52</v>
      </c>
      <c r="B92" s="46" t="s">
        <v>78</v>
      </c>
      <c r="C92" s="46" t="s">
        <v>77</v>
      </c>
      <c r="D92" s="46"/>
      <c r="F92" s="13">
        <v>12</v>
      </c>
      <c r="G92" s="5">
        <v>76.348837209302332</v>
      </c>
    </row>
    <row r="93" spans="1:7" x14ac:dyDescent="0.25">
      <c r="A93" s="13">
        <v>0</v>
      </c>
      <c r="B93" s="5">
        <v>43</v>
      </c>
      <c r="C93" s="5">
        <v>43</v>
      </c>
      <c r="F93" s="13">
        <v>13</v>
      </c>
      <c r="G93" s="5">
        <v>78.511627906976742</v>
      </c>
    </row>
    <row r="94" spans="1:7" x14ac:dyDescent="0.25">
      <c r="A94" s="13">
        <v>1</v>
      </c>
      <c r="B94" s="5">
        <v>43</v>
      </c>
      <c r="C94" s="5">
        <v>43</v>
      </c>
      <c r="F94" s="13">
        <v>14</v>
      </c>
      <c r="G94" s="5">
        <v>74.418604651162795</v>
      </c>
    </row>
    <row r="95" spans="1:7" x14ac:dyDescent="0.25">
      <c r="A95" s="13">
        <v>2</v>
      </c>
      <c r="B95" s="5">
        <v>41</v>
      </c>
      <c r="C95" s="5">
        <v>41</v>
      </c>
      <c r="F95" s="13">
        <v>15</v>
      </c>
      <c r="G95" s="5">
        <v>77.95348837209302</v>
      </c>
    </row>
    <row r="96" spans="1:7" x14ac:dyDescent="0.25">
      <c r="A96" s="13">
        <v>3</v>
      </c>
      <c r="B96" s="5">
        <v>31</v>
      </c>
      <c r="C96" s="5">
        <v>31</v>
      </c>
      <c r="F96" s="13">
        <v>16</v>
      </c>
      <c r="G96" s="5">
        <v>89.272727272727266</v>
      </c>
    </row>
    <row r="97" spans="1:7" x14ac:dyDescent="0.25">
      <c r="A97" s="13">
        <v>4</v>
      </c>
      <c r="B97" s="5">
        <v>32</v>
      </c>
      <c r="C97" s="5">
        <v>32</v>
      </c>
      <c r="F97" s="13">
        <v>17</v>
      </c>
      <c r="G97" s="5">
        <v>140.20454545454547</v>
      </c>
    </row>
    <row r="98" spans="1:7" x14ac:dyDescent="0.25">
      <c r="A98" s="13">
        <v>5</v>
      </c>
      <c r="B98" s="5">
        <v>39</v>
      </c>
      <c r="C98" s="5">
        <v>39</v>
      </c>
      <c r="F98" s="13">
        <v>18</v>
      </c>
      <c r="G98" s="5">
        <v>122.86046511627907</v>
      </c>
    </row>
    <row r="99" spans="1:7" x14ac:dyDescent="0.25">
      <c r="A99" s="13">
        <v>6</v>
      </c>
      <c r="B99" s="5">
        <v>42</v>
      </c>
      <c r="C99" s="5">
        <v>42</v>
      </c>
      <c r="F99" s="13">
        <v>19</v>
      </c>
      <c r="G99" s="5">
        <v>85.139534883720927</v>
      </c>
    </row>
    <row r="100" spans="1:7" x14ac:dyDescent="0.25">
      <c r="A100" s="13">
        <v>7</v>
      </c>
      <c r="B100" s="5">
        <v>43</v>
      </c>
      <c r="C100" s="5">
        <v>43</v>
      </c>
      <c r="F100" s="13">
        <v>20</v>
      </c>
      <c r="G100" s="5">
        <v>61.767441860465119</v>
      </c>
    </row>
    <row r="101" spans="1:7" x14ac:dyDescent="0.25">
      <c r="A101" s="13">
        <v>8</v>
      </c>
      <c r="B101" s="5">
        <v>42</v>
      </c>
      <c r="C101" s="5">
        <v>42</v>
      </c>
      <c r="F101" s="13">
        <v>21</v>
      </c>
      <c r="G101" s="5">
        <v>46.418604651162788</v>
      </c>
    </row>
    <row r="102" spans="1:7" x14ac:dyDescent="0.25">
      <c r="A102" s="13">
        <v>9</v>
      </c>
      <c r="B102" s="5">
        <v>42</v>
      </c>
      <c r="C102" s="5">
        <v>42</v>
      </c>
      <c r="F102" s="13">
        <v>22</v>
      </c>
      <c r="G102" s="5">
        <v>35.069767441860463</v>
      </c>
    </row>
    <row r="103" spans="1:7" x14ac:dyDescent="0.25">
      <c r="A103" s="13">
        <v>10</v>
      </c>
      <c r="B103" s="5">
        <v>42</v>
      </c>
      <c r="C103" s="5">
        <v>42</v>
      </c>
      <c r="F103" s="13">
        <v>23</v>
      </c>
      <c r="G103" s="5">
        <v>25.186046511627907</v>
      </c>
    </row>
    <row r="104" spans="1:7" x14ac:dyDescent="0.25">
      <c r="A104" s="13">
        <v>11</v>
      </c>
      <c r="B104" s="5">
        <v>42</v>
      </c>
      <c r="C104" s="5">
        <v>42</v>
      </c>
      <c r="F104" s="13" t="s">
        <v>53</v>
      </c>
      <c r="G104" s="5">
        <v>58.304000000000002</v>
      </c>
    </row>
    <row r="105" spans="1:7" x14ac:dyDescent="0.25">
      <c r="A105" s="13">
        <v>12</v>
      </c>
      <c r="B105" s="5">
        <v>43</v>
      </c>
      <c r="C105" s="5">
        <v>43</v>
      </c>
    </row>
    <row r="106" spans="1:7" x14ac:dyDescent="0.25">
      <c r="A106" s="13">
        <v>13</v>
      </c>
      <c r="B106" s="5">
        <v>43</v>
      </c>
      <c r="C106" s="5">
        <v>43</v>
      </c>
    </row>
    <row r="107" spans="1:7" x14ac:dyDescent="0.25">
      <c r="A107" s="13">
        <v>14</v>
      </c>
      <c r="B107" s="5">
        <v>43</v>
      </c>
      <c r="C107" s="5">
        <v>43</v>
      </c>
    </row>
    <row r="108" spans="1:7" x14ac:dyDescent="0.25">
      <c r="A108" s="13">
        <v>15</v>
      </c>
      <c r="B108" s="5">
        <v>43</v>
      </c>
      <c r="C108" s="5">
        <v>43</v>
      </c>
    </row>
    <row r="109" spans="1:7" x14ac:dyDescent="0.25">
      <c r="A109" s="13">
        <v>16</v>
      </c>
      <c r="B109" s="5">
        <v>44</v>
      </c>
      <c r="C109" s="5">
        <v>44</v>
      </c>
    </row>
    <row r="110" spans="1:7" x14ac:dyDescent="0.25">
      <c r="A110" s="13">
        <v>17</v>
      </c>
      <c r="B110" s="5">
        <v>44</v>
      </c>
      <c r="C110" s="5">
        <v>44</v>
      </c>
    </row>
    <row r="111" spans="1:7" x14ac:dyDescent="0.25">
      <c r="A111" s="13">
        <v>18</v>
      </c>
      <c r="B111" s="5">
        <v>43</v>
      </c>
      <c r="C111" s="5">
        <v>43</v>
      </c>
    </row>
    <row r="112" spans="1:7" x14ac:dyDescent="0.25">
      <c r="A112" s="13">
        <v>19</v>
      </c>
      <c r="B112" s="5">
        <v>43</v>
      </c>
      <c r="C112" s="5">
        <v>43</v>
      </c>
    </row>
    <row r="113" spans="1:3" x14ac:dyDescent="0.25">
      <c r="A113" s="13">
        <v>20</v>
      </c>
      <c r="B113" s="5">
        <v>43</v>
      </c>
      <c r="C113" s="5">
        <v>43</v>
      </c>
    </row>
    <row r="114" spans="1:3" x14ac:dyDescent="0.25">
      <c r="A114" s="13">
        <v>21</v>
      </c>
      <c r="B114" s="5">
        <v>43</v>
      </c>
      <c r="C114" s="5">
        <v>43</v>
      </c>
    </row>
    <row r="115" spans="1:3" x14ac:dyDescent="0.25">
      <c r="A115" s="13">
        <v>22</v>
      </c>
      <c r="B115" s="5">
        <v>43</v>
      </c>
      <c r="C115" s="5">
        <v>43</v>
      </c>
    </row>
    <row r="116" spans="1:3" x14ac:dyDescent="0.25">
      <c r="A116" s="13">
        <v>23</v>
      </c>
      <c r="B116" s="5">
        <v>43</v>
      </c>
      <c r="C116" s="5">
        <v>43</v>
      </c>
    </row>
    <row r="117" spans="1:3" x14ac:dyDescent="0.25">
      <c r="A117" s="13" t="s">
        <v>53</v>
      </c>
      <c r="B117" s="5">
        <v>1000</v>
      </c>
      <c r="C117" s="5">
        <v>1000</v>
      </c>
    </row>
  </sheetData>
  <mergeCells count="12">
    <mergeCell ref="A59:C59"/>
    <mergeCell ref="A88:D88"/>
    <mergeCell ref="F59:H59"/>
    <mergeCell ref="F49:H49"/>
    <mergeCell ref="F40:H40"/>
    <mergeCell ref="F17:H17"/>
    <mergeCell ref="F10:H10"/>
    <mergeCell ref="A28:C28"/>
    <mergeCell ref="A40:C40"/>
    <mergeCell ref="A42:C42"/>
    <mergeCell ref="A49:C49"/>
    <mergeCell ref="A51:C51"/>
  </mergeCells>
  <conditionalFormatting pivot="1" sqref="B61:B84">
    <cfRule type="colorScale" priority="11">
      <colorScale>
        <cfvo type="min"/>
        <cfvo type="percentile" val="50"/>
        <cfvo type="max"/>
        <color rgb="FFF8696B"/>
        <color rgb="FFFFEB84"/>
        <color rgb="FF63BE7B"/>
      </colorScale>
    </cfRule>
  </conditionalFormatting>
  <conditionalFormatting pivot="1" sqref="C61:C84">
    <cfRule type="colorScale" priority="10">
      <colorScale>
        <cfvo type="min"/>
        <cfvo type="percentile" val="50"/>
        <cfvo type="max"/>
        <color rgb="FFF8696B"/>
        <color rgb="FFFFEB84"/>
        <color rgb="FF63BE7B"/>
      </colorScale>
    </cfRule>
  </conditionalFormatting>
  <conditionalFormatting pivot="1" sqref="B101:B102 B110:B111">
    <cfRule type="colorScale" priority="5">
      <colorScale>
        <cfvo type="min"/>
        <cfvo type="percentile" val="50"/>
        <cfvo type="max"/>
        <color rgb="FFF8696B"/>
        <color rgb="FFFFEB84"/>
        <color rgb="FF63BE7B"/>
      </colorScale>
    </cfRule>
  </conditionalFormatting>
  <conditionalFormatting pivot="1" sqref="C104:C110">
    <cfRule type="colorScale" priority="3">
      <colorScale>
        <cfvo type="min"/>
        <cfvo type="percentile" val="50"/>
        <cfvo type="max"/>
        <color rgb="FFF8696B"/>
        <color rgb="FFFFEB84"/>
        <color rgb="FF63BE7B"/>
      </colorScale>
    </cfRule>
  </conditionalFormatting>
  <conditionalFormatting pivot="1" sqref="J6:AG12">
    <cfRule type="colorScale" priority="2">
      <colorScale>
        <cfvo type="min"/>
        <cfvo type="percentile" val="50"/>
        <cfvo type="max"/>
        <color rgb="FFF8696B"/>
        <color rgb="FFFFEB84"/>
        <color rgb="FF63BE7B"/>
      </colorScale>
    </cfRule>
  </conditionalFormatting>
  <conditionalFormatting pivot="1" sqref="J6:AG13">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E28E9-5B07-4DE3-AB9D-51AB0FE73CFF}">
  <sheetPr>
    <tabColor theme="6" tint="0.59999389629810485"/>
  </sheetPr>
  <dimension ref="A1:AV82"/>
  <sheetViews>
    <sheetView tabSelected="1" zoomScale="70" zoomScaleNormal="70" workbookViewId="0">
      <selection activeCell="Z10" sqref="Z10"/>
    </sheetView>
  </sheetViews>
  <sheetFormatPr defaultRowHeight="12.5" x14ac:dyDescent="0.25"/>
  <cols>
    <col min="24" max="24" width="10.1796875" customWidth="1"/>
  </cols>
  <sheetData>
    <row r="1" spans="1:48" x14ac:dyDescent="0.25">
      <c r="A1" s="36"/>
      <c r="B1" s="36"/>
      <c r="C1" s="36"/>
      <c r="D1" s="36"/>
      <c r="E1" s="36"/>
      <c r="F1" s="36"/>
      <c r="G1" s="36"/>
      <c r="H1" s="36"/>
      <c r="I1" s="36"/>
      <c r="J1" s="36"/>
      <c r="K1" s="36"/>
      <c r="L1" s="36"/>
      <c r="M1" s="36"/>
      <c r="N1" s="36"/>
      <c r="O1" s="36"/>
      <c r="P1" s="36"/>
      <c r="Q1" s="36"/>
      <c r="R1" s="36"/>
      <c r="S1" s="36"/>
      <c r="T1" s="36"/>
      <c r="U1" s="36"/>
      <c r="V1" s="36"/>
      <c r="W1" s="36"/>
      <c r="X1" s="36"/>
      <c r="Y1" s="6"/>
      <c r="Z1" s="6"/>
      <c r="AA1" s="6"/>
      <c r="AB1" s="6"/>
      <c r="AC1" s="6"/>
      <c r="AD1" s="6"/>
      <c r="AE1" s="6"/>
      <c r="AF1" s="6"/>
      <c r="AG1" s="6"/>
      <c r="AH1" s="6"/>
      <c r="AI1" s="6"/>
      <c r="AJ1" s="6"/>
      <c r="AK1" s="6"/>
      <c r="AL1" s="6"/>
      <c r="AM1" s="6"/>
      <c r="AN1" s="6"/>
      <c r="AO1" s="6"/>
      <c r="AP1" s="6"/>
      <c r="AQ1" s="6"/>
      <c r="AR1" s="6"/>
      <c r="AS1" s="6"/>
      <c r="AT1" s="6"/>
      <c r="AU1" s="6"/>
      <c r="AV1" s="6"/>
    </row>
    <row r="2" spans="1:48" x14ac:dyDescent="0.25">
      <c r="A2" s="36"/>
      <c r="B2" s="36"/>
      <c r="C2" s="36"/>
      <c r="D2" s="36"/>
      <c r="E2" s="36"/>
      <c r="F2" s="36"/>
      <c r="G2" s="36"/>
      <c r="H2" s="36"/>
      <c r="I2" s="36"/>
      <c r="J2" s="36"/>
      <c r="K2" s="36"/>
      <c r="L2" s="36"/>
      <c r="M2" s="36"/>
      <c r="N2" s="36"/>
      <c r="O2" s="36"/>
      <c r="P2" s="36"/>
      <c r="Q2" s="36"/>
      <c r="R2" s="36"/>
      <c r="S2" s="36"/>
      <c r="T2" s="36"/>
      <c r="U2" s="36"/>
      <c r="V2" s="36"/>
      <c r="W2" s="36"/>
      <c r="X2" s="36"/>
      <c r="Y2" s="6"/>
      <c r="Z2" s="6"/>
      <c r="AA2" s="6"/>
      <c r="AB2" s="6"/>
      <c r="AC2" s="6"/>
      <c r="AD2" s="6"/>
      <c r="AE2" s="6"/>
      <c r="AF2" s="6"/>
      <c r="AG2" s="6"/>
      <c r="AH2" s="6"/>
      <c r="AI2" s="6"/>
      <c r="AJ2" s="6"/>
      <c r="AK2" s="6"/>
      <c r="AL2" s="6"/>
      <c r="AM2" s="6"/>
      <c r="AN2" s="6"/>
      <c r="AO2" s="6"/>
      <c r="AP2" s="6"/>
      <c r="AQ2" s="6"/>
      <c r="AR2" s="6"/>
      <c r="AS2" s="6"/>
      <c r="AT2" s="6"/>
      <c r="AU2" s="6"/>
      <c r="AV2" s="6"/>
    </row>
    <row r="3" spans="1:48" x14ac:dyDescent="0.25">
      <c r="A3" s="36"/>
      <c r="B3" s="36"/>
      <c r="C3" s="36"/>
      <c r="D3" s="36"/>
      <c r="E3" s="36"/>
      <c r="F3" s="36"/>
      <c r="G3" s="36"/>
      <c r="H3" s="36"/>
      <c r="I3" s="36"/>
      <c r="J3" s="36"/>
      <c r="K3" s="36"/>
      <c r="L3" s="36"/>
      <c r="M3" s="36"/>
      <c r="N3" s="36"/>
      <c r="O3" s="36"/>
      <c r="P3" s="36"/>
      <c r="Q3" s="36"/>
      <c r="R3" s="36"/>
      <c r="S3" s="36"/>
      <c r="T3" s="36"/>
      <c r="U3" s="36"/>
      <c r="V3" s="36"/>
      <c r="W3" s="36"/>
      <c r="X3" s="36"/>
      <c r="Y3" s="6"/>
      <c r="Z3" s="6"/>
      <c r="AA3" s="6"/>
      <c r="AB3" s="6"/>
      <c r="AC3" s="6"/>
      <c r="AD3" s="6"/>
      <c r="AE3" s="6"/>
      <c r="AF3" s="6"/>
      <c r="AG3" s="6"/>
      <c r="AH3" s="6"/>
      <c r="AI3" s="6"/>
      <c r="AJ3" s="6"/>
      <c r="AK3" s="6"/>
      <c r="AL3" s="6"/>
      <c r="AM3" s="6"/>
      <c r="AN3" s="6"/>
      <c r="AO3" s="6"/>
      <c r="AP3" s="6"/>
      <c r="AQ3" s="6"/>
      <c r="AR3" s="6"/>
      <c r="AS3" s="6"/>
      <c r="AT3" s="6"/>
      <c r="AU3" s="6"/>
      <c r="AV3" s="6"/>
    </row>
    <row r="4" spans="1:48" x14ac:dyDescent="0.25">
      <c r="A4" s="36"/>
      <c r="B4" s="36"/>
      <c r="C4" s="36"/>
      <c r="D4" s="36"/>
      <c r="E4" s="36"/>
      <c r="F4" s="36"/>
      <c r="G4" s="36"/>
      <c r="H4" s="36"/>
      <c r="I4" s="36"/>
      <c r="J4" s="36"/>
      <c r="K4" s="36"/>
      <c r="L4" s="36"/>
      <c r="M4" s="36"/>
      <c r="N4" s="36"/>
      <c r="O4" s="36"/>
      <c r="P4" s="36"/>
      <c r="Q4" s="36"/>
      <c r="R4" s="36"/>
      <c r="S4" s="36"/>
      <c r="T4" s="36"/>
      <c r="U4" s="36"/>
      <c r="V4" s="36"/>
      <c r="W4" s="36"/>
      <c r="X4" s="36"/>
      <c r="Y4" s="6"/>
      <c r="Z4" s="6"/>
      <c r="AA4" s="6"/>
      <c r="AB4" s="6"/>
      <c r="AC4" s="6"/>
      <c r="AD4" s="6"/>
      <c r="AE4" s="6"/>
      <c r="AF4" s="6"/>
      <c r="AG4" s="6"/>
      <c r="AH4" s="6"/>
      <c r="AI4" s="6"/>
      <c r="AJ4" s="6"/>
      <c r="AK4" s="6"/>
      <c r="AL4" s="6"/>
      <c r="AM4" s="6"/>
      <c r="AN4" s="6"/>
      <c r="AO4" s="6"/>
      <c r="AP4" s="6"/>
      <c r="AQ4" s="6"/>
      <c r="AR4" s="6"/>
      <c r="AS4" s="6"/>
      <c r="AT4" s="6"/>
      <c r="AU4" s="6"/>
      <c r="AV4" s="6"/>
    </row>
    <row r="5" spans="1:48" x14ac:dyDescent="0.25">
      <c r="A5" s="36"/>
      <c r="B5" s="36"/>
      <c r="C5" s="36"/>
      <c r="D5" s="36"/>
      <c r="E5" s="36"/>
      <c r="F5" s="36"/>
      <c r="G5" s="36"/>
      <c r="H5" s="36"/>
      <c r="I5" s="36"/>
      <c r="J5" s="36"/>
      <c r="K5" s="36"/>
      <c r="L5" s="36"/>
      <c r="M5" s="36"/>
      <c r="N5" s="36"/>
      <c r="O5" s="36"/>
      <c r="P5" s="36"/>
      <c r="Q5" s="36"/>
      <c r="R5" s="36"/>
      <c r="S5" s="36"/>
      <c r="T5" s="36"/>
      <c r="U5" s="36"/>
      <c r="V5" s="36"/>
      <c r="W5" s="36"/>
      <c r="X5" s="36"/>
      <c r="Y5" s="6"/>
      <c r="Z5" s="6"/>
      <c r="AA5" s="6"/>
      <c r="AB5" s="6"/>
      <c r="AC5" s="6"/>
      <c r="AD5" s="6"/>
      <c r="AE5" s="6"/>
      <c r="AF5" s="6"/>
      <c r="AG5" s="6"/>
      <c r="AH5" s="6"/>
      <c r="AI5" s="6"/>
      <c r="AJ5" s="6"/>
      <c r="AK5" s="6"/>
      <c r="AL5" s="6"/>
      <c r="AM5" s="6"/>
      <c r="AN5" s="6"/>
      <c r="AO5" s="6"/>
      <c r="AP5" s="6"/>
      <c r="AQ5" s="6"/>
      <c r="AR5" s="6"/>
      <c r="AS5" s="6"/>
      <c r="AT5" s="6"/>
      <c r="AU5" s="6"/>
      <c r="AV5" s="6"/>
    </row>
    <row r="6" spans="1:48" x14ac:dyDescent="0.25">
      <c r="A6" s="36"/>
      <c r="B6" s="36"/>
      <c r="C6" s="36"/>
      <c r="D6" s="36"/>
      <c r="E6" s="36"/>
      <c r="F6" s="36"/>
      <c r="G6" s="36"/>
      <c r="H6" s="36"/>
      <c r="I6" s="36"/>
      <c r="J6" s="36"/>
      <c r="K6" s="36"/>
      <c r="L6" s="36"/>
      <c r="M6" s="36"/>
      <c r="N6" s="36"/>
      <c r="O6" s="36"/>
      <c r="P6" s="36"/>
      <c r="Q6" s="36"/>
      <c r="R6" s="36"/>
      <c r="S6" s="36"/>
      <c r="T6" s="36"/>
      <c r="U6" s="36"/>
      <c r="V6" s="36"/>
      <c r="W6" s="36"/>
      <c r="X6" s="36"/>
      <c r="Y6" s="6"/>
      <c r="Z6" s="6"/>
      <c r="AA6" s="6"/>
      <c r="AB6" s="6"/>
      <c r="AC6" s="6"/>
      <c r="AD6" s="6"/>
      <c r="AE6" s="6"/>
      <c r="AF6" s="6"/>
      <c r="AG6" s="6"/>
      <c r="AH6" s="6"/>
      <c r="AI6" s="6"/>
      <c r="AJ6" s="6"/>
      <c r="AK6" s="6"/>
      <c r="AL6" s="6"/>
      <c r="AM6" s="6"/>
      <c r="AN6" s="6"/>
      <c r="AO6" s="6"/>
      <c r="AP6" s="6"/>
      <c r="AQ6" s="6"/>
      <c r="AR6" s="6"/>
      <c r="AS6" s="6"/>
      <c r="AT6" s="6"/>
      <c r="AU6" s="6"/>
      <c r="AV6" s="6"/>
    </row>
    <row r="7" spans="1:48" x14ac:dyDescent="0.25">
      <c r="A7" s="36"/>
      <c r="B7" s="36"/>
      <c r="C7" s="36"/>
      <c r="D7" s="36"/>
      <c r="E7" s="36"/>
      <c r="F7" s="36"/>
      <c r="G7" s="36"/>
      <c r="H7" s="36"/>
      <c r="I7" s="36"/>
      <c r="J7" s="36"/>
      <c r="K7" s="36"/>
      <c r="L7" s="36"/>
      <c r="M7" s="36"/>
      <c r="N7" s="36"/>
      <c r="O7" s="36"/>
      <c r="P7" s="36"/>
      <c r="Q7" s="36"/>
      <c r="R7" s="36"/>
      <c r="S7" s="36"/>
      <c r="T7" s="36"/>
      <c r="U7" s="36"/>
      <c r="V7" s="36"/>
      <c r="W7" s="36"/>
      <c r="X7" s="36"/>
      <c r="Y7" s="6"/>
      <c r="Z7" s="6"/>
      <c r="AA7" s="6"/>
      <c r="AB7" s="6"/>
      <c r="AC7" s="6"/>
      <c r="AD7" s="6"/>
      <c r="AE7" s="6"/>
      <c r="AF7" s="6"/>
      <c r="AG7" s="6"/>
      <c r="AH7" s="6"/>
      <c r="AI7" s="6"/>
      <c r="AJ7" s="6"/>
      <c r="AK7" s="6"/>
      <c r="AL7" s="6"/>
      <c r="AM7" s="6"/>
      <c r="AN7" s="6"/>
      <c r="AO7" s="6"/>
      <c r="AP7" s="6"/>
      <c r="AQ7" s="6"/>
      <c r="AR7" s="6"/>
      <c r="AS7" s="6"/>
      <c r="AT7" s="6"/>
      <c r="AU7" s="6"/>
      <c r="AV7" s="6"/>
    </row>
    <row r="8" spans="1:48" x14ac:dyDescent="0.25">
      <c r="A8" s="36"/>
      <c r="B8" s="36"/>
      <c r="C8" s="36"/>
      <c r="D8" s="36"/>
      <c r="E8" s="36"/>
      <c r="F8" s="36"/>
      <c r="G8" s="36"/>
      <c r="H8" s="36"/>
      <c r="I8" s="36"/>
      <c r="J8" s="36"/>
      <c r="K8" s="36"/>
      <c r="L8" s="36"/>
      <c r="M8" s="36"/>
      <c r="N8" s="36"/>
      <c r="O8" s="36"/>
      <c r="P8" s="36"/>
      <c r="Q8" s="36"/>
      <c r="R8" s="36"/>
      <c r="S8" s="36"/>
      <c r="T8" s="36"/>
      <c r="U8" s="36"/>
      <c r="V8" s="36"/>
      <c r="W8" s="36"/>
      <c r="X8" s="36"/>
      <c r="Y8" s="6"/>
      <c r="Z8" s="6"/>
      <c r="AA8" s="6"/>
      <c r="AB8" s="6"/>
      <c r="AC8" s="6"/>
      <c r="AD8" s="6"/>
      <c r="AE8" s="6"/>
      <c r="AF8" s="6"/>
      <c r="AG8" s="6"/>
      <c r="AH8" s="6"/>
      <c r="AI8" s="6"/>
      <c r="AJ8" s="6"/>
      <c r="AK8" s="6"/>
      <c r="AL8" s="6"/>
      <c r="AM8" s="6"/>
      <c r="AN8" s="6"/>
      <c r="AO8" s="6"/>
      <c r="AP8" s="6"/>
      <c r="AQ8" s="6"/>
      <c r="AR8" s="6"/>
      <c r="AS8" s="6"/>
      <c r="AT8" s="6"/>
      <c r="AU8" s="6"/>
      <c r="AV8" s="6"/>
    </row>
    <row r="9" spans="1:48" x14ac:dyDescent="0.25">
      <c r="A9" s="36"/>
      <c r="B9" s="36"/>
      <c r="C9" s="36"/>
      <c r="D9" s="36"/>
      <c r="E9" s="36"/>
      <c r="F9" s="36"/>
      <c r="G9" s="36"/>
      <c r="H9" s="36"/>
      <c r="I9" s="36"/>
      <c r="J9" s="36"/>
      <c r="K9" s="36"/>
      <c r="L9" s="36"/>
      <c r="M9" s="36"/>
      <c r="N9" s="36"/>
      <c r="O9" s="36"/>
      <c r="P9" s="36"/>
      <c r="Q9" s="36"/>
      <c r="R9" s="36"/>
      <c r="S9" s="36"/>
      <c r="T9" s="36"/>
      <c r="U9" s="36"/>
      <c r="V9" s="36"/>
      <c r="W9" s="36"/>
      <c r="X9" s="36"/>
      <c r="Y9" s="6"/>
      <c r="Z9" s="6"/>
      <c r="AA9" s="6"/>
      <c r="AB9" s="6"/>
      <c r="AC9" s="6"/>
      <c r="AD9" s="6"/>
      <c r="AE9" s="6"/>
      <c r="AF9" s="6"/>
      <c r="AG9" s="6"/>
      <c r="AH9" s="6"/>
      <c r="AI9" s="6"/>
      <c r="AJ9" s="6"/>
      <c r="AK9" s="6"/>
      <c r="AL9" s="6"/>
      <c r="AM9" s="6"/>
      <c r="AN9" s="6"/>
      <c r="AO9" s="6"/>
      <c r="AP9" s="6"/>
      <c r="AQ9" s="6"/>
      <c r="AR9" s="6"/>
      <c r="AS9" s="6"/>
      <c r="AT9" s="6"/>
      <c r="AU9" s="6"/>
      <c r="AV9" s="6"/>
    </row>
    <row r="10" spans="1:48" x14ac:dyDescent="0.25">
      <c r="A10" s="36"/>
      <c r="B10" s="36"/>
      <c r="C10" s="36"/>
      <c r="D10" s="36"/>
      <c r="E10" s="36"/>
      <c r="F10" s="36"/>
      <c r="G10" s="36"/>
      <c r="H10" s="36"/>
      <c r="I10" s="36"/>
      <c r="J10" s="36"/>
      <c r="K10" s="36"/>
      <c r="L10" s="36"/>
      <c r="M10" s="36"/>
      <c r="N10" s="36"/>
      <c r="O10" s="36"/>
      <c r="P10" s="36"/>
      <c r="Q10" s="36"/>
      <c r="R10" s="36"/>
      <c r="S10" s="36"/>
      <c r="T10" s="36"/>
      <c r="U10" s="36"/>
      <c r="V10" s="36"/>
      <c r="W10" s="36"/>
      <c r="X10" s="36"/>
      <c r="Y10" s="6"/>
      <c r="Z10" s="6"/>
      <c r="AA10" s="6"/>
      <c r="AB10" s="6"/>
      <c r="AC10" s="6"/>
      <c r="AD10" s="6"/>
      <c r="AE10" s="6"/>
      <c r="AF10" s="6"/>
      <c r="AG10" s="6"/>
      <c r="AH10" s="6"/>
      <c r="AI10" s="6"/>
      <c r="AJ10" s="6"/>
      <c r="AK10" s="6"/>
      <c r="AL10" s="6"/>
      <c r="AM10" s="6"/>
      <c r="AN10" s="6"/>
      <c r="AO10" s="6"/>
      <c r="AP10" s="6"/>
      <c r="AQ10" s="6"/>
      <c r="AR10" s="6"/>
      <c r="AS10" s="6"/>
      <c r="AT10" s="6"/>
      <c r="AU10" s="6"/>
      <c r="AV10" s="6"/>
    </row>
    <row r="11" spans="1:48" x14ac:dyDescent="0.25">
      <c r="A11" s="36"/>
      <c r="B11" s="36"/>
      <c r="C11" s="36"/>
      <c r="D11" s="36"/>
      <c r="E11" s="36"/>
      <c r="F11" s="36"/>
      <c r="G11" s="36"/>
      <c r="H11" s="36"/>
      <c r="I11" s="36"/>
      <c r="J11" s="36"/>
      <c r="K11" s="36"/>
      <c r="L11" s="36"/>
      <c r="M11" s="36"/>
      <c r="N11" s="36"/>
      <c r="O11" s="36"/>
      <c r="P11" s="36"/>
      <c r="Q11" s="36"/>
      <c r="R11" s="36"/>
      <c r="S11" s="36"/>
      <c r="T11" s="36"/>
      <c r="U11" s="36"/>
      <c r="V11" s="36"/>
      <c r="W11" s="36"/>
      <c r="X11" s="36"/>
      <c r="Y11" s="6"/>
      <c r="Z11" s="6"/>
      <c r="AA11" s="6"/>
      <c r="AB11" s="6"/>
      <c r="AC11" s="6"/>
      <c r="AD11" s="6"/>
      <c r="AE11" s="6"/>
      <c r="AF11" s="6"/>
      <c r="AG11" s="6"/>
      <c r="AH11" s="6"/>
      <c r="AI11" s="6"/>
      <c r="AJ11" s="6"/>
      <c r="AK11" s="6"/>
      <c r="AL11" s="6"/>
      <c r="AM11" s="6"/>
      <c r="AN11" s="6"/>
      <c r="AO11" s="6"/>
      <c r="AP11" s="6"/>
      <c r="AQ11" s="6"/>
      <c r="AR11" s="6"/>
      <c r="AS11" s="6"/>
      <c r="AT11" s="6"/>
      <c r="AU11" s="6"/>
      <c r="AV11" s="6"/>
    </row>
    <row r="12" spans="1:48" x14ac:dyDescent="0.25">
      <c r="A12" s="36"/>
      <c r="B12" s="36"/>
      <c r="C12" s="36"/>
      <c r="D12" s="36"/>
      <c r="E12" s="36"/>
      <c r="F12" s="36"/>
      <c r="G12" s="36"/>
      <c r="H12" s="36"/>
      <c r="I12" s="36"/>
      <c r="J12" s="36"/>
      <c r="K12" s="36"/>
      <c r="L12" s="36"/>
      <c r="M12" s="36"/>
      <c r="N12" s="36"/>
      <c r="O12" s="36"/>
      <c r="P12" s="36"/>
      <c r="Q12" s="36"/>
      <c r="R12" s="36"/>
      <c r="S12" s="36"/>
      <c r="T12" s="36"/>
      <c r="U12" s="36"/>
      <c r="V12" s="36"/>
      <c r="W12" s="36"/>
      <c r="X12" s="36"/>
      <c r="Y12" s="6"/>
      <c r="Z12" s="6"/>
      <c r="AA12" s="6"/>
      <c r="AB12" s="6"/>
      <c r="AC12" s="6"/>
      <c r="AD12" s="6"/>
      <c r="AE12" s="6"/>
      <c r="AF12" s="6"/>
      <c r="AG12" s="6"/>
      <c r="AH12" s="6"/>
      <c r="AI12" s="6"/>
      <c r="AJ12" s="6"/>
      <c r="AK12" s="6"/>
      <c r="AL12" s="6"/>
      <c r="AM12" s="6"/>
      <c r="AN12" s="6"/>
      <c r="AO12" s="6"/>
      <c r="AP12" s="6"/>
      <c r="AQ12" s="6"/>
      <c r="AR12" s="6"/>
      <c r="AS12" s="6"/>
      <c r="AT12" s="6"/>
      <c r="AU12" s="6"/>
      <c r="AV12" s="6"/>
    </row>
    <row r="13" spans="1:48" x14ac:dyDescent="0.25">
      <c r="A13" s="36"/>
      <c r="B13" s="36"/>
      <c r="C13" s="36"/>
      <c r="D13" s="36"/>
      <c r="E13" s="36"/>
      <c r="F13" s="36"/>
      <c r="G13" s="36"/>
      <c r="H13" s="36"/>
      <c r="I13" s="36"/>
      <c r="J13" s="36"/>
      <c r="K13" s="36"/>
      <c r="L13" s="36"/>
      <c r="M13" s="36"/>
      <c r="N13" s="36"/>
      <c r="O13" s="36"/>
      <c r="P13" s="36"/>
      <c r="Q13" s="36"/>
      <c r="R13" s="36"/>
      <c r="S13" s="36"/>
      <c r="T13" s="36"/>
      <c r="U13" s="36"/>
      <c r="V13" s="36"/>
      <c r="W13" s="36"/>
      <c r="X13" s="36"/>
      <c r="Y13" s="6"/>
      <c r="Z13" s="6"/>
      <c r="AA13" s="6"/>
      <c r="AB13" s="6"/>
      <c r="AC13" s="6"/>
      <c r="AD13" s="6"/>
      <c r="AE13" s="6"/>
      <c r="AF13" s="6"/>
      <c r="AG13" s="6"/>
      <c r="AH13" s="6"/>
      <c r="AI13" s="6"/>
      <c r="AJ13" s="6"/>
      <c r="AK13" s="6"/>
      <c r="AL13" s="6"/>
      <c r="AM13" s="6"/>
      <c r="AN13" s="6"/>
      <c r="AO13" s="6"/>
      <c r="AP13" s="6"/>
      <c r="AQ13" s="6"/>
      <c r="AR13" s="6"/>
      <c r="AS13" s="6"/>
      <c r="AT13" s="6"/>
      <c r="AU13" s="6"/>
      <c r="AV13" s="6"/>
    </row>
    <row r="14" spans="1:48" x14ac:dyDescent="0.25">
      <c r="A14" s="36"/>
      <c r="B14" s="36"/>
      <c r="C14" s="36"/>
      <c r="D14" s="36"/>
      <c r="E14" s="36"/>
      <c r="F14" s="36"/>
      <c r="G14" s="36"/>
      <c r="H14" s="36"/>
      <c r="I14" s="36"/>
      <c r="J14" s="36"/>
      <c r="K14" s="36"/>
      <c r="L14" s="36"/>
      <c r="M14" s="36"/>
      <c r="N14" s="36"/>
      <c r="O14" s="36"/>
      <c r="P14" s="36"/>
      <c r="Q14" s="36"/>
      <c r="R14" s="36"/>
      <c r="S14" s="36"/>
      <c r="T14" s="36"/>
      <c r="U14" s="36"/>
      <c r="V14" s="36"/>
      <c r="W14" s="36"/>
      <c r="X14" s="36"/>
      <c r="Y14" s="6"/>
      <c r="Z14" s="6"/>
      <c r="AA14" s="6"/>
      <c r="AB14" s="6"/>
      <c r="AC14" s="6"/>
      <c r="AD14" s="6"/>
      <c r="AE14" s="6"/>
      <c r="AF14" s="6"/>
      <c r="AG14" s="6"/>
      <c r="AH14" s="6"/>
      <c r="AI14" s="6"/>
      <c r="AJ14" s="6"/>
      <c r="AK14" s="6"/>
      <c r="AL14" s="6"/>
      <c r="AM14" s="6"/>
      <c r="AN14" s="6"/>
      <c r="AO14" s="6"/>
      <c r="AP14" s="6"/>
      <c r="AQ14" s="6"/>
      <c r="AR14" s="6"/>
      <c r="AS14" s="6"/>
      <c r="AT14" s="6"/>
      <c r="AU14" s="6"/>
      <c r="AV14" s="6"/>
    </row>
    <row r="15" spans="1:48" x14ac:dyDescent="0.25">
      <c r="A15" s="36"/>
      <c r="B15" s="36"/>
      <c r="C15" s="36"/>
      <c r="D15" s="36"/>
      <c r="E15" s="36"/>
      <c r="F15" s="36"/>
      <c r="G15" s="36"/>
      <c r="H15" s="36"/>
      <c r="I15" s="36"/>
      <c r="J15" s="36"/>
      <c r="K15" s="36"/>
      <c r="L15" s="36"/>
      <c r="M15" s="36"/>
      <c r="N15" s="36"/>
      <c r="O15" s="36"/>
      <c r="P15" s="36"/>
      <c r="Q15" s="36"/>
      <c r="R15" s="36"/>
      <c r="S15" s="36"/>
      <c r="T15" s="36"/>
      <c r="U15" s="36"/>
      <c r="V15" s="36"/>
      <c r="W15" s="36"/>
      <c r="X15" s="36"/>
      <c r="Y15" s="6"/>
      <c r="Z15" s="6"/>
      <c r="AA15" s="6"/>
      <c r="AB15" s="6"/>
      <c r="AC15" s="6"/>
      <c r="AD15" s="6"/>
      <c r="AE15" s="6"/>
      <c r="AF15" s="6"/>
      <c r="AG15" s="6"/>
      <c r="AH15" s="6"/>
      <c r="AI15" s="6"/>
      <c r="AJ15" s="6"/>
      <c r="AK15" s="6"/>
      <c r="AL15" s="6"/>
      <c r="AM15" s="6"/>
      <c r="AN15" s="6"/>
      <c r="AO15" s="6"/>
      <c r="AP15" s="6"/>
      <c r="AQ15" s="6"/>
      <c r="AR15" s="6"/>
      <c r="AS15" s="6"/>
      <c r="AT15" s="6"/>
      <c r="AU15" s="6"/>
      <c r="AV15" s="6"/>
    </row>
    <row r="16" spans="1:48" x14ac:dyDescent="0.25">
      <c r="A16" s="36"/>
      <c r="B16" s="36"/>
      <c r="C16" s="36"/>
      <c r="D16" s="36"/>
      <c r="E16" s="36"/>
      <c r="F16" s="36"/>
      <c r="G16" s="36"/>
      <c r="H16" s="36"/>
      <c r="I16" s="36"/>
      <c r="J16" s="36"/>
      <c r="K16" s="36"/>
      <c r="L16" s="36"/>
      <c r="M16" s="36"/>
      <c r="N16" s="36"/>
      <c r="O16" s="36"/>
      <c r="P16" s="36"/>
      <c r="Q16" s="36"/>
      <c r="R16" s="36"/>
      <c r="S16" s="36"/>
      <c r="T16" s="36"/>
      <c r="U16" s="36"/>
      <c r="V16" s="36"/>
      <c r="W16" s="36"/>
      <c r="X16" s="36"/>
      <c r="Y16" s="6"/>
      <c r="Z16" s="6"/>
      <c r="AA16" s="6"/>
      <c r="AB16" s="6"/>
      <c r="AC16" s="6"/>
      <c r="AD16" s="6"/>
      <c r="AE16" s="6"/>
      <c r="AF16" s="6"/>
      <c r="AG16" s="6"/>
      <c r="AH16" s="6"/>
      <c r="AI16" s="6"/>
      <c r="AJ16" s="6"/>
      <c r="AK16" s="6"/>
      <c r="AL16" s="6"/>
      <c r="AM16" s="6"/>
      <c r="AN16" s="6"/>
      <c r="AO16" s="6"/>
      <c r="AP16" s="6"/>
      <c r="AQ16" s="6"/>
      <c r="AR16" s="6"/>
      <c r="AS16" s="6"/>
      <c r="AT16" s="6"/>
      <c r="AU16" s="6"/>
      <c r="AV16" s="6"/>
    </row>
    <row r="17" spans="1:48" x14ac:dyDescent="0.25">
      <c r="A17" s="36"/>
      <c r="B17" s="36"/>
      <c r="C17" s="36"/>
      <c r="D17" s="36"/>
      <c r="E17" s="36"/>
      <c r="F17" s="36"/>
      <c r="G17" s="36"/>
      <c r="H17" s="36"/>
      <c r="I17" s="36"/>
      <c r="J17" s="36"/>
      <c r="K17" s="36"/>
      <c r="L17" s="36"/>
      <c r="M17" s="36"/>
      <c r="N17" s="36"/>
      <c r="O17" s="36"/>
      <c r="P17" s="36"/>
      <c r="Q17" s="36"/>
      <c r="R17" s="36"/>
      <c r="S17" s="36"/>
      <c r="T17" s="36"/>
      <c r="U17" s="36"/>
      <c r="V17" s="36"/>
      <c r="W17" s="36"/>
      <c r="X17" s="36"/>
      <c r="Y17" s="6"/>
      <c r="Z17" s="6"/>
      <c r="AA17" s="6"/>
      <c r="AB17" s="6"/>
      <c r="AC17" s="6"/>
      <c r="AD17" s="6"/>
      <c r="AE17" s="6"/>
      <c r="AF17" s="6"/>
      <c r="AG17" s="6"/>
      <c r="AH17" s="6"/>
      <c r="AI17" s="6"/>
      <c r="AJ17" s="6"/>
      <c r="AK17" s="6"/>
      <c r="AL17" s="6"/>
      <c r="AM17" s="6"/>
      <c r="AN17" s="6"/>
      <c r="AO17" s="6"/>
      <c r="AP17" s="6"/>
      <c r="AQ17" s="6"/>
      <c r="AR17" s="6"/>
      <c r="AS17" s="6"/>
      <c r="AT17" s="6"/>
      <c r="AU17" s="6"/>
      <c r="AV17" s="6"/>
    </row>
    <row r="18" spans="1:48" x14ac:dyDescent="0.25">
      <c r="A18" s="36"/>
      <c r="B18" s="36"/>
      <c r="C18" s="36"/>
      <c r="D18" s="36"/>
      <c r="E18" s="36"/>
      <c r="F18" s="36"/>
      <c r="G18" s="36"/>
      <c r="H18" s="36"/>
      <c r="I18" s="36"/>
      <c r="J18" s="36"/>
      <c r="K18" s="36"/>
      <c r="L18" s="36"/>
      <c r="M18" s="36"/>
      <c r="N18" s="36"/>
      <c r="O18" s="36"/>
      <c r="P18" s="36"/>
      <c r="Q18" s="36"/>
      <c r="R18" s="36"/>
      <c r="S18" s="36"/>
      <c r="T18" s="36"/>
      <c r="U18" s="36"/>
      <c r="V18" s="36"/>
      <c r="W18" s="36"/>
      <c r="X18" s="36"/>
      <c r="Y18" s="6"/>
      <c r="Z18" s="6"/>
      <c r="AA18" s="6"/>
      <c r="AB18" s="6"/>
      <c r="AC18" s="6"/>
      <c r="AD18" s="6"/>
      <c r="AE18" s="6"/>
      <c r="AF18" s="6"/>
      <c r="AG18" s="6"/>
      <c r="AH18" s="6"/>
      <c r="AI18" s="6"/>
      <c r="AJ18" s="6"/>
      <c r="AK18" s="6"/>
      <c r="AL18" s="6"/>
      <c r="AM18" s="6"/>
      <c r="AN18" s="6"/>
      <c r="AO18" s="6"/>
      <c r="AP18" s="6"/>
      <c r="AQ18" s="6"/>
      <c r="AR18" s="6"/>
      <c r="AS18" s="6"/>
      <c r="AT18" s="6"/>
      <c r="AU18" s="6"/>
      <c r="AV18" s="6"/>
    </row>
    <row r="19" spans="1:48" x14ac:dyDescent="0.25">
      <c r="A19" s="36"/>
      <c r="B19" s="36"/>
      <c r="C19" s="36"/>
      <c r="D19" s="36"/>
      <c r="E19" s="36"/>
      <c r="F19" s="36"/>
      <c r="G19" s="36"/>
      <c r="H19" s="36"/>
      <c r="I19" s="36"/>
      <c r="J19" s="36"/>
      <c r="K19" s="36"/>
      <c r="L19" s="36"/>
      <c r="M19" s="36"/>
      <c r="N19" s="36"/>
      <c r="O19" s="36"/>
      <c r="P19" s="36"/>
      <c r="Q19" s="36"/>
      <c r="R19" s="36"/>
      <c r="S19" s="36"/>
      <c r="T19" s="36"/>
      <c r="U19" s="36"/>
      <c r="V19" s="36"/>
      <c r="W19" s="36"/>
      <c r="X19" s="36"/>
      <c r="Y19" s="6"/>
      <c r="Z19" s="6"/>
      <c r="AA19" s="6"/>
      <c r="AB19" s="6"/>
      <c r="AC19" s="6"/>
      <c r="AD19" s="6"/>
      <c r="AE19" s="6"/>
      <c r="AF19" s="6"/>
      <c r="AG19" s="6"/>
      <c r="AH19" s="6"/>
      <c r="AI19" s="6"/>
      <c r="AJ19" s="6"/>
      <c r="AK19" s="6"/>
      <c r="AL19" s="6"/>
      <c r="AM19" s="6"/>
      <c r="AN19" s="6"/>
      <c r="AO19" s="6"/>
      <c r="AP19" s="6"/>
      <c r="AQ19" s="6"/>
      <c r="AR19" s="6"/>
      <c r="AS19" s="6"/>
      <c r="AT19" s="6"/>
      <c r="AU19" s="6"/>
      <c r="AV19" s="6"/>
    </row>
    <row r="20" spans="1:48" x14ac:dyDescent="0.25">
      <c r="A20" s="36"/>
      <c r="B20" s="36"/>
      <c r="C20" s="36"/>
      <c r="D20" s="36"/>
      <c r="E20" s="36"/>
      <c r="F20" s="36"/>
      <c r="G20" s="36"/>
      <c r="H20" s="36"/>
      <c r="I20" s="36"/>
      <c r="J20" s="36"/>
      <c r="K20" s="36"/>
      <c r="L20" s="36"/>
      <c r="M20" s="36"/>
      <c r="N20" s="36"/>
      <c r="O20" s="36"/>
      <c r="P20" s="36"/>
      <c r="Q20" s="36"/>
      <c r="R20" s="36"/>
      <c r="S20" s="36"/>
      <c r="T20" s="36"/>
      <c r="U20" s="36"/>
      <c r="V20" s="36"/>
      <c r="W20" s="36"/>
      <c r="X20" s="36"/>
      <c r="Y20" s="6"/>
      <c r="Z20" s="6"/>
      <c r="AA20" s="6"/>
      <c r="AB20" s="6"/>
      <c r="AC20" s="6"/>
      <c r="AD20" s="6"/>
      <c r="AE20" s="6"/>
      <c r="AF20" s="6"/>
      <c r="AG20" s="6"/>
      <c r="AH20" s="6"/>
      <c r="AI20" s="6"/>
      <c r="AJ20" s="6"/>
      <c r="AK20" s="6"/>
      <c r="AL20" s="6"/>
      <c r="AM20" s="6"/>
      <c r="AN20" s="6"/>
      <c r="AO20" s="6"/>
      <c r="AP20" s="6"/>
      <c r="AQ20" s="6"/>
      <c r="AR20" s="6"/>
      <c r="AS20" s="6"/>
      <c r="AT20" s="6"/>
      <c r="AU20" s="6"/>
      <c r="AV20" s="6"/>
    </row>
    <row r="21" spans="1:48" x14ac:dyDescent="0.25">
      <c r="A21" s="36"/>
      <c r="B21" s="36"/>
      <c r="C21" s="36"/>
      <c r="D21" s="36"/>
      <c r="E21" s="36"/>
      <c r="F21" s="36"/>
      <c r="G21" s="36"/>
      <c r="H21" s="36"/>
      <c r="I21" s="36"/>
      <c r="J21" s="36"/>
      <c r="K21" s="36"/>
      <c r="L21" s="36"/>
      <c r="M21" s="36"/>
      <c r="N21" s="36"/>
      <c r="O21" s="36"/>
      <c r="P21" s="36"/>
      <c r="Q21" s="36"/>
      <c r="R21" s="36"/>
      <c r="S21" s="36"/>
      <c r="T21" s="36"/>
      <c r="U21" s="36"/>
      <c r="V21" s="36"/>
      <c r="W21" s="36"/>
      <c r="X21" s="36"/>
      <c r="Y21" s="6"/>
      <c r="Z21" s="6"/>
      <c r="AA21" s="6"/>
      <c r="AB21" s="6"/>
      <c r="AC21" s="6"/>
      <c r="AD21" s="6"/>
      <c r="AE21" s="6"/>
      <c r="AF21" s="6"/>
      <c r="AG21" s="6"/>
      <c r="AH21" s="6"/>
      <c r="AI21" s="6"/>
      <c r="AJ21" s="6"/>
      <c r="AK21" s="6"/>
      <c r="AL21" s="6"/>
      <c r="AM21" s="6"/>
      <c r="AN21" s="6"/>
      <c r="AO21" s="6"/>
      <c r="AP21" s="6"/>
      <c r="AQ21" s="6"/>
      <c r="AR21" s="6"/>
      <c r="AS21" s="6"/>
      <c r="AT21" s="6"/>
      <c r="AU21" s="6"/>
      <c r="AV21" s="6"/>
    </row>
    <row r="22" spans="1:48" x14ac:dyDescent="0.25">
      <c r="A22" s="36"/>
      <c r="B22" s="36"/>
      <c r="C22" s="36"/>
      <c r="D22" s="36"/>
      <c r="E22" s="36"/>
      <c r="F22" s="36"/>
      <c r="G22" s="36"/>
      <c r="H22" s="36"/>
      <c r="I22" s="36"/>
      <c r="J22" s="36"/>
      <c r="K22" s="36"/>
      <c r="L22" s="36"/>
      <c r="M22" s="36"/>
      <c r="N22" s="36"/>
      <c r="O22" s="36"/>
      <c r="P22" s="36"/>
      <c r="Q22" s="36"/>
      <c r="R22" s="36"/>
      <c r="S22" s="36"/>
      <c r="T22" s="36"/>
      <c r="U22" s="36"/>
      <c r="V22" s="36"/>
      <c r="W22" s="36"/>
      <c r="X22" s="36"/>
      <c r="Y22" s="6"/>
      <c r="Z22" s="6"/>
      <c r="AA22" s="6"/>
      <c r="AB22" s="6"/>
      <c r="AC22" s="6"/>
      <c r="AD22" s="6"/>
      <c r="AE22" s="6"/>
      <c r="AF22" s="6"/>
      <c r="AG22" s="6"/>
      <c r="AH22" s="6"/>
      <c r="AI22" s="6"/>
      <c r="AJ22" s="6"/>
      <c r="AK22" s="6"/>
      <c r="AL22" s="6"/>
      <c r="AM22" s="6"/>
      <c r="AN22" s="6"/>
      <c r="AO22" s="6"/>
      <c r="AP22" s="6"/>
      <c r="AQ22" s="6"/>
      <c r="AR22" s="6"/>
      <c r="AS22" s="6"/>
      <c r="AT22" s="6"/>
      <c r="AU22" s="6"/>
      <c r="AV22" s="6"/>
    </row>
    <row r="23" spans="1:48" x14ac:dyDescent="0.25">
      <c r="A23" s="36"/>
      <c r="B23" s="36"/>
      <c r="C23" s="36"/>
      <c r="D23" s="36"/>
      <c r="E23" s="36"/>
      <c r="F23" s="36"/>
      <c r="G23" s="36"/>
      <c r="H23" s="36"/>
      <c r="I23" s="36"/>
      <c r="J23" s="36"/>
      <c r="K23" s="36"/>
      <c r="L23" s="36"/>
      <c r="M23" s="36"/>
      <c r="N23" s="36"/>
      <c r="O23" s="36"/>
      <c r="P23" s="36"/>
      <c r="Q23" s="36"/>
      <c r="R23" s="36"/>
      <c r="S23" s="36"/>
      <c r="T23" s="36"/>
      <c r="U23" s="36"/>
      <c r="V23" s="36"/>
      <c r="W23" s="36"/>
      <c r="X23" s="36"/>
      <c r="Y23" s="6"/>
      <c r="Z23" s="6"/>
      <c r="AA23" s="6"/>
      <c r="AB23" s="6"/>
      <c r="AC23" s="6"/>
      <c r="AD23" s="6"/>
      <c r="AE23" s="6"/>
      <c r="AF23" s="6"/>
      <c r="AG23" s="6"/>
      <c r="AH23" s="6"/>
      <c r="AI23" s="6"/>
      <c r="AJ23" s="6"/>
      <c r="AK23" s="6"/>
      <c r="AL23" s="6"/>
      <c r="AM23" s="6"/>
      <c r="AN23" s="6"/>
      <c r="AO23" s="6"/>
      <c r="AP23" s="6"/>
      <c r="AQ23" s="6"/>
      <c r="AR23" s="6"/>
      <c r="AS23" s="6"/>
      <c r="AT23" s="6"/>
      <c r="AU23" s="6"/>
      <c r="AV23" s="6"/>
    </row>
    <row r="24" spans="1:48" x14ac:dyDescent="0.25">
      <c r="A24" s="36"/>
      <c r="B24" s="36"/>
      <c r="C24" s="36"/>
      <c r="D24" s="36"/>
      <c r="E24" s="36"/>
      <c r="F24" s="36"/>
      <c r="G24" s="36"/>
      <c r="H24" s="36"/>
      <c r="I24" s="36"/>
      <c r="J24" s="36"/>
      <c r="K24" s="36"/>
      <c r="L24" s="36"/>
      <c r="M24" s="36"/>
      <c r="N24" s="36"/>
      <c r="O24" s="36"/>
      <c r="P24" s="36"/>
      <c r="Q24" s="36"/>
      <c r="R24" s="36"/>
      <c r="S24" s="36"/>
      <c r="T24" s="36"/>
      <c r="U24" s="36"/>
      <c r="V24" s="36"/>
      <c r="W24" s="36"/>
      <c r="X24" s="36"/>
      <c r="Y24" s="6"/>
      <c r="Z24" s="6"/>
      <c r="AA24" s="6"/>
      <c r="AB24" s="6"/>
      <c r="AC24" s="6"/>
      <c r="AD24" s="6"/>
      <c r="AE24" s="6"/>
      <c r="AF24" s="6"/>
      <c r="AG24" s="6"/>
      <c r="AH24" s="6"/>
      <c r="AI24" s="6"/>
      <c r="AJ24" s="6"/>
      <c r="AK24" s="6"/>
      <c r="AL24" s="6"/>
      <c r="AM24" s="6"/>
      <c r="AN24" s="6"/>
      <c r="AO24" s="6"/>
      <c r="AP24" s="6"/>
      <c r="AQ24" s="6"/>
      <c r="AR24" s="6"/>
      <c r="AS24" s="6"/>
      <c r="AT24" s="6"/>
      <c r="AU24" s="6"/>
      <c r="AV24" s="6"/>
    </row>
    <row r="25" spans="1:48" x14ac:dyDescent="0.25">
      <c r="A25" s="36"/>
      <c r="B25" s="36"/>
      <c r="C25" s="36"/>
      <c r="D25" s="36"/>
      <c r="E25" s="36"/>
      <c r="F25" s="36"/>
      <c r="G25" s="36"/>
      <c r="H25" s="36"/>
      <c r="I25" s="36"/>
      <c r="J25" s="36"/>
      <c r="K25" s="36"/>
      <c r="L25" s="36"/>
      <c r="M25" s="36"/>
      <c r="N25" s="36"/>
      <c r="O25" s="36"/>
      <c r="P25" s="36"/>
      <c r="Q25" s="36"/>
      <c r="R25" s="36"/>
      <c r="S25" s="36"/>
      <c r="T25" s="36"/>
      <c r="U25" s="36"/>
      <c r="V25" s="36"/>
      <c r="W25" s="36"/>
      <c r="X25" s="36"/>
      <c r="Y25" s="6"/>
      <c r="Z25" s="6"/>
      <c r="AA25" s="6"/>
      <c r="AB25" s="6"/>
      <c r="AC25" s="6"/>
      <c r="AD25" s="6"/>
      <c r="AE25" s="6"/>
      <c r="AF25" s="6"/>
      <c r="AG25" s="6"/>
      <c r="AH25" s="6"/>
      <c r="AI25" s="6"/>
      <c r="AJ25" s="6"/>
      <c r="AK25" s="6"/>
      <c r="AL25" s="6"/>
      <c r="AM25" s="6"/>
      <c r="AN25" s="6"/>
      <c r="AO25" s="6"/>
      <c r="AP25" s="6"/>
      <c r="AQ25" s="6"/>
      <c r="AR25" s="6"/>
      <c r="AS25" s="6"/>
      <c r="AT25" s="6"/>
      <c r="AU25" s="6"/>
      <c r="AV25" s="6"/>
    </row>
    <row r="26" spans="1:48" x14ac:dyDescent="0.25">
      <c r="A26" s="36"/>
      <c r="B26" s="36"/>
      <c r="C26" s="36"/>
      <c r="D26" s="36"/>
      <c r="E26" s="36"/>
      <c r="F26" s="36"/>
      <c r="G26" s="36"/>
      <c r="H26" s="36"/>
      <c r="I26" s="36"/>
      <c r="J26" s="36"/>
      <c r="K26" s="36"/>
      <c r="L26" s="36"/>
      <c r="M26" s="36"/>
      <c r="N26" s="36"/>
      <c r="O26" s="36"/>
      <c r="P26" s="36"/>
      <c r="Q26" s="36"/>
      <c r="R26" s="36"/>
      <c r="S26" s="36"/>
      <c r="T26" s="36"/>
      <c r="U26" s="36"/>
      <c r="V26" s="36"/>
      <c r="W26" s="36"/>
      <c r="X26" s="36"/>
      <c r="Y26" s="6"/>
      <c r="Z26" s="6"/>
      <c r="AA26" s="6"/>
      <c r="AB26" s="6"/>
      <c r="AC26" s="6"/>
      <c r="AD26" s="6"/>
      <c r="AE26" s="6"/>
      <c r="AF26" s="6"/>
      <c r="AG26" s="6"/>
      <c r="AH26" s="6"/>
      <c r="AI26" s="6"/>
      <c r="AJ26" s="6"/>
      <c r="AK26" s="6"/>
      <c r="AL26" s="6"/>
      <c r="AM26" s="6"/>
      <c r="AN26" s="6"/>
      <c r="AO26" s="6"/>
      <c r="AP26" s="6"/>
      <c r="AQ26" s="6"/>
      <c r="AR26" s="6"/>
      <c r="AS26" s="6"/>
      <c r="AT26" s="6"/>
      <c r="AU26" s="6"/>
      <c r="AV26" s="6"/>
    </row>
    <row r="27" spans="1:48" x14ac:dyDescent="0.25">
      <c r="A27" s="36"/>
      <c r="B27" s="36"/>
      <c r="C27" s="36"/>
      <c r="D27" s="36"/>
      <c r="E27" s="36"/>
      <c r="F27" s="36"/>
      <c r="G27" s="36"/>
      <c r="H27" s="36"/>
      <c r="I27" s="36"/>
      <c r="J27" s="36"/>
      <c r="K27" s="36"/>
      <c r="L27" s="36"/>
      <c r="M27" s="36"/>
      <c r="N27" s="36"/>
      <c r="O27" s="36"/>
      <c r="P27" s="36"/>
      <c r="Q27" s="36"/>
      <c r="R27" s="36"/>
      <c r="S27" s="36"/>
      <c r="T27" s="36"/>
      <c r="U27" s="36"/>
      <c r="V27" s="36"/>
      <c r="W27" s="36"/>
      <c r="X27" s="36"/>
      <c r="Y27" s="6"/>
      <c r="Z27" s="6"/>
      <c r="AA27" s="6"/>
      <c r="AB27" s="6"/>
      <c r="AC27" s="6"/>
      <c r="AD27" s="6"/>
      <c r="AE27" s="6"/>
      <c r="AF27" s="6"/>
      <c r="AG27" s="6"/>
      <c r="AH27" s="6"/>
      <c r="AI27" s="6"/>
      <c r="AJ27" s="6"/>
      <c r="AK27" s="6"/>
      <c r="AL27" s="6"/>
      <c r="AM27" s="6"/>
      <c r="AN27" s="6"/>
      <c r="AO27" s="6"/>
      <c r="AP27" s="6"/>
      <c r="AQ27" s="6"/>
      <c r="AR27" s="6"/>
      <c r="AS27" s="6"/>
      <c r="AT27" s="6"/>
      <c r="AU27" s="6"/>
      <c r="AV27" s="6"/>
    </row>
    <row r="28" spans="1:48" x14ac:dyDescent="0.25">
      <c r="A28" s="36"/>
      <c r="B28" s="36"/>
      <c r="C28" s="36"/>
      <c r="D28" s="36"/>
      <c r="E28" s="36"/>
      <c r="F28" s="36"/>
      <c r="G28" s="36"/>
      <c r="H28" s="36"/>
      <c r="I28" s="36"/>
      <c r="J28" s="36"/>
      <c r="K28" s="36"/>
      <c r="L28" s="36"/>
      <c r="M28" s="36"/>
      <c r="N28" s="36"/>
      <c r="O28" s="36"/>
      <c r="P28" s="36"/>
      <c r="Q28" s="36"/>
      <c r="R28" s="36"/>
      <c r="S28" s="36"/>
      <c r="T28" s="36"/>
      <c r="U28" s="36"/>
      <c r="V28" s="36"/>
      <c r="W28" s="36"/>
      <c r="X28" s="36"/>
      <c r="Y28" s="6"/>
      <c r="Z28" s="6"/>
      <c r="AA28" s="6"/>
      <c r="AB28" s="6"/>
      <c r="AC28" s="6"/>
      <c r="AD28" s="6"/>
      <c r="AE28" s="6"/>
      <c r="AF28" s="6"/>
      <c r="AG28" s="6"/>
      <c r="AH28" s="6"/>
      <c r="AI28" s="6"/>
      <c r="AJ28" s="6"/>
      <c r="AK28" s="6"/>
      <c r="AL28" s="6"/>
      <c r="AM28" s="6"/>
      <c r="AN28" s="6"/>
      <c r="AO28" s="6"/>
      <c r="AP28" s="6"/>
      <c r="AQ28" s="6"/>
      <c r="AR28" s="6"/>
      <c r="AS28" s="6"/>
      <c r="AT28" s="6"/>
      <c r="AU28" s="6"/>
      <c r="AV28" s="6"/>
    </row>
    <row r="29" spans="1:48" x14ac:dyDescent="0.25">
      <c r="A29" s="36"/>
      <c r="B29" s="36"/>
      <c r="C29" s="36"/>
      <c r="D29" s="36"/>
      <c r="E29" s="36"/>
      <c r="F29" s="36"/>
      <c r="G29" s="36"/>
      <c r="H29" s="36"/>
      <c r="I29" s="36"/>
      <c r="J29" s="36"/>
      <c r="K29" s="36"/>
      <c r="L29" s="36"/>
      <c r="M29" s="36"/>
      <c r="N29" s="36"/>
      <c r="O29" s="36"/>
      <c r="P29" s="36"/>
      <c r="Q29" s="36"/>
      <c r="R29" s="36"/>
      <c r="S29" s="36"/>
      <c r="T29" s="36"/>
      <c r="U29" s="36"/>
      <c r="V29" s="36"/>
      <c r="W29" s="36"/>
      <c r="X29" s="36"/>
      <c r="Y29" s="6"/>
      <c r="Z29" s="6"/>
      <c r="AA29" s="6"/>
      <c r="AB29" s="6"/>
      <c r="AC29" s="6"/>
      <c r="AD29" s="6"/>
      <c r="AE29" s="6"/>
      <c r="AF29" s="6"/>
      <c r="AG29" s="6"/>
      <c r="AH29" s="6"/>
      <c r="AI29" s="6"/>
      <c r="AJ29" s="6"/>
      <c r="AK29" s="6"/>
      <c r="AL29" s="6"/>
      <c r="AM29" s="6"/>
      <c r="AN29" s="6"/>
      <c r="AO29" s="6"/>
      <c r="AP29" s="6"/>
      <c r="AQ29" s="6"/>
      <c r="AR29" s="6"/>
      <c r="AS29" s="6"/>
      <c r="AT29" s="6"/>
      <c r="AU29" s="6"/>
      <c r="AV29" s="6"/>
    </row>
    <row r="30" spans="1:48" x14ac:dyDescent="0.25">
      <c r="A30" s="36"/>
      <c r="B30" s="36"/>
      <c r="C30" s="36"/>
      <c r="D30" s="36"/>
      <c r="E30" s="36"/>
      <c r="F30" s="36"/>
      <c r="G30" s="36"/>
      <c r="H30" s="36"/>
      <c r="I30" s="36"/>
      <c r="J30" s="36"/>
      <c r="K30" s="36"/>
      <c r="L30" s="36"/>
      <c r="M30" s="36"/>
      <c r="N30" s="36"/>
      <c r="O30" s="36"/>
      <c r="P30" s="36"/>
      <c r="Q30" s="36"/>
      <c r="R30" s="36"/>
      <c r="S30" s="36"/>
      <c r="T30" s="36"/>
      <c r="U30" s="36"/>
      <c r="V30" s="36"/>
      <c r="W30" s="36"/>
      <c r="X30" s="36"/>
      <c r="Y30" s="6"/>
      <c r="Z30" s="6"/>
      <c r="AA30" s="6"/>
      <c r="AB30" s="6"/>
      <c r="AC30" s="6"/>
      <c r="AD30" s="6"/>
      <c r="AE30" s="6"/>
      <c r="AF30" s="6"/>
      <c r="AG30" s="6"/>
      <c r="AH30" s="6"/>
      <c r="AI30" s="6"/>
      <c r="AJ30" s="6"/>
      <c r="AK30" s="6"/>
      <c r="AL30" s="6"/>
      <c r="AM30" s="6"/>
      <c r="AN30" s="6"/>
      <c r="AO30" s="6"/>
      <c r="AP30" s="6"/>
      <c r="AQ30" s="6"/>
      <c r="AR30" s="6"/>
      <c r="AS30" s="6"/>
      <c r="AT30" s="6"/>
      <c r="AU30" s="6"/>
      <c r="AV30" s="6"/>
    </row>
    <row r="31" spans="1:48" x14ac:dyDescent="0.25">
      <c r="A31" s="36"/>
      <c r="B31" s="36"/>
      <c r="C31" s="36"/>
      <c r="D31" s="36"/>
      <c r="E31" s="36"/>
      <c r="F31" s="36"/>
      <c r="G31" s="36"/>
      <c r="H31" s="36"/>
      <c r="I31" s="36"/>
      <c r="J31" s="36"/>
      <c r="K31" s="36"/>
      <c r="L31" s="36"/>
      <c r="M31" s="36"/>
      <c r="N31" s="36"/>
      <c r="O31" s="36"/>
      <c r="P31" s="36"/>
      <c r="Q31" s="36"/>
      <c r="R31" s="36"/>
      <c r="S31" s="36"/>
      <c r="T31" s="36"/>
      <c r="U31" s="36"/>
      <c r="V31" s="36"/>
      <c r="W31" s="36"/>
      <c r="X31" s="36"/>
      <c r="Y31" s="6"/>
      <c r="Z31" s="6"/>
      <c r="AA31" s="6"/>
      <c r="AB31" s="6"/>
      <c r="AC31" s="6"/>
      <c r="AD31" s="6"/>
      <c r="AE31" s="6"/>
      <c r="AF31" s="6"/>
      <c r="AG31" s="6"/>
      <c r="AH31" s="6"/>
      <c r="AI31" s="6"/>
      <c r="AJ31" s="6"/>
      <c r="AK31" s="6"/>
      <c r="AL31" s="6"/>
      <c r="AM31" s="6"/>
      <c r="AN31" s="6"/>
      <c r="AO31" s="6"/>
      <c r="AP31" s="6"/>
      <c r="AQ31" s="6"/>
      <c r="AR31" s="6"/>
      <c r="AS31" s="6"/>
      <c r="AT31" s="6"/>
      <c r="AU31" s="6"/>
      <c r="AV31" s="6"/>
    </row>
    <row r="32" spans="1:48" x14ac:dyDescent="0.25">
      <c r="A32" s="36"/>
      <c r="B32" s="36"/>
      <c r="C32" s="36"/>
      <c r="D32" s="36"/>
      <c r="E32" s="36"/>
      <c r="F32" s="36"/>
      <c r="G32" s="36"/>
      <c r="H32" s="36"/>
      <c r="I32" s="36"/>
      <c r="J32" s="36"/>
      <c r="K32" s="36"/>
      <c r="L32" s="36"/>
      <c r="M32" s="36"/>
      <c r="N32" s="36"/>
      <c r="O32" s="36"/>
      <c r="P32" s="36"/>
      <c r="Q32" s="36"/>
      <c r="R32" s="36"/>
      <c r="S32" s="36"/>
      <c r="T32" s="36"/>
      <c r="U32" s="36"/>
      <c r="V32" s="36"/>
      <c r="W32" s="36"/>
      <c r="X32" s="36"/>
      <c r="Y32" s="6"/>
      <c r="Z32" s="6"/>
      <c r="AA32" s="6"/>
      <c r="AB32" s="6"/>
      <c r="AC32" s="6"/>
      <c r="AD32" s="6"/>
      <c r="AE32" s="6"/>
      <c r="AF32" s="6"/>
      <c r="AG32" s="6"/>
      <c r="AH32" s="6"/>
      <c r="AI32" s="6"/>
      <c r="AJ32" s="6"/>
      <c r="AK32" s="6"/>
      <c r="AL32" s="6"/>
      <c r="AM32" s="6"/>
      <c r="AN32" s="6"/>
      <c r="AO32" s="6"/>
      <c r="AP32" s="6"/>
      <c r="AQ32" s="6"/>
      <c r="AR32" s="6"/>
      <c r="AS32" s="6"/>
      <c r="AT32" s="6"/>
      <c r="AU32" s="6"/>
      <c r="AV32" s="6"/>
    </row>
    <row r="33" spans="1:48" x14ac:dyDescent="0.25">
      <c r="A33" s="36"/>
      <c r="B33" s="36"/>
      <c r="C33" s="36"/>
      <c r="D33" s="36"/>
      <c r="E33" s="36"/>
      <c r="F33" s="36"/>
      <c r="G33" s="36"/>
      <c r="H33" s="36"/>
      <c r="I33" s="36"/>
      <c r="J33" s="36"/>
      <c r="K33" s="36"/>
      <c r="L33" s="36"/>
      <c r="M33" s="36"/>
      <c r="N33" s="36"/>
      <c r="O33" s="36"/>
      <c r="P33" s="36"/>
      <c r="Q33" s="36"/>
      <c r="R33" s="36"/>
      <c r="S33" s="36"/>
      <c r="T33" s="36"/>
      <c r="U33" s="36"/>
      <c r="V33" s="36"/>
      <c r="W33" s="36"/>
      <c r="X33" s="36"/>
      <c r="Y33" s="6"/>
      <c r="Z33" s="6"/>
      <c r="AA33" s="6"/>
      <c r="AB33" s="6"/>
      <c r="AC33" s="6"/>
      <c r="AD33" s="6"/>
      <c r="AE33" s="6"/>
      <c r="AF33" s="6"/>
      <c r="AG33" s="6"/>
      <c r="AH33" s="6"/>
      <c r="AI33" s="6"/>
      <c r="AJ33" s="6"/>
      <c r="AK33" s="6"/>
      <c r="AL33" s="6"/>
      <c r="AM33" s="6"/>
      <c r="AN33" s="6"/>
      <c r="AO33" s="6"/>
      <c r="AP33" s="6"/>
      <c r="AQ33" s="6"/>
      <c r="AR33" s="6"/>
      <c r="AS33" s="6"/>
      <c r="AT33" s="6"/>
      <c r="AU33" s="6"/>
      <c r="AV33" s="6"/>
    </row>
    <row r="34" spans="1:48" x14ac:dyDescent="0.25">
      <c r="A34" s="36"/>
      <c r="B34" s="36"/>
      <c r="C34" s="36"/>
      <c r="D34" s="36"/>
      <c r="E34" s="36"/>
      <c r="F34" s="36"/>
      <c r="G34" s="36"/>
      <c r="H34" s="36"/>
      <c r="I34" s="36"/>
      <c r="J34" s="36"/>
      <c r="K34" s="36"/>
      <c r="L34" s="36"/>
      <c r="M34" s="36"/>
      <c r="N34" s="36"/>
      <c r="O34" s="36"/>
      <c r="P34" s="36"/>
      <c r="Q34" s="36"/>
      <c r="R34" s="36"/>
      <c r="S34" s="36"/>
      <c r="T34" s="36"/>
      <c r="U34" s="36"/>
      <c r="V34" s="36"/>
      <c r="W34" s="36"/>
      <c r="X34" s="36"/>
      <c r="Y34" s="6"/>
      <c r="Z34" s="6"/>
      <c r="AA34" s="6"/>
      <c r="AB34" s="6"/>
      <c r="AC34" s="6"/>
      <c r="AD34" s="6"/>
      <c r="AE34" s="6"/>
      <c r="AF34" s="6"/>
      <c r="AG34" s="6"/>
      <c r="AH34" s="6"/>
      <c r="AI34" s="6"/>
      <c r="AJ34" s="6"/>
      <c r="AK34" s="6"/>
      <c r="AL34" s="6"/>
      <c r="AM34" s="6"/>
      <c r="AN34" s="6"/>
      <c r="AO34" s="6"/>
      <c r="AP34" s="6"/>
      <c r="AQ34" s="6"/>
      <c r="AR34" s="6"/>
      <c r="AS34" s="6"/>
      <c r="AT34" s="6"/>
      <c r="AU34" s="6"/>
      <c r="AV34" s="6"/>
    </row>
    <row r="35" spans="1:48" x14ac:dyDescent="0.25">
      <c r="A35" s="36"/>
      <c r="B35" s="36"/>
      <c r="C35" s="36"/>
      <c r="D35" s="36"/>
      <c r="E35" s="36"/>
      <c r="F35" s="36"/>
      <c r="G35" s="36"/>
      <c r="H35" s="36"/>
      <c r="I35" s="36"/>
      <c r="J35" s="36"/>
      <c r="K35" s="36"/>
      <c r="L35" s="36"/>
      <c r="M35" s="36"/>
      <c r="N35" s="36"/>
      <c r="O35" s="36"/>
      <c r="P35" s="36"/>
      <c r="Q35" s="36"/>
      <c r="R35" s="36"/>
      <c r="S35" s="36"/>
      <c r="T35" s="36"/>
      <c r="U35" s="36"/>
      <c r="V35" s="36"/>
      <c r="W35" s="36"/>
      <c r="X35" s="36"/>
      <c r="Y35" s="6"/>
      <c r="Z35" s="6"/>
      <c r="AA35" s="6"/>
      <c r="AB35" s="6"/>
      <c r="AC35" s="6"/>
      <c r="AD35" s="6"/>
      <c r="AE35" s="6"/>
      <c r="AF35" s="6"/>
      <c r="AG35" s="6"/>
      <c r="AH35" s="6"/>
      <c r="AI35" s="6"/>
      <c r="AJ35" s="6"/>
      <c r="AK35" s="6"/>
      <c r="AL35" s="6"/>
      <c r="AM35" s="6"/>
      <c r="AN35" s="6"/>
      <c r="AO35" s="6"/>
      <c r="AP35" s="6"/>
      <c r="AQ35" s="6"/>
      <c r="AR35" s="6"/>
      <c r="AS35" s="6"/>
      <c r="AT35" s="6"/>
      <c r="AU35" s="6"/>
      <c r="AV35" s="6"/>
    </row>
    <row r="36" spans="1:48" x14ac:dyDescent="0.25">
      <c r="A36" s="36"/>
      <c r="B36" s="36"/>
      <c r="C36" s="36"/>
      <c r="D36" s="36"/>
      <c r="E36" s="36"/>
      <c r="F36" s="36"/>
      <c r="G36" s="36"/>
      <c r="H36" s="36"/>
      <c r="I36" s="36"/>
      <c r="J36" s="36"/>
      <c r="K36" s="36"/>
      <c r="L36" s="36"/>
      <c r="M36" s="36"/>
      <c r="N36" s="36"/>
      <c r="O36" s="36"/>
      <c r="P36" s="36"/>
      <c r="Q36" s="36"/>
      <c r="R36" s="36"/>
      <c r="S36" s="36"/>
      <c r="T36" s="36"/>
      <c r="U36" s="36"/>
      <c r="V36" s="36"/>
      <c r="W36" s="36"/>
      <c r="X36" s="36"/>
      <c r="Y36" s="6"/>
      <c r="Z36" s="6"/>
      <c r="AA36" s="6"/>
      <c r="AB36" s="6"/>
      <c r="AC36" s="6"/>
      <c r="AD36" s="6"/>
      <c r="AE36" s="6"/>
      <c r="AF36" s="6"/>
      <c r="AG36" s="6"/>
      <c r="AH36" s="6"/>
      <c r="AI36" s="6"/>
      <c r="AJ36" s="6"/>
      <c r="AK36" s="6"/>
      <c r="AL36" s="6"/>
      <c r="AM36" s="6"/>
      <c r="AN36" s="6"/>
      <c r="AO36" s="6"/>
      <c r="AP36" s="6"/>
      <c r="AQ36" s="6"/>
      <c r="AR36" s="6"/>
      <c r="AS36" s="6"/>
      <c r="AT36" s="6"/>
      <c r="AU36" s="6"/>
      <c r="AV36" s="6"/>
    </row>
    <row r="37" spans="1:48" x14ac:dyDescent="0.25">
      <c r="A37" s="36"/>
      <c r="B37" s="36"/>
      <c r="C37" s="36"/>
      <c r="D37" s="36"/>
      <c r="E37" s="36"/>
      <c r="F37" s="36"/>
      <c r="G37" s="36"/>
      <c r="H37" s="36"/>
      <c r="I37" s="36"/>
      <c r="J37" s="36"/>
      <c r="K37" s="36"/>
      <c r="L37" s="36"/>
      <c r="M37" s="36"/>
      <c r="N37" s="36"/>
      <c r="O37" s="36"/>
      <c r="P37" s="36"/>
      <c r="Q37" s="36"/>
      <c r="R37" s="36"/>
      <c r="S37" s="36"/>
      <c r="T37" s="36"/>
      <c r="U37" s="36"/>
      <c r="V37" s="36"/>
      <c r="W37" s="36"/>
      <c r="X37" s="36"/>
      <c r="Y37" s="6"/>
      <c r="Z37" s="6"/>
      <c r="AA37" s="6"/>
      <c r="AB37" s="6"/>
      <c r="AC37" s="6"/>
      <c r="AD37" s="6"/>
      <c r="AE37" s="6"/>
      <c r="AF37" s="6"/>
      <c r="AG37" s="6"/>
      <c r="AH37" s="6"/>
      <c r="AI37" s="6"/>
      <c r="AJ37" s="6"/>
      <c r="AK37" s="6"/>
      <c r="AL37" s="6"/>
      <c r="AM37" s="6"/>
      <c r="AN37" s="6"/>
      <c r="AO37" s="6"/>
      <c r="AP37" s="6"/>
      <c r="AQ37" s="6"/>
      <c r="AR37" s="6"/>
      <c r="AS37" s="6"/>
      <c r="AT37" s="6"/>
      <c r="AU37" s="6"/>
      <c r="AV37" s="6"/>
    </row>
    <row r="38" spans="1:48" x14ac:dyDescent="0.25">
      <c r="A38" s="36"/>
      <c r="B38" s="36"/>
      <c r="C38" s="36"/>
      <c r="D38" s="36"/>
      <c r="E38" s="36"/>
      <c r="F38" s="36"/>
      <c r="G38" s="36"/>
      <c r="H38" s="36"/>
      <c r="I38" s="36"/>
      <c r="J38" s="36"/>
      <c r="K38" s="36"/>
      <c r="L38" s="36"/>
      <c r="M38" s="36"/>
      <c r="N38" s="36"/>
      <c r="O38" s="36"/>
      <c r="P38" s="36"/>
      <c r="Q38" s="36"/>
      <c r="R38" s="36"/>
      <c r="S38" s="36"/>
      <c r="T38" s="36"/>
      <c r="U38" s="36"/>
      <c r="V38" s="36"/>
      <c r="W38" s="36"/>
      <c r="X38" s="36"/>
      <c r="Y38" s="6"/>
      <c r="Z38" s="6"/>
      <c r="AA38" s="6"/>
      <c r="AB38" s="6"/>
      <c r="AC38" s="6"/>
      <c r="AD38" s="6"/>
      <c r="AE38" s="6"/>
      <c r="AF38" s="6"/>
      <c r="AG38" s="6"/>
      <c r="AH38" s="6"/>
      <c r="AI38" s="6"/>
      <c r="AJ38" s="6"/>
      <c r="AK38" s="6"/>
      <c r="AL38" s="6"/>
      <c r="AM38" s="6"/>
      <c r="AN38" s="6"/>
      <c r="AO38" s="6"/>
      <c r="AP38" s="6"/>
      <c r="AQ38" s="6"/>
      <c r="AR38" s="6"/>
      <c r="AS38" s="6"/>
      <c r="AT38" s="6"/>
      <c r="AU38" s="6"/>
      <c r="AV38" s="6"/>
    </row>
    <row r="39" spans="1:48" x14ac:dyDescent="0.25">
      <c r="A39" s="36"/>
      <c r="B39" s="36"/>
      <c r="C39" s="36"/>
      <c r="D39" s="36"/>
      <c r="E39" s="36"/>
      <c r="F39" s="36"/>
      <c r="G39" s="36"/>
      <c r="H39" s="36"/>
      <c r="I39" s="36"/>
      <c r="J39" s="36"/>
      <c r="K39" s="36"/>
      <c r="L39" s="36"/>
      <c r="M39" s="36"/>
      <c r="N39" s="36"/>
      <c r="O39" s="36"/>
      <c r="P39" s="36"/>
      <c r="Q39" s="36"/>
      <c r="R39" s="36"/>
      <c r="S39" s="36"/>
      <c r="T39" s="36"/>
      <c r="U39" s="36"/>
      <c r="V39" s="36"/>
      <c r="W39" s="36"/>
      <c r="X39" s="36"/>
      <c r="Y39" s="6"/>
      <c r="Z39" s="6"/>
      <c r="AA39" s="6"/>
      <c r="AB39" s="6"/>
      <c r="AC39" s="6"/>
      <c r="AD39" s="6"/>
      <c r="AE39" s="6"/>
      <c r="AF39" s="6"/>
      <c r="AG39" s="6"/>
      <c r="AH39" s="6"/>
      <c r="AI39" s="6"/>
      <c r="AJ39" s="6"/>
      <c r="AK39" s="6"/>
      <c r="AL39" s="6"/>
      <c r="AM39" s="6"/>
      <c r="AN39" s="6"/>
      <c r="AO39" s="6"/>
      <c r="AP39" s="6"/>
      <c r="AQ39" s="6"/>
      <c r="AR39" s="6"/>
      <c r="AS39" s="6"/>
      <c r="AT39" s="6"/>
      <c r="AU39" s="6"/>
      <c r="AV39" s="6"/>
    </row>
    <row r="40" spans="1:48" x14ac:dyDescent="0.25">
      <c r="A40" s="36"/>
      <c r="B40" s="36"/>
      <c r="C40" s="36"/>
      <c r="D40" s="36"/>
      <c r="E40" s="36"/>
      <c r="F40" s="36"/>
      <c r="G40" s="36"/>
      <c r="H40" s="36"/>
      <c r="I40" s="36"/>
      <c r="J40" s="36"/>
      <c r="K40" s="36"/>
      <c r="L40" s="36"/>
      <c r="M40" s="36"/>
      <c r="N40" s="36"/>
      <c r="O40" s="36"/>
      <c r="P40" s="36"/>
      <c r="Q40" s="36"/>
      <c r="R40" s="36"/>
      <c r="S40" s="36"/>
      <c r="T40" s="36"/>
      <c r="U40" s="36"/>
      <c r="V40" s="36"/>
      <c r="W40" s="36"/>
      <c r="X40" s="36"/>
      <c r="Y40" s="6"/>
      <c r="Z40" s="6"/>
      <c r="AA40" s="6"/>
      <c r="AB40" s="6"/>
      <c r="AC40" s="6"/>
      <c r="AD40" s="6"/>
      <c r="AE40" s="6"/>
      <c r="AF40" s="6"/>
      <c r="AG40" s="6"/>
      <c r="AH40" s="6"/>
      <c r="AI40" s="6"/>
      <c r="AJ40" s="6"/>
      <c r="AK40" s="6"/>
      <c r="AL40" s="6"/>
      <c r="AM40" s="6"/>
      <c r="AN40" s="6"/>
      <c r="AO40" s="6"/>
      <c r="AP40" s="6"/>
      <c r="AQ40" s="6"/>
      <c r="AR40" s="6"/>
      <c r="AS40" s="6"/>
      <c r="AT40" s="6"/>
      <c r="AU40" s="6"/>
      <c r="AV40" s="6"/>
    </row>
    <row r="41" spans="1:48" x14ac:dyDescent="0.25">
      <c r="A41" s="36"/>
      <c r="B41" s="36"/>
      <c r="C41" s="36"/>
      <c r="D41" s="36"/>
      <c r="E41" s="36"/>
      <c r="F41" s="36"/>
      <c r="G41" s="36"/>
      <c r="H41" s="36"/>
      <c r="I41" s="36"/>
      <c r="J41" s="36"/>
      <c r="K41" s="36"/>
      <c r="L41" s="36"/>
      <c r="M41" s="36"/>
      <c r="N41" s="36"/>
      <c r="O41" s="36"/>
      <c r="P41" s="36"/>
      <c r="Q41" s="36"/>
      <c r="R41" s="36"/>
      <c r="S41" s="36"/>
      <c r="T41" s="36"/>
      <c r="U41" s="36"/>
      <c r="V41" s="36"/>
      <c r="W41" s="36"/>
      <c r="X41" s="36"/>
      <c r="Y41" s="6"/>
      <c r="Z41" s="6"/>
      <c r="AA41" s="6"/>
      <c r="AB41" s="6"/>
      <c r="AC41" s="6"/>
      <c r="AD41" s="6"/>
      <c r="AE41" s="6"/>
      <c r="AF41" s="6"/>
      <c r="AG41" s="6"/>
      <c r="AH41" s="6"/>
      <c r="AI41" s="6"/>
      <c r="AJ41" s="6"/>
      <c r="AK41" s="6"/>
      <c r="AL41" s="6"/>
      <c r="AM41" s="6"/>
      <c r="AN41" s="6"/>
      <c r="AO41" s="6"/>
      <c r="AP41" s="6"/>
      <c r="AQ41" s="6"/>
      <c r="AR41" s="6"/>
      <c r="AS41" s="6"/>
      <c r="AT41" s="6"/>
      <c r="AU41" s="6"/>
      <c r="AV41" s="6"/>
    </row>
    <row r="42" spans="1:48" x14ac:dyDescent="0.25">
      <c r="A42" s="36"/>
      <c r="B42" s="36"/>
      <c r="C42" s="36"/>
      <c r="D42" s="36"/>
      <c r="E42" s="36"/>
      <c r="F42" s="36"/>
      <c r="G42" s="36"/>
      <c r="H42" s="36"/>
      <c r="I42" s="36"/>
      <c r="J42" s="36"/>
      <c r="K42" s="36"/>
      <c r="L42" s="36"/>
      <c r="M42" s="36"/>
      <c r="N42" s="36"/>
      <c r="O42" s="36"/>
      <c r="P42" s="36"/>
      <c r="Q42" s="36"/>
      <c r="R42" s="36"/>
      <c r="S42" s="36"/>
      <c r="T42" s="36"/>
      <c r="U42" s="36"/>
      <c r="V42" s="36"/>
      <c r="W42" s="36"/>
      <c r="X42" s="36"/>
      <c r="Y42" s="6"/>
      <c r="Z42" s="6"/>
      <c r="AA42" s="6"/>
      <c r="AB42" s="6"/>
      <c r="AC42" s="6"/>
      <c r="AD42" s="6"/>
      <c r="AE42" s="6"/>
      <c r="AF42" s="6"/>
      <c r="AG42" s="6"/>
      <c r="AH42" s="6"/>
      <c r="AI42" s="6"/>
      <c r="AJ42" s="6"/>
      <c r="AK42" s="6"/>
      <c r="AL42" s="6"/>
      <c r="AM42" s="6"/>
      <c r="AN42" s="6"/>
      <c r="AO42" s="6"/>
      <c r="AP42" s="6"/>
      <c r="AQ42" s="6"/>
      <c r="AR42" s="6"/>
      <c r="AS42" s="6"/>
      <c r="AT42" s="6"/>
      <c r="AU42" s="6"/>
      <c r="AV42" s="6"/>
    </row>
    <row r="43" spans="1:48" x14ac:dyDescent="0.25">
      <c r="A43" s="36"/>
      <c r="B43" s="36"/>
      <c r="C43" s="36"/>
      <c r="D43" s="36"/>
      <c r="E43" s="36"/>
      <c r="F43" s="36"/>
      <c r="G43" s="36"/>
      <c r="H43" s="36"/>
      <c r="I43" s="36"/>
      <c r="J43" s="36"/>
      <c r="K43" s="36"/>
      <c r="L43" s="36"/>
      <c r="M43" s="36"/>
      <c r="N43" s="36"/>
      <c r="O43" s="36"/>
      <c r="P43" s="36"/>
      <c r="Q43" s="36"/>
      <c r="R43" s="36"/>
      <c r="S43" s="36"/>
      <c r="T43" s="36"/>
      <c r="U43" s="36"/>
      <c r="V43" s="36"/>
      <c r="W43" s="36"/>
      <c r="X43" s="36"/>
      <c r="Y43" s="6"/>
      <c r="Z43" s="6"/>
      <c r="AA43" s="6"/>
      <c r="AB43" s="6"/>
      <c r="AC43" s="6"/>
      <c r="AD43" s="6"/>
      <c r="AE43" s="6"/>
      <c r="AF43" s="6"/>
      <c r="AG43" s="6"/>
      <c r="AH43" s="6"/>
      <c r="AI43" s="6"/>
      <c r="AJ43" s="6"/>
      <c r="AK43" s="6"/>
      <c r="AL43" s="6"/>
      <c r="AM43" s="6"/>
      <c r="AN43" s="6"/>
      <c r="AO43" s="6"/>
      <c r="AP43" s="6"/>
      <c r="AQ43" s="6"/>
      <c r="AR43" s="6"/>
      <c r="AS43" s="6"/>
      <c r="AT43" s="6"/>
      <c r="AU43" s="6"/>
      <c r="AV43" s="6"/>
    </row>
    <row r="44" spans="1:48" x14ac:dyDescent="0.25">
      <c r="A44" s="36"/>
      <c r="B44" s="36"/>
      <c r="C44" s="36"/>
      <c r="D44" s="36"/>
      <c r="E44" s="36"/>
      <c r="F44" s="36"/>
      <c r="G44" s="36"/>
      <c r="H44" s="36"/>
      <c r="I44" s="36"/>
      <c r="J44" s="36"/>
      <c r="K44" s="36"/>
      <c r="L44" s="36"/>
      <c r="M44" s="36"/>
      <c r="N44" s="36"/>
      <c r="O44" s="36"/>
      <c r="P44" s="36"/>
      <c r="Q44" s="36"/>
      <c r="R44" s="36"/>
      <c r="S44" s="36"/>
      <c r="T44" s="36"/>
      <c r="U44" s="36"/>
      <c r="V44" s="36"/>
      <c r="W44" s="36"/>
      <c r="X44" s="36"/>
      <c r="Y44" s="6"/>
      <c r="Z44" s="6"/>
      <c r="AA44" s="6"/>
      <c r="AB44" s="6"/>
      <c r="AC44" s="6"/>
      <c r="AD44" s="6"/>
      <c r="AE44" s="6"/>
      <c r="AF44" s="6"/>
      <c r="AG44" s="6"/>
      <c r="AH44" s="6"/>
      <c r="AI44" s="6"/>
      <c r="AJ44" s="6"/>
      <c r="AK44" s="6"/>
      <c r="AL44" s="6"/>
      <c r="AM44" s="6"/>
      <c r="AN44" s="6"/>
      <c r="AO44" s="6"/>
      <c r="AP44" s="6"/>
      <c r="AQ44" s="6"/>
      <c r="AR44" s="6"/>
      <c r="AS44" s="6"/>
      <c r="AT44" s="6"/>
      <c r="AU44" s="6"/>
      <c r="AV44" s="6"/>
    </row>
    <row r="45" spans="1:48" x14ac:dyDescent="0.25">
      <c r="A45" s="36"/>
      <c r="B45" s="36"/>
      <c r="C45" s="36"/>
      <c r="D45" s="36"/>
      <c r="E45" s="36"/>
      <c r="F45" s="36"/>
      <c r="G45" s="36"/>
      <c r="H45" s="36"/>
      <c r="I45" s="36"/>
      <c r="J45" s="36"/>
      <c r="K45" s="36"/>
      <c r="L45" s="36"/>
      <c r="M45" s="36"/>
      <c r="N45" s="36"/>
      <c r="O45" s="36"/>
      <c r="P45" s="36"/>
      <c r="Q45" s="36"/>
      <c r="R45" s="36"/>
      <c r="S45" s="36"/>
      <c r="T45" s="36"/>
      <c r="U45" s="36"/>
      <c r="V45" s="36"/>
      <c r="W45" s="36"/>
      <c r="X45" s="36"/>
      <c r="Y45" s="6"/>
      <c r="Z45" s="6"/>
      <c r="AA45" s="6"/>
      <c r="AB45" s="6"/>
      <c r="AC45" s="6"/>
      <c r="AD45" s="6"/>
      <c r="AE45" s="6"/>
      <c r="AF45" s="6"/>
      <c r="AG45" s="6"/>
      <c r="AH45" s="6"/>
      <c r="AI45" s="6"/>
      <c r="AJ45" s="6"/>
      <c r="AK45" s="6"/>
      <c r="AL45" s="6"/>
      <c r="AM45" s="6"/>
      <c r="AN45" s="6"/>
      <c r="AO45" s="6"/>
      <c r="AP45" s="6"/>
      <c r="AQ45" s="6"/>
      <c r="AR45" s="6"/>
      <c r="AS45" s="6"/>
      <c r="AT45" s="6"/>
      <c r="AU45" s="6"/>
      <c r="AV45" s="6"/>
    </row>
    <row r="46" spans="1:48" x14ac:dyDescent="0.25">
      <c r="A46" s="36"/>
      <c r="B46" s="36"/>
      <c r="C46" s="36"/>
      <c r="D46" s="36"/>
      <c r="E46" s="36"/>
      <c r="F46" s="36"/>
      <c r="G46" s="36"/>
      <c r="H46" s="36"/>
      <c r="I46" s="36"/>
      <c r="J46" s="36"/>
      <c r="K46" s="36"/>
      <c r="L46" s="36"/>
      <c r="M46" s="36"/>
      <c r="N46" s="36"/>
      <c r="O46" s="36"/>
      <c r="P46" s="36"/>
      <c r="Q46" s="36"/>
      <c r="R46" s="36"/>
      <c r="S46" s="36"/>
      <c r="T46" s="36"/>
      <c r="U46" s="36"/>
      <c r="V46" s="36"/>
      <c r="W46" s="36"/>
      <c r="X46" s="36"/>
      <c r="Y46" s="6"/>
      <c r="Z46" s="6"/>
      <c r="AA46" s="6"/>
      <c r="AB46" s="6"/>
      <c r="AC46" s="6"/>
      <c r="AD46" s="6"/>
      <c r="AE46" s="6"/>
      <c r="AF46" s="6"/>
      <c r="AG46" s="6"/>
      <c r="AH46" s="6"/>
      <c r="AI46" s="6"/>
      <c r="AJ46" s="6"/>
      <c r="AK46" s="6"/>
      <c r="AL46" s="6"/>
      <c r="AM46" s="6"/>
      <c r="AN46" s="6"/>
      <c r="AO46" s="6"/>
      <c r="AP46" s="6"/>
      <c r="AQ46" s="6"/>
      <c r="AR46" s="6"/>
      <c r="AS46" s="6"/>
      <c r="AT46" s="6"/>
      <c r="AU46" s="6"/>
      <c r="AV46" s="6"/>
    </row>
    <row r="47" spans="1:48" x14ac:dyDescent="0.25">
      <c r="A47" s="36"/>
      <c r="B47" s="36"/>
      <c r="C47" s="36"/>
      <c r="D47" s="36"/>
      <c r="E47" s="36"/>
      <c r="F47" s="36"/>
      <c r="G47" s="36"/>
      <c r="H47" s="36"/>
      <c r="I47" s="36"/>
      <c r="J47" s="36"/>
      <c r="K47" s="36"/>
      <c r="L47" s="36"/>
      <c r="M47" s="36"/>
      <c r="N47" s="36"/>
      <c r="O47" s="36"/>
      <c r="P47" s="36"/>
      <c r="Q47" s="36"/>
      <c r="R47" s="36"/>
      <c r="S47" s="36"/>
      <c r="T47" s="36"/>
      <c r="U47" s="36"/>
      <c r="V47" s="36"/>
      <c r="W47" s="36"/>
      <c r="X47" s="36"/>
      <c r="Y47" s="6"/>
      <c r="Z47" s="6"/>
      <c r="AA47" s="6"/>
      <c r="AB47" s="6"/>
      <c r="AC47" s="6"/>
      <c r="AD47" s="6"/>
      <c r="AE47" s="6"/>
      <c r="AF47" s="6"/>
      <c r="AG47" s="6"/>
      <c r="AH47" s="6"/>
      <c r="AI47" s="6"/>
      <c r="AJ47" s="6"/>
      <c r="AK47" s="6"/>
      <c r="AL47" s="6"/>
      <c r="AM47" s="6"/>
      <c r="AN47" s="6"/>
      <c r="AO47" s="6"/>
      <c r="AP47" s="6"/>
      <c r="AQ47" s="6"/>
      <c r="AR47" s="6"/>
      <c r="AS47" s="6"/>
      <c r="AT47" s="6"/>
      <c r="AU47" s="6"/>
      <c r="AV47" s="6"/>
    </row>
    <row r="48" spans="1:48" x14ac:dyDescent="0.25">
      <c r="A48" s="36"/>
      <c r="B48" s="36"/>
      <c r="C48" s="36"/>
      <c r="D48" s="36"/>
      <c r="E48" s="36"/>
      <c r="F48" s="36"/>
      <c r="G48" s="36"/>
      <c r="H48" s="36"/>
      <c r="I48" s="36"/>
      <c r="J48" s="36"/>
      <c r="K48" s="36"/>
      <c r="L48" s="36"/>
      <c r="M48" s="36"/>
      <c r="N48" s="36"/>
      <c r="O48" s="36"/>
      <c r="P48" s="36"/>
      <c r="Q48" s="36"/>
      <c r="R48" s="36"/>
      <c r="S48" s="36"/>
      <c r="T48" s="36"/>
      <c r="U48" s="36"/>
      <c r="V48" s="36"/>
      <c r="W48" s="36"/>
      <c r="X48" s="36"/>
      <c r="Y48" s="6"/>
      <c r="Z48" s="6"/>
      <c r="AA48" s="6"/>
      <c r="AB48" s="6"/>
      <c r="AC48" s="6"/>
      <c r="AD48" s="6"/>
      <c r="AE48" s="6"/>
      <c r="AF48" s="6"/>
      <c r="AG48" s="6"/>
      <c r="AH48" s="6"/>
      <c r="AI48" s="6"/>
      <c r="AJ48" s="6"/>
      <c r="AK48" s="6"/>
      <c r="AL48" s="6"/>
      <c r="AM48" s="6"/>
      <c r="AN48" s="6"/>
      <c r="AO48" s="6"/>
      <c r="AP48" s="6"/>
      <c r="AQ48" s="6"/>
      <c r="AR48" s="6"/>
      <c r="AS48" s="6"/>
      <c r="AT48" s="6"/>
      <c r="AU48" s="6"/>
      <c r="AV48" s="6"/>
    </row>
    <row r="49" spans="1:48" x14ac:dyDescent="0.25">
      <c r="A49" s="36"/>
      <c r="B49" s="36"/>
      <c r="C49" s="36"/>
      <c r="D49" s="36"/>
      <c r="E49" s="36"/>
      <c r="F49" s="36"/>
      <c r="G49" s="36"/>
      <c r="H49" s="36"/>
      <c r="I49" s="36"/>
      <c r="J49" s="36"/>
      <c r="K49" s="36"/>
      <c r="L49" s="36"/>
      <c r="M49" s="36"/>
      <c r="N49" s="36"/>
      <c r="O49" s="36"/>
      <c r="P49" s="36"/>
      <c r="Q49" s="36"/>
      <c r="R49" s="36"/>
      <c r="S49" s="36"/>
      <c r="T49" s="36"/>
      <c r="U49" s="36"/>
      <c r="V49" s="36"/>
      <c r="W49" s="36"/>
      <c r="X49" s="36"/>
      <c r="Y49" s="6"/>
      <c r="Z49" s="6"/>
      <c r="AA49" s="6"/>
      <c r="AB49" s="6"/>
      <c r="AC49" s="6"/>
      <c r="AD49" s="6"/>
      <c r="AE49" s="6"/>
      <c r="AF49" s="6"/>
      <c r="AG49" s="6"/>
      <c r="AH49" s="6"/>
      <c r="AI49" s="6"/>
      <c r="AJ49" s="6"/>
      <c r="AK49" s="6"/>
      <c r="AL49" s="6"/>
      <c r="AM49" s="6"/>
      <c r="AN49" s="6"/>
      <c r="AO49" s="6"/>
      <c r="AP49" s="6"/>
      <c r="AQ49" s="6"/>
      <c r="AR49" s="6"/>
      <c r="AS49" s="6"/>
      <c r="AT49" s="6"/>
      <c r="AU49" s="6"/>
      <c r="AV49" s="6"/>
    </row>
    <row r="50" spans="1:48" x14ac:dyDescent="0.25">
      <c r="A50" s="36"/>
      <c r="B50" s="36"/>
      <c r="C50" s="36"/>
      <c r="D50" s="36"/>
      <c r="E50" s="36"/>
      <c r="F50" s="36"/>
      <c r="G50" s="36"/>
      <c r="H50" s="36"/>
      <c r="I50" s="36"/>
      <c r="J50" s="36"/>
      <c r="K50" s="36"/>
      <c r="L50" s="36"/>
      <c r="M50" s="36"/>
      <c r="N50" s="36"/>
      <c r="O50" s="36"/>
      <c r="P50" s="36"/>
      <c r="Q50" s="36"/>
      <c r="R50" s="36"/>
      <c r="S50" s="36"/>
      <c r="T50" s="36"/>
      <c r="U50" s="36"/>
      <c r="V50" s="36"/>
      <c r="W50" s="36"/>
      <c r="X50" s="36"/>
      <c r="Y50" s="6"/>
      <c r="Z50" s="6"/>
      <c r="AA50" s="6"/>
      <c r="AB50" s="6"/>
      <c r="AC50" s="6"/>
      <c r="AD50" s="6"/>
      <c r="AE50" s="6"/>
      <c r="AF50" s="6"/>
      <c r="AG50" s="6"/>
      <c r="AH50" s="6"/>
      <c r="AI50" s="6"/>
      <c r="AJ50" s="6"/>
      <c r="AK50" s="6"/>
      <c r="AL50" s="6"/>
      <c r="AM50" s="6"/>
      <c r="AN50" s="6"/>
      <c r="AO50" s="6"/>
      <c r="AP50" s="6"/>
      <c r="AQ50" s="6"/>
      <c r="AR50" s="6"/>
      <c r="AS50" s="6"/>
      <c r="AT50" s="6"/>
      <c r="AU50" s="6"/>
      <c r="AV50" s="6"/>
    </row>
    <row r="51" spans="1:48" x14ac:dyDescent="0.25">
      <c r="A51" s="36"/>
      <c r="B51" s="36"/>
      <c r="C51" s="36"/>
      <c r="D51" s="36"/>
      <c r="E51" s="36"/>
      <c r="F51" s="36"/>
      <c r="G51" s="36"/>
      <c r="H51" s="36"/>
      <c r="I51" s="36"/>
      <c r="J51" s="36"/>
      <c r="K51" s="36"/>
      <c r="L51" s="36"/>
      <c r="M51" s="36"/>
      <c r="N51" s="36"/>
      <c r="O51" s="36"/>
      <c r="P51" s="36"/>
      <c r="Q51" s="36"/>
      <c r="R51" s="36"/>
      <c r="S51" s="36"/>
      <c r="T51" s="36"/>
      <c r="U51" s="36"/>
      <c r="V51" s="36"/>
      <c r="W51" s="36"/>
      <c r="X51" s="36"/>
      <c r="Y51" s="6"/>
      <c r="Z51" s="6"/>
      <c r="AA51" s="6"/>
      <c r="AB51" s="6"/>
      <c r="AC51" s="6"/>
      <c r="AD51" s="6"/>
      <c r="AE51" s="6"/>
      <c r="AF51" s="6"/>
      <c r="AG51" s="6"/>
      <c r="AH51" s="6"/>
      <c r="AI51" s="6"/>
      <c r="AJ51" s="6"/>
      <c r="AK51" s="6"/>
      <c r="AL51" s="6"/>
      <c r="AM51" s="6"/>
      <c r="AN51" s="6"/>
      <c r="AO51" s="6"/>
      <c r="AP51" s="6"/>
      <c r="AQ51" s="6"/>
      <c r="AR51" s="6"/>
      <c r="AS51" s="6"/>
      <c r="AT51" s="6"/>
      <c r="AU51" s="6"/>
      <c r="AV51" s="6"/>
    </row>
    <row r="52" spans="1:48" x14ac:dyDescent="0.25">
      <c r="A52" s="36"/>
      <c r="B52" s="36"/>
      <c r="C52" s="36"/>
      <c r="D52" s="36"/>
      <c r="E52" s="36"/>
      <c r="F52" s="36"/>
      <c r="G52" s="36"/>
      <c r="H52" s="36"/>
      <c r="I52" s="36"/>
      <c r="J52" s="36"/>
      <c r="K52" s="36"/>
      <c r="L52" s="36"/>
      <c r="M52" s="36"/>
      <c r="N52" s="36"/>
      <c r="O52" s="36"/>
      <c r="P52" s="36"/>
      <c r="Q52" s="36"/>
      <c r="R52" s="36"/>
      <c r="S52" s="36"/>
      <c r="T52" s="36"/>
      <c r="U52" s="36"/>
      <c r="V52" s="36"/>
      <c r="W52" s="36"/>
      <c r="X52" s="36"/>
      <c r="Y52" s="6"/>
      <c r="Z52" s="6"/>
      <c r="AA52" s="6"/>
      <c r="AB52" s="6"/>
      <c r="AC52" s="6"/>
      <c r="AD52" s="6"/>
      <c r="AE52" s="6"/>
      <c r="AF52" s="6"/>
      <c r="AG52" s="6"/>
      <c r="AH52" s="6"/>
      <c r="AI52" s="6"/>
      <c r="AJ52" s="6"/>
      <c r="AK52" s="6"/>
      <c r="AL52" s="6"/>
      <c r="AM52" s="6"/>
      <c r="AN52" s="6"/>
      <c r="AO52" s="6"/>
      <c r="AP52" s="6"/>
      <c r="AQ52" s="6"/>
      <c r="AR52" s="6"/>
      <c r="AS52" s="6"/>
      <c r="AT52" s="6"/>
      <c r="AU52" s="6"/>
      <c r="AV52" s="6"/>
    </row>
    <row r="53" spans="1:48" x14ac:dyDescent="0.25">
      <c r="A53" s="36"/>
      <c r="B53" s="36"/>
      <c r="C53" s="36"/>
      <c r="D53" s="36"/>
      <c r="E53" s="36"/>
      <c r="F53" s="36"/>
      <c r="G53" s="36"/>
      <c r="H53" s="36"/>
      <c r="I53" s="36"/>
      <c r="J53" s="36"/>
      <c r="K53" s="36"/>
      <c r="L53" s="36"/>
      <c r="M53" s="36"/>
      <c r="N53" s="36"/>
      <c r="O53" s="36"/>
      <c r="P53" s="36"/>
      <c r="Q53" s="36"/>
      <c r="R53" s="36"/>
      <c r="S53" s="36"/>
      <c r="T53" s="36"/>
      <c r="U53" s="36"/>
      <c r="V53" s="36"/>
      <c r="W53" s="36"/>
      <c r="X53" s="36"/>
      <c r="Y53" s="6"/>
      <c r="Z53" s="6"/>
      <c r="AA53" s="6"/>
      <c r="AB53" s="6"/>
      <c r="AC53" s="6"/>
      <c r="AD53" s="6"/>
      <c r="AE53" s="6"/>
      <c r="AF53" s="6"/>
      <c r="AG53" s="6"/>
      <c r="AH53" s="6"/>
      <c r="AI53" s="6"/>
      <c r="AJ53" s="6"/>
      <c r="AK53" s="6"/>
      <c r="AL53" s="6"/>
      <c r="AM53" s="6"/>
      <c r="AN53" s="6"/>
      <c r="AO53" s="6"/>
      <c r="AP53" s="6"/>
      <c r="AQ53" s="6"/>
      <c r="AR53" s="6"/>
      <c r="AS53" s="6"/>
      <c r="AT53" s="6"/>
      <c r="AU53" s="6"/>
      <c r="AV53" s="6"/>
    </row>
    <row r="54" spans="1:48" x14ac:dyDescent="0.25">
      <c r="A54" s="36"/>
      <c r="B54" s="36"/>
      <c r="C54" s="36"/>
      <c r="D54" s="36"/>
      <c r="E54" s="36"/>
      <c r="F54" s="36"/>
      <c r="G54" s="36"/>
      <c r="H54" s="36"/>
      <c r="I54" s="36"/>
      <c r="J54" s="36"/>
      <c r="K54" s="36"/>
      <c r="L54" s="36"/>
      <c r="M54" s="36"/>
      <c r="N54" s="36"/>
      <c r="O54" s="36"/>
      <c r="P54" s="36"/>
      <c r="Q54" s="36"/>
      <c r="R54" s="36"/>
      <c r="S54" s="36"/>
      <c r="T54" s="36"/>
      <c r="U54" s="36"/>
      <c r="V54" s="36"/>
      <c r="W54" s="36"/>
      <c r="X54" s="36"/>
      <c r="Y54" s="6"/>
      <c r="Z54" s="6"/>
      <c r="AA54" s="6"/>
      <c r="AB54" s="6"/>
      <c r="AC54" s="6"/>
      <c r="AD54" s="6"/>
      <c r="AE54" s="6"/>
      <c r="AF54" s="6"/>
      <c r="AG54" s="6"/>
      <c r="AH54" s="6"/>
      <c r="AI54" s="6"/>
      <c r="AJ54" s="6"/>
      <c r="AK54" s="6"/>
      <c r="AL54" s="6"/>
      <c r="AM54" s="6"/>
      <c r="AN54" s="6"/>
      <c r="AO54" s="6"/>
      <c r="AP54" s="6"/>
      <c r="AQ54" s="6"/>
      <c r="AR54" s="6"/>
      <c r="AS54" s="6"/>
      <c r="AT54" s="6"/>
      <c r="AU54" s="6"/>
      <c r="AV54" s="6"/>
    </row>
    <row r="55" spans="1:48" x14ac:dyDescent="0.25">
      <c r="A55" s="36"/>
      <c r="B55" s="36"/>
      <c r="C55" s="36"/>
      <c r="D55" s="36"/>
      <c r="E55" s="36"/>
      <c r="F55" s="36"/>
      <c r="G55" s="36"/>
      <c r="H55" s="36"/>
      <c r="I55" s="36"/>
      <c r="J55" s="36"/>
      <c r="K55" s="36"/>
      <c r="L55" s="36"/>
      <c r="M55" s="36"/>
      <c r="N55" s="36"/>
      <c r="O55" s="36"/>
      <c r="P55" s="36"/>
      <c r="Q55" s="36"/>
      <c r="R55" s="36"/>
      <c r="S55" s="36"/>
      <c r="T55" s="36"/>
      <c r="U55" s="36"/>
      <c r="V55" s="36"/>
      <c r="W55" s="36"/>
      <c r="X55" s="36"/>
      <c r="Y55" s="6"/>
      <c r="Z55" s="6"/>
      <c r="AA55" s="6"/>
      <c r="AB55" s="6"/>
      <c r="AC55" s="6"/>
      <c r="AD55" s="6"/>
      <c r="AE55" s="6"/>
      <c r="AF55" s="6"/>
      <c r="AG55" s="6"/>
      <c r="AH55" s="6"/>
      <c r="AI55" s="6"/>
      <c r="AJ55" s="6"/>
      <c r="AK55" s="6"/>
      <c r="AL55" s="6"/>
      <c r="AM55" s="6"/>
      <c r="AN55" s="6"/>
      <c r="AO55" s="6"/>
      <c r="AP55" s="6"/>
      <c r="AQ55" s="6"/>
      <c r="AR55" s="6"/>
      <c r="AS55" s="6"/>
      <c r="AT55" s="6"/>
      <c r="AU55" s="6"/>
      <c r="AV55" s="6"/>
    </row>
    <row r="56" spans="1:48" x14ac:dyDescent="0.25">
      <c r="A56" s="36"/>
      <c r="B56" s="36"/>
      <c r="C56" s="36"/>
      <c r="D56" s="36"/>
      <c r="E56" s="36"/>
      <c r="F56" s="36"/>
      <c r="G56" s="36"/>
      <c r="H56" s="36"/>
      <c r="I56" s="36"/>
      <c r="J56" s="36"/>
      <c r="K56" s="36"/>
      <c r="L56" s="36"/>
      <c r="M56" s="36"/>
      <c r="N56" s="36"/>
      <c r="O56" s="36"/>
      <c r="P56" s="36"/>
      <c r="Q56" s="36"/>
      <c r="R56" s="36"/>
      <c r="S56" s="36"/>
      <c r="T56" s="36"/>
      <c r="U56" s="36"/>
      <c r="V56" s="36"/>
      <c r="W56" s="36"/>
      <c r="X56" s="36"/>
      <c r="Y56" s="6"/>
      <c r="Z56" s="6"/>
      <c r="AA56" s="6"/>
      <c r="AB56" s="6"/>
      <c r="AC56" s="6"/>
      <c r="AD56" s="6"/>
      <c r="AE56" s="6"/>
      <c r="AF56" s="6"/>
      <c r="AG56" s="6"/>
      <c r="AH56" s="6"/>
      <c r="AI56" s="6"/>
      <c r="AJ56" s="6"/>
      <c r="AK56" s="6"/>
      <c r="AL56" s="6"/>
      <c r="AM56" s="6"/>
      <c r="AN56" s="6"/>
      <c r="AO56" s="6"/>
      <c r="AP56" s="6"/>
      <c r="AQ56" s="6"/>
      <c r="AR56" s="6"/>
      <c r="AS56" s="6"/>
      <c r="AT56" s="6"/>
      <c r="AU56" s="6"/>
      <c r="AV56" s="6"/>
    </row>
    <row r="57" spans="1:48" x14ac:dyDescent="0.25">
      <c r="A57" s="36"/>
      <c r="B57" s="36"/>
      <c r="C57" s="36"/>
      <c r="D57" s="36"/>
      <c r="E57" s="36"/>
      <c r="F57" s="36"/>
      <c r="G57" s="36"/>
      <c r="H57" s="36"/>
      <c r="I57" s="36"/>
      <c r="J57" s="36"/>
      <c r="K57" s="36"/>
      <c r="L57" s="36"/>
      <c r="M57" s="36"/>
      <c r="N57" s="36"/>
      <c r="O57" s="36"/>
      <c r="P57" s="36"/>
      <c r="Q57" s="36"/>
      <c r="R57" s="36"/>
      <c r="S57" s="36"/>
      <c r="T57" s="36"/>
      <c r="U57" s="36"/>
      <c r="V57" s="36"/>
      <c r="W57" s="36"/>
      <c r="X57" s="36"/>
      <c r="Y57" s="6"/>
      <c r="Z57" s="6"/>
      <c r="AA57" s="6"/>
      <c r="AB57" s="6"/>
      <c r="AC57" s="6"/>
      <c r="AD57" s="6"/>
      <c r="AE57" s="6"/>
      <c r="AF57" s="6"/>
      <c r="AG57" s="6"/>
      <c r="AH57" s="6"/>
      <c r="AI57" s="6"/>
      <c r="AJ57" s="6"/>
      <c r="AK57" s="6"/>
      <c r="AL57" s="6"/>
      <c r="AM57" s="6"/>
      <c r="AN57" s="6"/>
      <c r="AO57" s="6"/>
      <c r="AP57" s="6"/>
      <c r="AQ57" s="6"/>
      <c r="AR57" s="6"/>
      <c r="AS57" s="6"/>
      <c r="AT57" s="6"/>
      <c r="AU57" s="6"/>
      <c r="AV57" s="6"/>
    </row>
    <row r="58" spans="1:48" x14ac:dyDescent="0.25">
      <c r="A58" s="36"/>
      <c r="B58" s="36"/>
      <c r="C58" s="36"/>
      <c r="D58" s="36"/>
      <c r="E58" s="36"/>
      <c r="F58" s="36"/>
      <c r="G58" s="36"/>
      <c r="H58" s="36"/>
      <c r="I58" s="36"/>
      <c r="J58" s="36"/>
      <c r="K58" s="36"/>
      <c r="L58" s="36"/>
      <c r="M58" s="36"/>
      <c r="N58" s="36"/>
      <c r="O58" s="36"/>
      <c r="P58" s="36"/>
      <c r="Q58" s="36"/>
      <c r="R58" s="36"/>
      <c r="S58" s="36"/>
      <c r="T58" s="36"/>
      <c r="U58" s="36"/>
      <c r="V58" s="36"/>
      <c r="W58" s="36"/>
      <c r="X58" s="36"/>
      <c r="Y58" s="6"/>
      <c r="Z58" s="6"/>
      <c r="AA58" s="6"/>
      <c r="AB58" s="6"/>
      <c r="AC58" s="6"/>
      <c r="AD58" s="6"/>
      <c r="AE58" s="6"/>
      <c r="AF58" s="6"/>
      <c r="AG58" s="6"/>
      <c r="AH58" s="6"/>
      <c r="AI58" s="6"/>
      <c r="AJ58" s="6"/>
      <c r="AK58" s="6"/>
      <c r="AL58" s="6"/>
      <c r="AM58" s="6"/>
      <c r="AN58" s="6"/>
      <c r="AO58" s="6"/>
      <c r="AP58" s="6"/>
      <c r="AQ58" s="6"/>
      <c r="AR58" s="6"/>
      <c r="AS58" s="6"/>
      <c r="AT58" s="6"/>
      <c r="AU58" s="6"/>
      <c r="AV58" s="6"/>
    </row>
    <row r="59" spans="1:48" x14ac:dyDescent="0.25">
      <c r="A59" s="36"/>
      <c r="B59" s="36"/>
      <c r="C59" s="36"/>
      <c r="D59" s="36"/>
      <c r="E59" s="36"/>
      <c r="F59" s="36"/>
      <c r="G59" s="36"/>
      <c r="H59" s="36"/>
      <c r="I59" s="36"/>
      <c r="J59" s="36"/>
      <c r="K59" s="36"/>
      <c r="L59" s="36"/>
      <c r="M59" s="36"/>
      <c r="N59" s="36"/>
      <c r="O59" s="36"/>
      <c r="P59" s="36"/>
      <c r="Q59" s="36"/>
      <c r="R59" s="36"/>
      <c r="S59" s="36"/>
      <c r="T59" s="36"/>
      <c r="U59" s="36"/>
      <c r="V59" s="36"/>
      <c r="W59" s="36"/>
      <c r="X59" s="36"/>
      <c r="Y59" s="6"/>
      <c r="Z59" s="6"/>
      <c r="AA59" s="6"/>
      <c r="AB59" s="6"/>
      <c r="AC59" s="6"/>
      <c r="AD59" s="6"/>
      <c r="AE59" s="6"/>
      <c r="AF59" s="6"/>
      <c r="AG59" s="6"/>
      <c r="AH59" s="6"/>
      <c r="AI59" s="6"/>
      <c r="AJ59" s="6"/>
      <c r="AK59" s="6"/>
      <c r="AL59" s="6"/>
      <c r="AM59" s="6"/>
      <c r="AN59" s="6"/>
      <c r="AO59" s="6"/>
      <c r="AP59" s="6"/>
      <c r="AQ59" s="6"/>
      <c r="AR59" s="6"/>
      <c r="AS59" s="6"/>
      <c r="AT59" s="6"/>
      <c r="AU59" s="6"/>
      <c r="AV59" s="6"/>
    </row>
    <row r="60" spans="1:48" x14ac:dyDescent="0.25">
      <c r="A60" s="36"/>
      <c r="B60" s="36"/>
      <c r="C60" s="36"/>
      <c r="D60" s="36"/>
      <c r="E60" s="36"/>
      <c r="F60" s="36"/>
      <c r="G60" s="36"/>
      <c r="H60" s="36"/>
      <c r="I60" s="36"/>
      <c r="J60" s="36"/>
      <c r="K60" s="36"/>
      <c r="L60" s="36"/>
      <c r="M60" s="36"/>
      <c r="N60" s="36"/>
      <c r="O60" s="36"/>
      <c r="P60" s="36"/>
      <c r="Q60" s="36"/>
      <c r="R60" s="36"/>
      <c r="S60" s="36"/>
      <c r="T60" s="36"/>
      <c r="U60" s="36"/>
      <c r="V60" s="36"/>
      <c r="W60" s="36"/>
      <c r="X60" s="36"/>
      <c r="Y60" s="6"/>
      <c r="Z60" s="6"/>
      <c r="AA60" s="6"/>
      <c r="AB60" s="6"/>
      <c r="AC60" s="6"/>
      <c r="AD60" s="6"/>
      <c r="AE60" s="6"/>
      <c r="AF60" s="6"/>
      <c r="AG60" s="6"/>
      <c r="AH60" s="6"/>
      <c r="AI60" s="6"/>
      <c r="AJ60" s="6"/>
      <c r="AK60" s="6"/>
      <c r="AL60" s="6"/>
      <c r="AM60" s="6"/>
      <c r="AN60" s="6"/>
      <c r="AO60" s="6"/>
      <c r="AP60" s="6"/>
      <c r="AQ60" s="6"/>
      <c r="AR60" s="6"/>
      <c r="AS60" s="6"/>
      <c r="AT60" s="6"/>
      <c r="AU60" s="6"/>
      <c r="AV60" s="6"/>
    </row>
    <row r="61" spans="1:48" x14ac:dyDescent="0.25">
      <c r="A61" s="36"/>
      <c r="B61" s="36"/>
      <c r="C61" s="36"/>
      <c r="D61" s="36"/>
      <c r="E61" s="36"/>
      <c r="F61" s="36"/>
      <c r="G61" s="36"/>
      <c r="H61" s="36"/>
      <c r="I61" s="36"/>
      <c r="J61" s="36"/>
      <c r="K61" s="36"/>
      <c r="L61" s="36"/>
      <c r="M61" s="36"/>
      <c r="N61" s="36"/>
      <c r="O61" s="36"/>
      <c r="P61" s="36"/>
      <c r="Q61" s="36"/>
      <c r="R61" s="36"/>
      <c r="S61" s="36"/>
      <c r="T61" s="36"/>
      <c r="U61" s="36"/>
      <c r="V61" s="36"/>
      <c r="W61" s="36"/>
      <c r="X61" s="36"/>
      <c r="Y61" s="6"/>
      <c r="Z61" s="6"/>
      <c r="AA61" s="6"/>
      <c r="AB61" s="6"/>
      <c r="AC61" s="6"/>
      <c r="AD61" s="6"/>
      <c r="AE61" s="6"/>
      <c r="AF61" s="6"/>
      <c r="AG61" s="6"/>
      <c r="AH61" s="6"/>
      <c r="AI61" s="6"/>
      <c r="AJ61" s="6"/>
      <c r="AK61" s="6"/>
      <c r="AL61" s="6"/>
      <c r="AM61" s="6"/>
      <c r="AN61" s="6"/>
      <c r="AO61" s="6"/>
      <c r="AP61" s="6"/>
      <c r="AQ61" s="6"/>
      <c r="AR61" s="6"/>
      <c r="AS61" s="6"/>
      <c r="AT61" s="6"/>
      <c r="AU61" s="6"/>
      <c r="AV61" s="6"/>
    </row>
    <row r="62" spans="1:48" x14ac:dyDescent="0.25">
      <c r="A62" s="36"/>
      <c r="B62" s="36"/>
      <c r="C62" s="36"/>
      <c r="D62" s="36"/>
      <c r="E62" s="36"/>
      <c r="F62" s="36"/>
      <c r="G62" s="36"/>
      <c r="H62" s="36"/>
      <c r="I62" s="36"/>
      <c r="J62" s="36"/>
      <c r="K62" s="36"/>
      <c r="L62" s="36"/>
      <c r="M62" s="36"/>
      <c r="N62" s="36"/>
      <c r="O62" s="36"/>
      <c r="P62" s="36"/>
      <c r="Q62" s="36"/>
      <c r="R62" s="36"/>
      <c r="S62" s="36"/>
      <c r="T62" s="36"/>
      <c r="U62" s="36"/>
      <c r="V62" s="36"/>
      <c r="W62" s="36"/>
      <c r="X62" s="36"/>
      <c r="Y62" s="6"/>
      <c r="Z62" s="6"/>
      <c r="AA62" s="6"/>
      <c r="AB62" s="6"/>
      <c r="AC62" s="6"/>
      <c r="AD62" s="6"/>
      <c r="AE62" s="6"/>
      <c r="AF62" s="6"/>
      <c r="AG62" s="6"/>
      <c r="AH62" s="6"/>
      <c r="AI62" s="6"/>
      <c r="AJ62" s="6"/>
      <c r="AK62" s="6"/>
      <c r="AL62" s="6"/>
      <c r="AM62" s="6"/>
      <c r="AN62" s="6"/>
      <c r="AO62" s="6"/>
      <c r="AP62" s="6"/>
      <c r="AQ62" s="6"/>
      <c r="AR62" s="6"/>
      <c r="AS62" s="6"/>
      <c r="AT62" s="6"/>
      <c r="AU62" s="6"/>
      <c r="AV62" s="6"/>
    </row>
    <row r="63" spans="1:48" x14ac:dyDescent="0.25">
      <c r="A63" s="36"/>
      <c r="B63" s="36"/>
      <c r="C63" s="36"/>
      <c r="D63" s="36"/>
      <c r="E63" s="36"/>
      <c r="F63" s="36"/>
      <c r="G63" s="36"/>
      <c r="H63" s="36"/>
      <c r="I63" s="36"/>
      <c r="J63" s="36"/>
      <c r="K63" s="36"/>
      <c r="L63" s="36"/>
      <c r="M63" s="36"/>
      <c r="N63" s="36"/>
      <c r="O63" s="36"/>
      <c r="P63" s="36"/>
      <c r="Q63" s="36"/>
      <c r="R63" s="36"/>
      <c r="S63" s="36"/>
      <c r="T63" s="36"/>
      <c r="U63" s="36"/>
      <c r="V63" s="36"/>
      <c r="W63" s="36"/>
      <c r="X63" s="36"/>
      <c r="Y63" s="6"/>
      <c r="Z63" s="6"/>
      <c r="AA63" s="6"/>
      <c r="AB63" s="6"/>
      <c r="AC63" s="6"/>
      <c r="AD63" s="6"/>
      <c r="AE63" s="6"/>
      <c r="AF63" s="6"/>
      <c r="AG63" s="6"/>
      <c r="AH63" s="6"/>
      <c r="AI63" s="6"/>
      <c r="AJ63" s="6"/>
      <c r="AK63" s="6"/>
      <c r="AL63" s="6"/>
      <c r="AM63" s="6"/>
      <c r="AN63" s="6"/>
      <c r="AO63" s="6"/>
      <c r="AP63" s="6"/>
      <c r="AQ63" s="6"/>
      <c r="AR63" s="6"/>
      <c r="AS63" s="6"/>
      <c r="AT63" s="6"/>
      <c r="AU63" s="6"/>
      <c r="AV63" s="6"/>
    </row>
    <row r="64" spans="1:48" x14ac:dyDescent="0.25">
      <c r="A64" s="36"/>
      <c r="B64" s="36"/>
      <c r="C64" s="36"/>
      <c r="D64" s="36"/>
      <c r="E64" s="36"/>
      <c r="F64" s="36"/>
      <c r="G64" s="36"/>
      <c r="H64" s="36"/>
      <c r="I64" s="36"/>
      <c r="J64" s="36"/>
      <c r="K64" s="36"/>
      <c r="L64" s="36"/>
      <c r="M64" s="36"/>
      <c r="N64" s="36"/>
      <c r="O64" s="36"/>
      <c r="P64" s="36"/>
      <c r="Q64" s="36"/>
      <c r="R64" s="36"/>
      <c r="S64" s="36"/>
      <c r="T64" s="36"/>
      <c r="U64" s="36"/>
      <c r="V64" s="36"/>
      <c r="W64" s="36"/>
      <c r="X64" s="36"/>
      <c r="Y64" s="6"/>
      <c r="Z64" s="6"/>
      <c r="AA64" s="6"/>
      <c r="AB64" s="6"/>
      <c r="AC64" s="6"/>
      <c r="AD64" s="6"/>
      <c r="AE64" s="6"/>
      <c r="AF64" s="6"/>
      <c r="AG64" s="6"/>
      <c r="AH64" s="6"/>
      <c r="AI64" s="6"/>
      <c r="AJ64" s="6"/>
      <c r="AK64" s="6"/>
      <c r="AL64" s="6"/>
      <c r="AM64" s="6"/>
      <c r="AN64" s="6"/>
      <c r="AO64" s="6"/>
      <c r="AP64" s="6"/>
      <c r="AQ64" s="6"/>
      <c r="AR64" s="6"/>
      <c r="AS64" s="6"/>
      <c r="AT64" s="6"/>
      <c r="AU64" s="6"/>
      <c r="AV64" s="6"/>
    </row>
    <row r="65" spans="1:48" x14ac:dyDescent="0.25">
      <c r="A65" s="36"/>
      <c r="B65" s="36"/>
      <c r="C65" s="36"/>
      <c r="D65" s="36"/>
      <c r="E65" s="36"/>
      <c r="F65" s="36"/>
      <c r="G65" s="36"/>
      <c r="H65" s="36"/>
      <c r="I65" s="36"/>
      <c r="J65" s="36"/>
      <c r="K65" s="36"/>
      <c r="L65" s="36"/>
      <c r="M65" s="36"/>
      <c r="N65" s="36"/>
      <c r="O65" s="36"/>
      <c r="P65" s="36"/>
      <c r="Q65" s="36"/>
      <c r="R65" s="36"/>
      <c r="S65" s="36"/>
      <c r="T65" s="36"/>
      <c r="U65" s="36"/>
      <c r="V65" s="36"/>
      <c r="W65" s="36"/>
      <c r="X65" s="36"/>
      <c r="Y65" s="6"/>
      <c r="Z65" s="6"/>
      <c r="AA65" s="6"/>
      <c r="AB65" s="6"/>
      <c r="AC65" s="6"/>
      <c r="AD65" s="6"/>
      <c r="AE65" s="6"/>
      <c r="AF65" s="6"/>
      <c r="AG65" s="6"/>
      <c r="AH65" s="6"/>
      <c r="AI65" s="6"/>
      <c r="AJ65" s="6"/>
      <c r="AK65" s="6"/>
      <c r="AL65" s="6"/>
      <c r="AM65" s="6"/>
      <c r="AN65" s="6"/>
      <c r="AO65" s="6"/>
      <c r="AP65" s="6"/>
      <c r="AQ65" s="6"/>
      <c r="AR65" s="6"/>
      <c r="AS65" s="6"/>
      <c r="AT65" s="6"/>
      <c r="AU65" s="6"/>
      <c r="AV65" s="6"/>
    </row>
    <row r="66" spans="1:48" x14ac:dyDescent="0.25">
      <c r="A66" s="36"/>
      <c r="B66" s="36"/>
      <c r="C66" s="36"/>
      <c r="D66" s="36"/>
      <c r="E66" s="36"/>
      <c r="F66" s="36"/>
      <c r="G66" s="36"/>
      <c r="H66" s="36"/>
      <c r="I66" s="36"/>
      <c r="J66" s="36"/>
      <c r="K66" s="36"/>
      <c r="L66" s="36"/>
      <c r="M66" s="36"/>
      <c r="N66" s="36"/>
      <c r="O66" s="36"/>
      <c r="P66" s="36"/>
      <c r="Q66" s="36"/>
      <c r="R66" s="36"/>
      <c r="S66" s="36"/>
      <c r="T66" s="36"/>
      <c r="U66" s="36"/>
      <c r="V66" s="36"/>
      <c r="W66" s="36"/>
      <c r="X66" s="36"/>
      <c r="Y66" s="6"/>
      <c r="Z66" s="6"/>
      <c r="AA66" s="6"/>
      <c r="AB66" s="6"/>
      <c r="AC66" s="6"/>
      <c r="AD66" s="6"/>
      <c r="AE66" s="6"/>
      <c r="AF66" s="6"/>
      <c r="AG66" s="6"/>
      <c r="AH66" s="6"/>
      <c r="AI66" s="6"/>
      <c r="AJ66" s="6"/>
      <c r="AK66" s="6"/>
      <c r="AL66" s="6"/>
      <c r="AM66" s="6"/>
      <c r="AN66" s="6"/>
      <c r="AO66" s="6"/>
      <c r="AP66" s="6"/>
      <c r="AQ66" s="6"/>
      <c r="AR66" s="6"/>
      <c r="AS66" s="6"/>
      <c r="AT66" s="6"/>
      <c r="AU66" s="6"/>
      <c r="AV66" s="6"/>
    </row>
    <row r="67" spans="1:48" x14ac:dyDescent="0.25">
      <c r="A67" s="36"/>
      <c r="B67" s="36"/>
      <c r="C67" s="36"/>
      <c r="D67" s="36"/>
      <c r="E67" s="36"/>
      <c r="F67" s="36"/>
      <c r="G67" s="36"/>
      <c r="H67" s="36"/>
      <c r="I67" s="36"/>
      <c r="J67" s="36"/>
      <c r="K67" s="36"/>
      <c r="L67" s="36"/>
      <c r="M67" s="36"/>
      <c r="N67" s="36"/>
      <c r="O67" s="36"/>
      <c r="P67" s="36"/>
      <c r="Q67" s="36"/>
      <c r="R67" s="36"/>
      <c r="S67" s="36"/>
      <c r="T67" s="36"/>
      <c r="U67" s="36"/>
      <c r="V67" s="36"/>
      <c r="W67" s="36"/>
      <c r="X67" s="36"/>
      <c r="Y67" s="6"/>
      <c r="Z67" s="6"/>
      <c r="AA67" s="6"/>
      <c r="AB67" s="6"/>
      <c r="AC67" s="6"/>
      <c r="AD67" s="6"/>
      <c r="AE67" s="6"/>
      <c r="AF67" s="6"/>
      <c r="AG67" s="6"/>
      <c r="AH67" s="6"/>
      <c r="AI67" s="6"/>
      <c r="AJ67" s="6"/>
      <c r="AK67" s="6"/>
      <c r="AL67" s="6"/>
      <c r="AM67" s="6"/>
      <c r="AN67" s="6"/>
      <c r="AO67" s="6"/>
      <c r="AP67" s="6"/>
      <c r="AQ67" s="6"/>
      <c r="AR67" s="6"/>
      <c r="AS67" s="6"/>
      <c r="AT67" s="6"/>
      <c r="AU67" s="6"/>
      <c r="AV67" s="6"/>
    </row>
    <row r="68" spans="1:48" x14ac:dyDescent="0.25">
      <c r="A68" s="36"/>
      <c r="B68" s="36"/>
      <c r="C68" s="36"/>
      <c r="D68" s="36"/>
      <c r="E68" s="36"/>
      <c r="F68" s="36"/>
      <c r="G68" s="36"/>
      <c r="H68" s="36"/>
      <c r="I68" s="36"/>
      <c r="J68" s="36"/>
      <c r="K68" s="36"/>
      <c r="L68" s="36"/>
      <c r="M68" s="36"/>
      <c r="N68" s="36"/>
      <c r="O68" s="36"/>
      <c r="P68" s="36"/>
      <c r="Q68" s="36"/>
      <c r="R68" s="36"/>
      <c r="S68" s="36"/>
      <c r="T68" s="36"/>
      <c r="U68" s="36"/>
      <c r="V68" s="36"/>
      <c r="W68" s="36"/>
      <c r="X68" s="36"/>
      <c r="Y68" s="6"/>
      <c r="Z68" s="6"/>
      <c r="AA68" s="6"/>
      <c r="AB68" s="6"/>
      <c r="AC68" s="6"/>
      <c r="AD68" s="6"/>
      <c r="AE68" s="6"/>
      <c r="AF68" s="6"/>
      <c r="AG68" s="6"/>
      <c r="AH68" s="6"/>
      <c r="AI68" s="6"/>
      <c r="AJ68" s="6"/>
      <c r="AK68" s="6"/>
      <c r="AL68" s="6"/>
      <c r="AM68" s="6"/>
      <c r="AN68" s="6"/>
      <c r="AO68" s="6"/>
      <c r="AP68" s="6"/>
      <c r="AQ68" s="6"/>
      <c r="AR68" s="6"/>
      <c r="AS68" s="6"/>
      <c r="AT68" s="6"/>
      <c r="AU68" s="6"/>
      <c r="AV68" s="6"/>
    </row>
    <row r="69" spans="1:48" x14ac:dyDescent="0.25">
      <c r="A69" s="36"/>
      <c r="B69" s="36"/>
      <c r="C69" s="36"/>
      <c r="D69" s="36"/>
      <c r="E69" s="36"/>
      <c r="F69" s="36"/>
      <c r="G69" s="36"/>
      <c r="H69" s="36"/>
      <c r="I69" s="36"/>
      <c r="J69" s="36"/>
      <c r="K69" s="36"/>
      <c r="L69" s="36"/>
      <c r="M69" s="36"/>
      <c r="N69" s="36"/>
      <c r="O69" s="36"/>
      <c r="P69" s="36"/>
      <c r="Q69" s="36"/>
      <c r="R69" s="36"/>
      <c r="S69" s="36"/>
      <c r="T69" s="36"/>
      <c r="U69" s="36"/>
      <c r="V69" s="36"/>
      <c r="W69" s="36"/>
      <c r="X69" s="36"/>
      <c r="Y69" s="6"/>
      <c r="Z69" s="6"/>
      <c r="AA69" s="6"/>
      <c r="AB69" s="6"/>
      <c r="AC69" s="6"/>
      <c r="AD69" s="6"/>
      <c r="AE69" s="6"/>
      <c r="AF69" s="6"/>
      <c r="AG69" s="6"/>
      <c r="AH69" s="6"/>
      <c r="AI69" s="6"/>
      <c r="AJ69" s="6"/>
      <c r="AK69" s="6"/>
      <c r="AL69" s="6"/>
      <c r="AM69" s="6"/>
      <c r="AN69" s="6"/>
      <c r="AO69" s="6"/>
      <c r="AP69" s="6"/>
      <c r="AQ69" s="6"/>
      <c r="AR69" s="6"/>
      <c r="AS69" s="6"/>
      <c r="AT69" s="6"/>
      <c r="AU69" s="6"/>
      <c r="AV69" s="6"/>
    </row>
    <row r="70" spans="1:48" x14ac:dyDescent="0.25">
      <c r="A70" s="36"/>
      <c r="B70" s="36"/>
      <c r="C70" s="36"/>
      <c r="D70" s="36"/>
      <c r="E70" s="36"/>
      <c r="F70" s="36"/>
      <c r="G70" s="36"/>
      <c r="H70" s="36"/>
      <c r="I70" s="36"/>
      <c r="J70" s="36"/>
      <c r="K70" s="36"/>
      <c r="L70" s="36"/>
      <c r="M70" s="36"/>
      <c r="N70" s="36"/>
      <c r="O70" s="36"/>
      <c r="P70" s="36"/>
      <c r="Q70" s="36"/>
      <c r="R70" s="36"/>
      <c r="S70" s="36"/>
      <c r="T70" s="36"/>
      <c r="U70" s="36"/>
      <c r="V70" s="36"/>
      <c r="W70" s="36"/>
      <c r="X70" s="36"/>
      <c r="Y70" s="6"/>
      <c r="Z70" s="6"/>
      <c r="AA70" s="6"/>
      <c r="AB70" s="6"/>
      <c r="AC70" s="6"/>
      <c r="AD70" s="6"/>
      <c r="AE70" s="6"/>
      <c r="AF70" s="6"/>
      <c r="AG70" s="6"/>
      <c r="AH70" s="6"/>
      <c r="AI70" s="6"/>
      <c r="AJ70" s="6"/>
      <c r="AK70" s="6"/>
      <c r="AL70" s="6"/>
      <c r="AM70" s="6"/>
      <c r="AN70" s="6"/>
      <c r="AO70" s="6"/>
      <c r="AP70" s="6"/>
      <c r="AQ70" s="6"/>
      <c r="AR70" s="6"/>
      <c r="AS70" s="6"/>
      <c r="AT70" s="6"/>
      <c r="AU70" s="6"/>
      <c r="AV70" s="6"/>
    </row>
    <row r="71" spans="1:48" x14ac:dyDescent="0.25">
      <c r="A71" s="36"/>
      <c r="B71" s="36"/>
      <c r="C71" s="36"/>
      <c r="D71" s="36"/>
      <c r="E71" s="36"/>
      <c r="F71" s="36"/>
      <c r="G71" s="36"/>
      <c r="H71" s="36"/>
      <c r="I71" s="36"/>
      <c r="J71" s="36"/>
      <c r="K71" s="36"/>
      <c r="L71" s="36"/>
      <c r="M71" s="36"/>
      <c r="N71" s="36"/>
      <c r="O71" s="36"/>
      <c r="P71" s="36"/>
      <c r="Q71" s="36"/>
      <c r="R71" s="36"/>
      <c r="S71" s="36"/>
      <c r="T71" s="36"/>
      <c r="U71" s="36"/>
      <c r="V71" s="36"/>
      <c r="W71" s="36"/>
      <c r="X71" s="36"/>
      <c r="Y71" s="6"/>
      <c r="Z71" s="6"/>
      <c r="AA71" s="6"/>
      <c r="AB71" s="6"/>
      <c r="AC71" s="6"/>
      <c r="AD71" s="6"/>
      <c r="AE71" s="6"/>
      <c r="AF71" s="6"/>
      <c r="AG71" s="6"/>
      <c r="AH71" s="6"/>
      <c r="AI71" s="6"/>
      <c r="AJ71" s="6"/>
      <c r="AK71" s="6"/>
      <c r="AL71" s="6"/>
      <c r="AM71" s="6"/>
      <c r="AN71" s="6"/>
      <c r="AO71" s="6"/>
      <c r="AP71" s="6"/>
      <c r="AQ71" s="6"/>
      <c r="AR71" s="6"/>
      <c r="AS71" s="6"/>
      <c r="AT71" s="6"/>
      <c r="AU71" s="6"/>
      <c r="AV71" s="6"/>
    </row>
    <row r="72" spans="1:48" x14ac:dyDescent="0.25">
      <c r="A72" s="36"/>
      <c r="B72" s="36"/>
      <c r="C72" s="36"/>
      <c r="D72" s="36"/>
      <c r="E72" s="36"/>
      <c r="F72" s="36"/>
      <c r="G72" s="36"/>
      <c r="H72" s="36"/>
      <c r="I72" s="36"/>
      <c r="J72" s="36"/>
      <c r="K72" s="36"/>
      <c r="L72" s="36"/>
      <c r="M72" s="36"/>
      <c r="N72" s="36"/>
      <c r="O72" s="36"/>
      <c r="P72" s="36"/>
      <c r="Q72" s="36"/>
      <c r="R72" s="36"/>
      <c r="S72" s="36"/>
      <c r="T72" s="36"/>
      <c r="U72" s="36"/>
      <c r="V72" s="36"/>
      <c r="W72" s="36"/>
      <c r="X72" s="36"/>
      <c r="Y72" s="6"/>
      <c r="Z72" s="6"/>
      <c r="AA72" s="6"/>
      <c r="AB72" s="6"/>
      <c r="AC72" s="6"/>
      <c r="AD72" s="6"/>
      <c r="AE72" s="6"/>
      <c r="AF72" s="6"/>
      <c r="AG72" s="6"/>
      <c r="AH72" s="6"/>
      <c r="AI72" s="6"/>
      <c r="AJ72" s="6"/>
      <c r="AK72" s="6"/>
      <c r="AL72" s="6"/>
      <c r="AM72" s="6"/>
      <c r="AN72" s="6"/>
      <c r="AO72" s="6"/>
      <c r="AP72" s="6"/>
      <c r="AQ72" s="6"/>
      <c r="AR72" s="6"/>
      <c r="AS72" s="6"/>
      <c r="AT72" s="6"/>
      <c r="AU72" s="6"/>
      <c r="AV72" s="6"/>
    </row>
    <row r="73" spans="1:48" x14ac:dyDescent="0.25">
      <c r="A73" s="36"/>
      <c r="B73" s="36"/>
      <c r="C73" s="36"/>
      <c r="D73" s="36"/>
      <c r="E73" s="36"/>
      <c r="F73" s="36"/>
      <c r="G73" s="36"/>
      <c r="H73" s="36"/>
      <c r="I73" s="36"/>
      <c r="J73" s="36"/>
      <c r="K73" s="36"/>
      <c r="L73" s="36"/>
      <c r="M73" s="36"/>
      <c r="N73" s="36"/>
      <c r="O73" s="36"/>
      <c r="P73" s="36"/>
      <c r="Q73" s="36"/>
      <c r="R73" s="36"/>
      <c r="S73" s="36"/>
      <c r="T73" s="36"/>
      <c r="U73" s="36"/>
      <c r="V73" s="36"/>
      <c r="W73" s="36"/>
      <c r="X73" s="36"/>
      <c r="Y73" s="6"/>
      <c r="Z73" s="6"/>
      <c r="AA73" s="6"/>
      <c r="AB73" s="6"/>
      <c r="AC73" s="6"/>
      <c r="AD73" s="6"/>
      <c r="AE73" s="6"/>
      <c r="AF73" s="6"/>
      <c r="AG73" s="6"/>
      <c r="AH73" s="6"/>
      <c r="AI73" s="6"/>
      <c r="AJ73" s="6"/>
      <c r="AK73" s="6"/>
      <c r="AL73" s="6"/>
      <c r="AM73" s="6"/>
      <c r="AN73" s="6"/>
      <c r="AO73" s="6"/>
      <c r="AP73" s="6"/>
      <c r="AQ73" s="6"/>
      <c r="AR73" s="6"/>
      <c r="AS73" s="6"/>
      <c r="AT73" s="6"/>
      <c r="AU73" s="6"/>
      <c r="AV73" s="6"/>
    </row>
    <row r="74" spans="1:48" x14ac:dyDescent="0.25">
      <c r="A74" s="36"/>
      <c r="B74" s="36"/>
      <c r="C74" s="36"/>
      <c r="D74" s="36"/>
      <c r="E74" s="36"/>
      <c r="F74" s="36"/>
      <c r="G74" s="36"/>
      <c r="H74" s="36"/>
      <c r="I74" s="36"/>
      <c r="J74" s="36"/>
      <c r="K74" s="36"/>
      <c r="L74" s="36"/>
      <c r="M74" s="36"/>
      <c r="N74" s="36"/>
      <c r="O74" s="36"/>
      <c r="P74" s="36"/>
      <c r="Q74" s="36"/>
      <c r="R74" s="36"/>
      <c r="S74" s="36"/>
      <c r="T74" s="36"/>
      <c r="U74" s="36"/>
      <c r="V74" s="36"/>
      <c r="W74" s="36"/>
      <c r="X74" s="36"/>
      <c r="Y74" s="6"/>
      <c r="Z74" s="6"/>
      <c r="AA74" s="6"/>
      <c r="AB74" s="6"/>
      <c r="AC74" s="6"/>
      <c r="AD74" s="6"/>
      <c r="AE74" s="6"/>
      <c r="AF74" s="6"/>
      <c r="AG74" s="6"/>
      <c r="AH74" s="6"/>
      <c r="AI74" s="6"/>
      <c r="AJ74" s="6"/>
      <c r="AK74" s="6"/>
      <c r="AL74" s="6"/>
      <c r="AM74" s="6"/>
      <c r="AN74" s="6"/>
      <c r="AO74" s="6"/>
      <c r="AP74" s="6"/>
      <c r="AQ74" s="6"/>
      <c r="AR74" s="6"/>
      <c r="AS74" s="6"/>
      <c r="AT74" s="6"/>
      <c r="AU74" s="6"/>
      <c r="AV74" s="6"/>
    </row>
    <row r="75" spans="1:48" x14ac:dyDescent="0.25">
      <c r="A75" s="36"/>
      <c r="B75" s="36"/>
      <c r="C75" s="36"/>
      <c r="D75" s="36"/>
      <c r="E75" s="36"/>
      <c r="F75" s="36"/>
      <c r="G75" s="36"/>
      <c r="H75" s="36"/>
      <c r="I75" s="36"/>
      <c r="J75" s="36"/>
      <c r="K75" s="36"/>
      <c r="L75" s="36"/>
      <c r="M75" s="36"/>
      <c r="N75" s="36"/>
      <c r="O75" s="36"/>
      <c r="P75" s="36"/>
      <c r="Q75" s="36"/>
      <c r="R75" s="36"/>
      <c r="S75" s="36"/>
      <c r="T75" s="36"/>
      <c r="U75" s="36"/>
      <c r="V75" s="36"/>
      <c r="W75" s="36"/>
      <c r="X75" s="36"/>
      <c r="Y75" s="6"/>
      <c r="Z75" s="6"/>
      <c r="AA75" s="6"/>
      <c r="AB75" s="6"/>
      <c r="AC75" s="6"/>
      <c r="AD75" s="6"/>
      <c r="AE75" s="6"/>
      <c r="AF75" s="6"/>
      <c r="AG75" s="6"/>
      <c r="AH75" s="6"/>
      <c r="AI75" s="6"/>
      <c r="AJ75" s="6"/>
      <c r="AK75" s="6"/>
      <c r="AL75" s="6"/>
      <c r="AM75" s="6"/>
      <c r="AN75" s="6"/>
      <c r="AO75" s="6"/>
      <c r="AP75" s="6"/>
      <c r="AQ75" s="6"/>
      <c r="AR75" s="6"/>
      <c r="AS75" s="6"/>
      <c r="AT75" s="6"/>
      <c r="AU75" s="6"/>
      <c r="AV75" s="6"/>
    </row>
    <row r="76" spans="1:48" x14ac:dyDescent="0.25">
      <c r="A76" s="36"/>
      <c r="B76" s="36"/>
      <c r="C76" s="36"/>
      <c r="D76" s="36"/>
      <c r="E76" s="36"/>
      <c r="F76" s="36"/>
      <c r="G76" s="36"/>
      <c r="H76" s="36"/>
      <c r="I76" s="36"/>
      <c r="J76" s="36"/>
      <c r="K76" s="36"/>
      <c r="L76" s="36"/>
      <c r="M76" s="36"/>
      <c r="N76" s="36"/>
      <c r="O76" s="36"/>
      <c r="P76" s="36"/>
      <c r="Q76" s="36"/>
      <c r="R76" s="36"/>
      <c r="S76" s="36"/>
      <c r="T76" s="36"/>
      <c r="U76" s="36"/>
      <c r="V76" s="36"/>
      <c r="W76" s="36"/>
      <c r="X76" s="36"/>
      <c r="Y76" s="6"/>
      <c r="Z76" s="6"/>
      <c r="AA76" s="6"/>
      <c r="AB76" s="6"/>
      <c r="AC76" s="6"/>
      <c r="AD76" s="6"/>
      <c r="AE76" s="6"/>
      <c r="AF76" s="6"/>
      <c r="AG76" s="6"/>
      <c r="AH76" s="6"/>
      <c r="AI76" s="6"/>
      <c r="AJ76" s="6"/>
      <c r="AK76" s="6"/>
      <c r="AL76" s="6"/>
      <c r="AM76" s="6"/>
      <c r="AN76" s="6"/>
      <c r="AO76" s="6"/>
      <c r="AP76" s="6"/>
      <c r="AQ76" s="6"/>
      <c r="AR76" s="6"/>
      <c r="AS76" s="6"/>
      <c r="AT76" s="6"/>
      <c r="AU76" s="6"/>
      <c r="AV76" s="6"/>
    </row>
    <row r="77" spans="1:48" x14ac:dyDescent="0.25">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row>
    <row r="78" spans="1:48" x14ac:dyDescent="0.25">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row>
    <row r="79" spans="1:48" x14ac:dyDescent="0.25">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row>
    <row r="80" spans="1:48" x14ac:dyDescent="0.25">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row>
    <row r="81" spans="1:48" x14ac:dyDescent="0.25">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row>
    <row r="82" spans="1:48" x14ac:dyDescent="0.25">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row>
  </sheetData>
  <mergeCells count="76">
    <mergeCell ref="A11:X11"/>
    <mergeCell ref="A12:X12"/>
    <mergeCell ref="A13:X13"/>
    <mergeCell ref="A6:X6"/>
    <mergeCell ref="A7:X7"/>
    <mergeCell ref="A8:X8"/>
    <mergeCell ref="A9:X9"/>
    <mergeCell ref="A10:X10"/>
    <mergeCell ref="A1:X1"/>
    <mergeCell ref="A2:X2"/>
    <mergeCell ref="A3:X3"/>
    <mergeCell ref="A4:X4"/>
    <mergeCell ref="A5:X5"/>
    <mergeCell ref="A14:X14"/>
    <mergeCell ref="A15:X15"/>
    <mergeCell ref="A16:X16"/>
    <mergeCell ref="A17:X17"/>
    <mergeCell ref="A18:X18"/>
    <mergeCell ref="A19:X19"/>
    <mergeCell ref="A20:X20"/>
    <mergeCell ref="A21:X21"/>
    <mergeCell ref="A22:X22"/>
    <mergeCell ref="A23:X23"/>
    <mergeCell ref="A24:X24"/>
    <mergeCell ref="A25:X25"/>
    <mergeCell ref="A26:X26"/>
    <mergeCell ref="A27:X27"/>
    <mergeCell ref="A28:X28"/>
    <mergeCell ref="A29:X29"/>
    <mergeCell ref="A30:X30"/>
    <mergeCell ref="A31:X31"/>
    <mergeCell ref="A32:X32"/>
    <mergeCell ref="A33:X33"/>
    <mergeCell ref="A34:X34"/>
    <mergeCell ref="A35:X35"/>
    <mergeCell ref="A36:X36"/>
    <mergeCell ref="A37:X37"/>
    <mergeCell ref="A38:X38"/>
    <mergeCell ref="A39:X39"/>
    <mergeCell ref="A40:X40"/>
    <mergeCell ref="A41:X41"/>
    <mergeCell ref="A42:X42"/>
    <mergeCell ref="A43:X43"/>
    <mergeCell ref="A44:X44"/>
    <mergeCell ref="A45:X45"/>
    <mergeCell ref="A46:X46"/>
    <mergeCell ref="A47:X47"/>
    <mergeCell ref="A48:X48"/>
    <mergeCell ref="A49:X49"/>
    <mergeCell ref="A50:X50"/>
    <mergeCell ref="A51:X51"/>
    <mergeCell ref="A52:X52"/>
    <mergeCell ref="A53:X53"/>
    <mergeCell ref="A54:X54"/>
    <mergeCell ref="A55:X55"/>
    <mergeCell ref="A56:X56"/>
    <mergeCell ref="A57:X57"/>
    <mergeCell ref="A58:X58"/>
    <mergeCell ref="A59:X59"/>
    <mergeCell ref="A60:X60"/>
    <mergeCell ref="A61:X61"/>
    <mergeCell ref="A62:X62"/>
    <mergeCell ref="A63:X63"/>
    <mergeCell ref="A64:X64"/>
    <mergeCell ref="A65:X65"/>
    <mergeCell ref="A66:X66"/>
    <mergeCell ref="A67:X67"/>
    <mergeCell ref="A68:X68"/>
    <mergeCell ref="A74:X74"/>
    <mergeCell ref="A75:X75"/>
    <mergeCell ref="A76:X76"/>
    <mergeCell ref="A69:X69"/>
    <mergeCell ref="A70:X70"/>
    <mergeCell ref="A71:X71"/>
    <mergeCell ref="A72:X72"/>
    <mergeCell ref="A73:X7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0DF253-4FA8-4D0E-A42C-F3BE7D13C4F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dataset_1</vt:lpstr>
      <vt:lpstr>dataset_2</vt:lpstr>
      <vt:lpstr>Merge1</vt:lpstr>
      <vt:lpstr>dataset_3 </vt:lpstr>
      <vt:lpstr>Sheet10</vt:lpstr>
      <vt:lpstr>Sheet11</vt:lpstr>
      <vt:lpstr>Sheet13</vt:lpstr>
      <vt:lpstr>Clean  data</vt:lpstr>
      <vt:lpstr>Forecast summary</vt:lpstr>
      <vt:lpstr>Correl</vt:lpstr>
      <vt:lpstr>Pivot &amp; 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dc:creator>
  <cp:lastModifiedBy>neha chhapariya</cp:lastModifiedBy>
  <dcterms:created xsi:type="dcterms:W3CDTF">2026-01-05T11:47:20Z</dcterms:created>
  <dcterms:modified xsi:type="dcterms:W3CDTF">2026-01-20T10:23:10Z</dcterms:modified>
</cp:coreProperties>
</file>